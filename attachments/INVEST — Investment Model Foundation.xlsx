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ngth" sheetId="1" r:id="rId5"/>
    <sheet state="visible" name="Network" sheetId="2" r:id="rId6"/>
    <sheet state="visible" name="Valuation" sheetId="3" r:id="rId7"/>
    <sheet state="visible" name="Rules" sheetId="4" r:id="rId8"/>
    <sheet state="visible" name="Companies" sheetId="5" r:id="rId9"/>
    <sheet state="visible" name="ETFs" sheetId="6" r:id="rId10"/>
    <sheet state="visible" name="Holdings" sheetId="7" r:id="rId11"/>
    <sheet state="visible" name="Equations" sheetId="8" r:id="rId12"/>
    <sheet state="visible" name="Valuation inputs" sheetId="9" r:id="rId13"/>
    <sheet state="visible" name="Counterparties" sheetId="10" r:id="rId14"/>
    <sheet state="visible" name="Relationships" sheetId="11" r:id="rId15"/>
    <sheet state="visible" name="Profitability" sheetId="12" r:id="rId16"/>
    <sheet state="visible" name="Profitability inputs" sheetId="13" r:id="rId17"/>
    <sheet state="visible" name="Growth" sheetId="14" r:id="rId18"/>
    <sheet state="visible" name="Growth inputs" sheetId="15" r:id="rId19"/>
    <sheet state="visible" name="Overall score" sheetId="16" r:id="rId20"/>
    <sheet state="visible" name="Cross-sector test" sheetId="17" r:id="rId21"/>
    <sheet state="visible" name="Scoring checks" sheetId="18" r:id="rId22"/>
    <sheet state="visible" name="Test sources" sheetId="19" r:id="rId23"/>
    <sheet state="visible" name="Pilot inputs" sheetId="20" r:id="rId24"/>
    <sheet state="visible" name="Pilot scores" sheetId="21" r:id="rId25"/>
  </sheets>
  <definedNames>
    <definedName hidden="1" localSheetId="0" name="_xlnm._FilterDatabase">Strength!$A$9:$V$59</definedName>
    <definedName hidden="1" localSheetId="1" name="_xlnm._FilterDatabase">Network!$A$13:$S$63</definedName>
    <definedName hidden="1" localSheetId="2" name="_xlnm._FilterDatabase">Valuation!$A$14:$S$64</definedName>
    <definedName hidden="1" localSheetId="9" name="_xlnm._FilterDatabase">Counterparties!$A$5:$N$80</definedName>
    <definedName hidden="1" localSheetId="10" name="_xlnm._FilterDatabase">Relationships!$A$5:$W$205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5">
      <text>
        <t xml:space="preserve">Registered for the cross-sector source test. Include=No pending completed comparable, network and financial schedules; existing scope controls remain unchanged.</t>
      </text>
    </comment>
    <comment authorId="0" ref="P14">
      <text>
        <t xml:space="preserve">Registered for the cross-sector source test. Include=No pending completed comparable, network and financial schedules; existing scope controls remain unchanged.</t>
      </text>
    </comment>
    <comment authorId="0" ref="P13">
      <text>
        <t xml:space="preserve">Registered for the cross-sector source test. Include=No pending completed comparable, network and financial schedules; existing scope controls remain unchanged.</t>
      </text>
    </comment>
    <comment authorId="0" ref="P12">
      <text>
        <t xml:space="preserve">Registered for the cross-sector source test. Include=No pending completed comparable, network and financial schedules; existing scope controls remain unchanged.</t>
      </text>
    </comment>
    <comment authorId="0" ref="P11">
      <text>
        <t xml:space="preserve">Registered for the cross-sector source test. Include=No pending completed comparable, network and financial schedules; existing scope controls remain unchanged.</t>
      </text>
    </comment>
    <comment authorId="0" ref="P10">
      <text>
        <t xml:space="preserve">Registered for the cross-sector source test. Include=No pending completed comparable, network and financial schedules; existing scope controls remain unchanged.</t>
      </text>
    </comment>
    <comment authorId="0" ref="P9">
      <text>
        <t xml:space="preserve">Registered for the cross-sector source test. Include=No pending completed comparable, network and financial schedules; existing scope controls remain unchanged.</t>
      </text>
    </comment>
    <comment authorId="0" ref="P8">
      <text>
        <t xml:space="preserve">Registered for the cross-sector source test. Include=No pending completed comparable, network and financial schedules; existing scope controls remain unchanged.</t>
      </text>
    </comment>
    <comment authorId="0" ref="P7">
      <text>
        <t xml:space="preserve">Registered for the cross-sector source test. Include=No pending completed comparable, network and financial schedules; existing scope controls remain unchanged.</t>
      </text>
    </comment>
    <comment authorId="0" ref="P6">
      <text>
        <t xml:space="preserve">Registered for the cross-sector source test. Include=No pending completed comparable, network and financial schedules; existing scope controls remain unchanged.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Use the same exact cohort label only for genuinely similar business models, regulation/geography and commodity cost recovery. Accounting standard is matched separately. This is a competitor cohort, not a client/partner network.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Date these exact figures became public, including any restatement. Must be on/before Rules research cutoff.</t>
      </text>
    </comment>
    <comment authorId="0" ref="F5">
      <text>
        <t xml:space="preserve">Opening balance-sheet date for the 12-month income period; use matching start/end invested capital.</t>
      </text>
    </comment>
    <comment authorId="0" ref="Z5">
      <text>
        <t xml:space="preserve">Primary filing or official IR source(s) covering income, cash flow and both balance-sheet dates. Multiple URLs may be separated by newlines.</t>
      </text>
    </comment>
    <comment authorId="0" ref="AA5">
      <text>
        <t xml:space="preserve">Document operating-tax estimation (including recurring credits), consolidated scope, leases/NCI/associates and any optional reported-to-adjusted bridge. This review is required for ROIC.</t>
      </text>
    </comment>
    <comment authorId="0" ref="D5">
      <text>
        <t xml:space="preserve">TTM uses the latest full 12-month period. FY0 is latest annual year at/before TTM end, FY-1/FY-2 consecutive earlier years.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5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14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13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12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11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10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9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8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7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  <comment authorId="0" ref="AI6">
      <text>
        <t xml:space="preserve">Set Yes only after verifying every completed module against its source ledger, including market-cap/share-count reconciliation, sector-appropriate profiles, current TTM schedules, NTM forecasts, completed network reviews, coherent cutoffs and comparable cohorts. Example relationships do not constitute a completed network.</t>
      </text>
    </comment>
  </commentList>
</comments>
</file>

<file path=xl/sharedStrings.xml><?xml version="1.0" encoding="utf-8"?>
<sst xmlns="http://schemas.openxmlformats.org/spreadsheetml/2006/main" count="3982" uniqueCount="1766">
  <si>
    <t>Client and partner network strength</t>
  </si>
  <si>
    <t>Competitive strength</t>
  </si>
  <si>
    <t>Investment model rules</t>
  </si>
  <si>
    <t>Draft competitive strength: scale plus client/partner network. ETF positioning remains a separate diagnostic.</t>
  </si>
  <si>
    <t>Setting</t>
  </si>
  <si>
    <t>Relative valuation</t>
  </si>
  <si>
    <t>Universe status</t>
  </si>
  <si>
    <t>Draft relative network score. Complete the dated review for each issuer; only verified public-company ties &gt;= USD10bn qualify.</t>
  </si>
  <si>
    <t>Cap-eligible issuers</t>
  </si>
  <si>
    <t>Revenue-ready issuers</t>
  </si>
  <si>
    <t>Eligible cap USD bn</t>
  </si>
  <si>
    <t>Value</t>
  </si>
  <si>
    <t>Relevant revenue USD bn</t>
  </si>
  <si>
    <t>Higher score = cheaper versus scorable peers. USD 10bn issuer floor. Weights are provisional.</t>
  </si>
  <si>
    <t>Basis</t>
  </si>
  <si>
    <t>Use</t>
  </si>
  <si>
    <t>Passive funds</t>
  </si>
  <si>
    <t>Minimum company market cap USD bn</t>
  </si>
  <si>
    <t>Research snapshot</t>
  </si>
  <si>
    <t>Active funds</t>
  </si>
  <si>
    <t>Passive AUM USD bn</t>
  </si>
  <si>
    <t>Active profile</t>
  </si>
  <si>
    <t>Active AUM USD bn</t>
  </si>
  <si>
    <t>User rule</t>
  </si>
  <si>
    <t>Applies to all company models and equations. The effective floor cannot fall below 10.</t>
  </si>
  <si>
    <t>Metric</t>
  </si>
  <si>
    <t>Model control</t>
  </si>
  <si>
    <t>Active weight</t>
  </si>
  <si>
    <t>Fixed cutoff. Refresh all market-cap data together.</t>
  </si>
  <si>
    <t>General operating</t>
  </si>
  <si>
    <t>Utilities</t>
  </si>
  <si>
    <t>Comparable median</t>
  </si>
  <si>
    <t>Network component</t>
  </si>
  <si>
    <t>Sector</t>
  </si>
  <si>
    <t>Weight</t>
  </si>
  <si>
    <t>Not selected</t>
  </si>
  <si>
    <t>Minimum scorable companies</t>
  </si>
  <si>
    <t>Utilities research starts after equations are agreed.</t>
  </si>
  <si>
    <t>Industry</t>
  </si>
  <si>
    <t>Optional narrower comparison universe. Blank includes the sector.</t>
  </si>
  <si>
    <t>Country</t>
  </si>
  <si>
    <t>Global</t>
  </si>
  <si>
    <t>Narrow for comparable regulatory/geographic exposure when useful.</t>
  </si>
  <si>
    <t>Maximum market-cap age days</t>
  </si>
  <si>
    <t>Draft filter</t>
  </si>
  <si>
    <t>Forward P/E</t>
  </si>
  <si>
    <t>Refresh stale inputs before confirming the complete universe.</t>
  </si>
  <si>
    <t>Maximum revenue-period age days</t>
  </si>
  <si>
    <t>Use latest comparable trailing twelve months (TTM).</t>
  </si>
  <si>
    <t>Minimum comparable companies</t>
  </si>
  <si>
    <t>Scores unavailable below this count.</t>
  </si>
  <si>
    <t>Breadth</t>
  </si>
  <si>
    <t>Revenue-scale score weight</t>
  </si>
  <si>
    <t>Draft assumption</t>
  </si>
  <si>
    <t>Editable starting weight. No predictive calibration has been performed.</t>
  </si>
  <si>
    <t>Market-cap-scale score weight</t>
  </si>
  <si>
    <t>Weights must total 100%. ETF and contract weights excluded for now.</t>
  </si>
  <si>
    <t>Universe confirmed</t>
  </si>
  <si>
    <t>Scorable reviews</t>
  </si>
  <si>
    <t>No</t>
  </si>
  <si>
    <t>Set Yes only after finding all eligible issuers in the selected scope.</t>
  </si>
  <si>
    <t>Maximum ETF data age days</t>
  </si>
  <si>
    <t>Aligned AUM, weights and position values.</t>
  </si>
  <si>
    <t>Minimum ETF assets USD bn</t>
  </si>
  <si>
    <t>USD 100m assets. The company market-cap floor applies to issuers, not fund AUM.</t>
  </si>
  <si>
    <t>Maximum selected ETFs</t>
  </si>
  <si>
    <t>Use a documented panel. Exclude duplicate share classes and leveraged/inverse funds.</t>
  </si>
  <si>
    <t>Counterparty strength basis</t>
  </si>
  <si>
    <t>Market cap</t>
  </si>
  <si>
    <t>User clarification</t>
  </si>
  <si>
    <t>Verified clients/partners across sectors. Public cap &gt;= USD10bn; later independent/lagged company scores.</t>
  </si>
  <si>
    <t>Contracts module</t>
  </si>
  <si>
    <t>Future valuation</t>
  </si>
  <si>
    <t>Client/partner relationships belong in strength; contract economics belong in future valuation.</t>
  </si>
  <si>
    <t>Median cap</t>
  </si>
  <si>
    <t>Currency and scale</t>
  </si>
  <si>
    <t>USD billions</t>
  </si>
  <si>
    <t>Model convention</t>
  </si>
  <si>
    <t>Convert caps, relevant revenue, ETF assets and holdings consistently.</t>
  </si>
  <si>
    <t>Effective company cap floor</t>
  </si>
  <si>
    <t>Forward EV/EBITDA</t>
  </si>
  <si>
    <t>Review coverage</t>
  </si>
  <si>
    <t>Calculated rule</t>
  </si>
  <si>
    <t>Higher floors allowed. The USD 10bn lower bound stays mandatory.</t>
  </si>
  <si>
    <t>Scope and workload rules</t>
  </si>
  <si>
    <t>Unique operating issuers</t>
  </si>
  <si>
    <t>One issuer ID per company</t>
  </si>
  <si>
    <t>Scope rule</t>
  </si>
  <si>
    <t>Count an ADR, share class and multiple exchange listings once at issuer level.</t>
  </si>
  <si>
    <t>Public operating equity</t>
  </si>
  <si>
    <t>Primary listed operating company</t>
  </si>
  <si>
    <t>Exclude ETFs, preferred shares, private companies and cash shells.</t>
  </si>
  <si>
    <t>Comparable revenue</t>
  </si>
  <si>
    <t>Network status</t>
  </si>
  <si>
    <t>Relevant sector/industry TTM</t>
  </si>
  <si>
    <t>Use segment revenue for diversified firms. Group market cap remains a scale proxy.</t>
  </si>
  <si>
    <t>Missing versus zero</t>
  </si>
  <si>
    <t>Unknown stays unavailable</t>
  </si>
  <si>
    <t>Data rule</t>
  </si>
  <si>
    <t>An absent ETF holding is zero only when confirmed in a complete holdings file.</t>
  </si>
  <si>
    <t>Research workload</t>
  </si>
  <si>
    <t>Screen before detailed research</t>
  </si>
  <si>
    <t>Scorable issuers</t>
  </si>
  <si>
    <t>Working rule</t>
  </si>
  <si>
    <t>The USD 10bn screen reduces workload. It does not itself prevent overfitting.</t>
  </si>
  <si>
    <t>Template capacity</t>
  </si>
  <si>
    <t>50 issuers; 20 funds; 200 pairs</t>
  </si>
  <si>
    <t>Capacity</t>
  </si>
  <si>
    <t>Capacity is not a research population limit. Extend bounded ranges if necessary.</t>
  </si>
  <si>
    <t>Valuation comparison</t>
  </si>
  <si>
    <t>Same eligible cap universe</t>
  </si>
  <si>
    <t>TTM FCF yield proxy</t>
  </si>
  <si>
    <t>Minimum issuer cap USD 10bn. Rank only comparable complete records; show coverage.</t>
  </si>
  <si>
    <t>Valuation weights</t>
  </si>
  <si>
    <t>Sector profile</t>
  </si>
  <si>
    <t>General 35/35/30; Utilities 40/40/20. Every company uses the same metric basket.</t>
  </si>
  <si>
    <t>Valuation period</t>
  </si>
  <si>
    <t>Next 12 months</t>
  </si>
  <si>
    <t>P/E and EV/EBITDA use aligned NTM estimates. FCF and book use comparable actuals.</t>
  </si>
  <si>
    <t>Valuation missing data</t>
  </si>
  <si>
    <t>Unranked</t>
  </si>
  <si>
    <t>Model rule</t>
  </si>
  <si>
    <t>Missing or non-meaningful required multiples are not zero and are not silently reweighted.</t>
  </si>
  <si>
    <t>Relative versus future valuation</t>
  </si>
  <si>
    <t>Separate modules</t>
  </si>
  <si>
    <t>Peer pricing now. DCF/DDM, forecasts and contracts later.</t>
  </si>
  <si>
    <t>Client/partner network controls</t>
  </si>
  <si>
    <t>Active weight total</t>
  </si>
  <si>
    <t>Competitive blend</t>
  </si>
  <si>
    <t>Relationship verification age days</t>
  </si>
  <si>
    <t>Confirm relationships remain active. Source date cannot follow verification; verification must be recent.</t>
  </si>
  <si>
    <t>Network breadth weight</t>
  </si>
  <si>
    <t>Minimum comparison count</t>
  </si>
  <si>
    <t>Percentile of unique verified qualifying counterparties; each issuer counted once.</t>
  </si>
  <si>
    <t>Network counterparty size weight</t>
  </si>
  <si>
    <t>Price/book</t>
  </si>
  <si>
    <t>Percentile of median counterparty market cap. Cap measures size; no predictive calibration.</t>
  </si>
  <si>
    <t>Competitive scale component weight</t>
  </si>
  <si>
    <t>Scale</t>
  </si>
  <si>
    <t>Issuer ID</t>
  </si>
  <si>
    <t>Cap/revenue scale component in Strength. Combined weights must total 100%.</t>
  </si>
  <si>
    <t>Company</t>
  </si>
  <si>
    <t>Cap rank</t>
  </si>
  <si>
    <t>Competitive network component weight</t>
  </si>
  <si>
    <t>Cap share</t>
  </si>
  <si>
    <t>Revenue share</t>
  </si>
  <si>
    <t>Cap/revenue share ratio</t>
  </si>
  <si>
    <t>Cap percentile</t>
  </si>
  <si>
    <t>Client/partner network component. Missing required components remain unranked.</t>
  </si>
  <si>
    <t>Revenue percentile</t>
  </si>
  <si>
    <t>Counterparty scope</t>
  </si>
  <si>
    <t>Public clients/partners</t>
  </si>
  <si>
    <t>Scale score /100</t>
  </si>
  <si>
    <t>User definition</t>
  </si>
  <si>
    <t>Public operating issuers &gt;= effective USD10bn floor; sectors may differ from subject sector.</t>
  </si>
  <si>
    <t>Confirmed zero versus unknown</t>
  </si>
  <si>
    <t>Competitor count</t>
  </si>
  <si>
    <t>Review required</t>
  </si>
  <si>
    <t>Larger competitors</t>
  </si>
  <si>
    <t>Orphan included records</t>
  </si>
  <si>
    <t>Cap / avg competitor cap</t>
  </si>
  <si>
    <t>Zero requires complete, dated, documented review. Missing research is not zero.</t>
  </si>
  <si>
    <t>Passive pairs ready</t>
  </si>
  <si>
    <t>Active pairs ready</t>
  </si>
  <si>
    <t>Relationship evidence</t>
  </si>
  <si>
    <t>Passive ETF weight</t>
  </si>
  <si>
    <t>Active ETF weight</t>
  </si>
  <si>
    <t>Active material commercial tie</t>
  </si>
  <si>
    <t>Passive ownership proxy</t>
  </si>
  <si>
    <t>Draft rule</t>
  </si>
  <si>
    <t>Active ownership proxy</t>
  </si>
  <si>
    <t>ETF coverage</t>
  </si>
  <si>
    <t>One included active row per pair. Both roles use Client and partner. Exclude proposed/expired records.</t>
  </si>
  <si>
    <t>Universe coverage</t>
  </si>
  <si>
    <t>Network score /100</t>
  </si>
  <si>
    <t>Network capacity</t>
  </si>
  <si>
    <t>Competitive strength /100</t>
  </si>
  <si>
    <t>75 counterparties; 200 ties</t>
  </si>
  <si>
    <t>Combined status</t>
  </si>
  <si>
    <t>50 network review records. Extend bounded formulas and tables before exceeding capacity.</t>
  </si>
  <si>
    <t>Profitability controls</t>
  </si>
  <si>
    <t>Profitability earnings basis</t>
  </si>
  <si>
    <t>Reported</t>
  </si>
  <si>
    <t>User-approved design</t>
  </si>
  <si>
    <t>Adjusted operating profit is shown separately and does not drive the initial score.</t>
  </si>
  <si>
    <t>Profitability ROIC weight</t>
  </si>
  <si>
    <t>Comparable earnings basis</t>
  </si>
  <si>
    <t>Starting assumption</t>
  </si>
  <si>
    <t>Default 50%. Editable uniformly; not historically calibrated.</t>
  </si>
  <si>
    <t>Adjusted</t>
  </si>
  <si>
    <t>Profitability margin weight</t>
  </si>
  <si>
    <t>Profile notes</t>
  </si>
  <si>
    <t>Weights are draft assumptions.</t>
  </si>
  <si>
    <t>Default 50%. Both weights must total 100%.</t>
  </si>
  <si>
    <t>Profitability cohort minimum</t>
  </si>
  <si>
    <t>Network</t>
  </si>
  <si>
    <t>NTM period end</t>
  </si>
  <si>
    <t>At least 3 companies in the same reviewed business cohort and accounting standard.</t>
  </si>
  <si>
    <t>Profitability missing inputs</t>
  </si>
  <si>
    <t>Unranked; no silent reweighting</t>
  </si>
  <si>
    <t>Both core metrics required. Losses retained. Zero/negative invested capital is unavailable.</t>
  </si>
  <si>
    <t>Profitability periods</t>
  </si>
  <si>
    <t>TTM + three annual records</t>
  </si>
  <si>
    <t>Source availability must precede the research cutoff. Comparable full-year opening/closing balances required.</t>
  </si>
  <si>
    <t>Profitability profiles</t>
  </si>
  <si>
    <t>Operating companies</t>
  </si>
  <si>
    <t>Model boundary</t>
  </si>
  <si>
    <t>Banks, insurers and REITs need separate sector definitions before ranking.</t>
  </si>
  <si>
    <t>Utilities: FCF yield is diagnostic only.</t>
  </si>
  <si>
    <t>Profitability financial units</t>
  </si>
  <si>
    <t>Issuer reporting currency, billions</t>
  </si>
  <si>
    <t>Ratio convention</t>
  </si>
  <si>
    <t>Same currency within each financial record and its history; cap screen always USD billions.</t>
  </si>
  <si>
    <t>Profitability validation</t>
  </si>
  <si>
    <t>20 synthetic cases and guard controls passed</t>
  </si>
  <si>
    <t>Validation status</t>
  </si>
  <si>
    <t>No historical profitability persistence or stock-return test has been performed.</t>
  </si>
  <si>
    <t>Ranking status</t>
  </si>
  <si>
    <t>Profitability cohort review</t>
  </si>
  <si>
    <t>Business model + accounting standard</t>
  </si>
  <si>
    <t>Comparison rule</t>
  </si>
  <si>
    <t>Higher scores mean broader/larger disclosed networks.</t>
  </si>
  <si>
    <t>Review fuel-cost recovery, regulation, leases, minority interests, tax credits, acquisitions and write-downs.</t>
  </si>
  <si>
    <t>Combined-score controls</t>
  </si>
  <si>
    <t>Competitive weight</t>
  </si>
  <si>
    <t>Review complete?</t>
  </si>
  <si>
    <t>Review date</t>
  </si>
  <si>
    <t>Review source / scope log</t>
  </si>
  <si>
    <t>Qualifying counterparties</t>
  </si>
  <si>
    <t>Clients</t>
  </si>
  <si>
    <t>Partners</t>
  </si>
  <si>
    <t>Median counterparty cap USD bn</t>
  </si>
  <si>
    <t>Breadth score /100</t>
  </si>
  <si>
    <t>Candidate default</t>
  </si>
  <si>
    <t>Size score /100</t>
  </si>
  <si>
    <t>Valuation weight</t>
  </si>
  <si>
    <t>Network rank</t>
  </si>
  <si>
    <t>Unresolved included records</t>
  </si>
  <si>
    <t>Row status</t>
  </si>
  <si>
    <t>Scorable</t>
  </si>
  <si>
    <t>Subject cap eligible</t>
  </si>
  <si>
    <t>Issuer ID count</t>
  </si>
  <si>
    <t>Scorable median cap</t>
  </si>
  <si>
    <t>Growth weight</t>
  </si>
  <si>
    <t>Profitability weight</t>
  </si>
  <si>
    <t>Compare similar industries and countries.</t>
  </si>
  <si>
    <t>Overall weight status</t>
  </si>
  <si>
    <t>Calculated</t>
  </si>
  <si>
    <t>Full network required</t>
  </si>
  <si>
    <t>Yes</t>
  </si>
  <si>
    <t>User-selected</t>
  </si>
  <si>
    <t>Growth basis</t>
  </si>
  <si>
    <t>EPS CAGR + raw EPS guidance</t>
  </si>
  <si>
    <t>Real-company coverage</t>
  </si>
  <si>
    <t>Not empirically rank-ready</t>
  </si>
  <si>
    <t>Validation posture</t>
  </si>
  <si>
    <t>Source audit complete; optimal weights/ranks not validated</t>
  </si>
  <si>
    <t>Ten targets; no completed comparable metric panels</t>
  </si>
  <si>
    <t>Market cap USD bn</t>
  </si>
  <si>
    <t>P/E score</t>
  </si>
  <si>
    <t>EV/EBITDA score</t>
  </si>
  <si>
    <t>FCF yield score</t>
  </si>
  <si>
    <t>P/B score</t>
  </si>
  <si>
    <t>Valuation score /100</t>
  </si>
  <si>
    <t>Valuation rank</t>
  </si>
  <si>
    <t>P/E premium/(discount)</t>
  </si>
  <si>
    <t>EV/EBITDA premium/(discount)</t>
  </si>
  <si>
    <t>FCF yield spread</t>
  </si>
  <si>
    <t>P/B premium/(discount)</t>
  </si>
  <si>
    <t>Required metric coverage</t>
  </si>
  <si>
    <t>Sort order</t>
  </si>
  <si>
    <t>Scorable P/E</t>
  </si>
  <si>
    <t>Scorable EV/EBITDA</t>
  </si>
  <si>
    <t>Scorable FCF yield</t>
  </si>
  <si>
    <t>Scorable P/B</t>
  </si>
  <si>
    <t>Company inputs</t>
  </si>
  <si>
    <t>One issuer per row. All monetary inputs in USD bn. Company research has not started.</t>
  </si>
  <si>
    <t>Ticker</t>
  </si>
  <si>
    <t>Primary listing?</t>
  </si>
  <si>
    <t>Operating equity?</t>
  </si>
  <si>
    <t>Cap snapshot</t>
  </si>
  <si>
    <t>Relevant TTM revenue USD bn</t>
  </si>
  <si>
    <t>Revenue period end</t>
  </si>
  <si>
    <t>Revenue comparable?</t>
  </si>
  <si>
    <t>Cap source URL</t>
  </si>
  <si>
    <t>Revenue source URL</t>
  </si>
  <si>
    <t>Include?</t>
  </si>
  <si>
    <t>ID count</t>
  </si>
  <si>
    <t>Cap eligible</t>
  </si>
  <si>
    <t>Revenue ready</t>
  </si>
  <si>
    <t>Input status</t>
  </si>
  <si>
    <t>US-XOM</t>
  </si>
  <si>
    <t>XOM</t>
  </si>
  <si>
    <t>ExxonMobil</t>
  </si>
  <si>
    <t>Energy</t>
  </si>
  <si>
    <t>Integrated oil; COP is secondary upstream comparison</t>
  </si>
  <si>
    <t>United States</t>
  </si>
  <si>
    <t>https://stockanalysis.com/stocks/xom/market-cap/</t>
  </si>
  <si>
    <t>US-JNJ</t>
  </si>
  <si>
    <t>JNJ</t>
  </si>
  <si>
    <t>Johnson &amp; Johnson</t>
  </si>
  <si>
    <t>Health Care</t>
  </si>
  <si>
    <t>Pharma/MedTech mix; MRK and ABT cover different segments</t>
  </si>
  <si>
    <t>https://stockanalysis.com/stocks/jnj/market-cap/</t>
  </si>
  <si>
    <t>US-PG</t>
  </si>
  <si>
    <t>PG</t>
  </si>
  <si>
    <t>Procter &amp; Gamble</t>
  </si>
  <si>
    <t>Consumer Staples</t>
  </si>
  <si>
    <t>Household/personal products; disposal-scope review pending</t>
  </si>
  <si>
    <t>https://stockanalysis.com/stocks/pg/market-cap/</t>
  </si>
  <si>
    <t>US-HD</t>
  </si>
  <si>
    <t>HD</t>
  </si>
  <si>
    <t>Home Depot</t>
  </si>
  <si>
    <t>Consumer Discretionary</t>
  </si>
  <si>
    <t>Home improvement; TSCO secondary rural retail comparison</t>
  </si>
  <si>
    <t>https://stockanalysis.com/stocks/hd/market-cap/</t>
  </si>
  <si>
    <t>US-IBM</t>
  </si>
  <si>
    <t>IBM</t>
  </si>
  <si>
    <t>Information Technology</t>
  </si>
  <si>
    <t>Mixed software/consulting/infrastructure; segment comps needed</t>
  </si>
  <si>
    <t>https://stockanalysis.com/stocks/ibm/market-cap/</t>
  </si>
  <si>
    <t>US-VZ</t>
  </si>
  <si>
    <t>VZ</t>
  </si>
  <si>
    <t>Verizon</t>
  </si>
  <si>
    <t>Communication Services</t>
  </si>
  <si>
    <t>US telecom; acquisition/perimeter review pending</t>
  </si>
  <si>
    <t>https://stockanalysis.com/stocks/vz/market-cap/</t>
  </si>
  <si>
    <t>US-HON</t>
  </si>
  <si>
    <t>HON</t>
  </si>
  <si>
    <t>Honeywell Technologies</t>
  </si>
  <si>
    <t>Industrials</t>
  </si>
  <si>
    <t>Post-separation industrial automation; continuing-scope comps</t>
  </si>
  <si>
    <t>https://stockanalysis.com/stocks/hon/market-cap/</t>
  </si>
  <si>
    <t>US-SHW</t>
  </si>
  <si>
    <t>SHW</t>
  </si>
  <si>
    <t>Sherwin-Williams</t>
  </si>
  <si>
    <t>Materials</t>
  </si>
  <si>
    <t>Paints/coatings; geographic/business-mix review pending</t>
  </si>
  <si>
    <t>https://stockanalysis.com/stocks/shw/market-cap/</t>
  </si>
  <si>
    <t>US-AEP</t>
  </si>
  <si>
    <t>AEP</t>
  </si>
  <si>
    <t>American Electric Power</t>
  </si>
  <si>
    <t>Regulated electric utilities; fuel pass-through comparability</t>
  </si>
  <si>
    <t>https://stockanalysis.com/stocks/aep/market-cap/</t>
  </si>
  <si>
    <t>US-JPM</t>
  </si>
  <si>
    <t>JPM</t>
  </si>
  <si>
    <t>JPMorgan Chase</t>
  </si>
  <si>
    <t>Financials</t>
  </si>
  <si>
    <t>US diversified banks; bank-specific profile required</t>
  </si>
  <si>
    <t>https://stockanalysis.com/stocks/jpm/market-cap/</t>
  </si>
  <si>
    <t>Selected sector ETF panel</t>
  </si>
  <si>
    <t>Document sector fit and methodology. Exclude duplicate funds, leverage and inverse exposure.</t>
  </si>
  <si>
    <t>ETF ID</t>
  </si>
  <si>
    <t>ETF name</t>
  </si>
  <si>
    <t>Management style</t>
  </si>
  <si>
    <t>AUM USD bn</t>
  </si>
  <si>
    <t>Snapshot</t>
  </si>
  <si>
    <t>Selected?</t>
  </si>
  <si>
    <t>Source URL</t>
  </si>
  <si>
    <t>Included</t>
  </si>
  <si>
    <t>Company ETF holdings</t>
  </si>
  <si>
    <t>Every eligible issuer x selected ETF pair. Confirmed absence = 0. All positions and AUM in USD bn.</t>
  </si>
  <si>
    <t>Weight in ETF</t>
  </si>
  <si>
    <t>Position USD bn</t>
  </si>
  <si>
    <t>Verified?</t>
  </si>
  <si>
    <t>ETF style</t>
  </si>
  <si>
    <t>ETF AUM USD bn</t>
  </si>
  <si>
    <t>Pair count</t>
  </si>
  <si>
    <t>Pair ready</t>
  </si>
  <si>
    <t>Equation registry and roadmap</t>
  </si>
  <si>
    <t>Equation / module</t>
  </si>
  <si>
    <t>Definition</t>
  </si>
  <si>
    <t>Status</t>
  </si>
  <si>
    <t>Required inputs</t>
  </si>
  <si>
    <t>Meaning / limitation</t>
  </si>
  <si>
    <t>Next step</t>
  </si>
  <si>
    <t>Company inclusion</t>
  </si>
  <si>
    <t>Cap &gt;= USD 10bn; primary operating equity; unique issuer; selected scope; sourced fresh cap</t>
  </si>
  <si>
    <t>Implemented</t>
  </si>
  <si>
    <t>Companies and Rules</t>
  </si>
  <si>
    <t>Company cap floor applies to every equation. ETF AUM has a separate screen.</t>
  </si>
  <si>
    <t>Screen before research</t>
  </si>
  <si>
    <t>Market-cap share</t>
  </si>
  <si>
    <t>Issuer cap / sum of cap-eligible issuer caps</t>
  </si>
  <si>
    <t>Matching scope and snapshot</t>
  </si>
  <si>
    <t>Filtered-universe capitalization share. Not operating market share.</t>
  </si>
  <si>
    <t>Confirm complete universe</t>
  </si>
  <si>
    <t>Relevant issuer TTM revenue / sum of relevant TTM revenue of eligible issuers</t>
  </si>
  <si>
    <t>Same issuer population; complete comparable revenues</t>
  </si>
  <si>
    <t>Eligible-universe share. Not full sector market share. Use disclosed relevant segment revenue.</t>
  </si>
  <si>
    <t>Confirm complete coverage</t>
  </si>
  <si>
    <t>100 * [smaller caps + 0.5*(equal caps - 1)] / (N - 1)</t>
  </si>
  <si>
    <t>At least 3 companies</t>
  </si>
  <si>
    <t>Midpoint ties. Scale proxy.</t>
  </si>
  <si>
    <t>Keep weights simple</t>
  </si>
  <si>
    <t>100 * [smaller revenues + 0.5*(equal revenues - 1)] / (N - 1)</t>
  </si>
  <si>
    <t>Complete matching universe</t>
  </si>
  <si>
    <t>Midpoint ties. Comparable revenue basis required.</t>
  </si>
  <si>
    <t>Review segment mix</t>
  </si>
  <si>
    <t>Competitive scale component</t>
  </si>
  <si>
    <t>Revenue weight * revenue percentile + cap weight * cap percentile</t>
  </si>
  <si>
    <t>Draft implemented</t>
  </si>
  <si>
    <t>50% / 50% default; weights sum to 100%</t>
  </si>
  <si>
    <t>Scale component of competitive strength; network component is implemented separately.</t>
  </si>
  <si>
    <t>Review scale/network blend weights</t>
  </si>
  <si>
    <t>Relative market valuation</t>
  </si>
  <si>
    <t>Market-cap share / revenue share</t>
  </si>
  <si>
    <t>Implemented diagnostic</t>
  </si>
  <si>
    <t>Positive revenue</t>
  </si>
  <si>
    <t>Above 1 means cap share exceeds revenue share. Excluded from strength score.</t>
  </si>
  <si>
    <t>Later valuation work</t>
  </si>
  <si>
    <t>Competitor cap rank</t>
  </si>
  <si>
    <t>Rank sector/industry competitors by issuer market cap</t>
  </si>
  <si>
    <t>Cap-eligible selected universe</t>
  </si>
  <si>
    <t>Sector competitor benchmark; separate from client/partner network.</t>
  </si>
  <si>
    <t>Use for competitor comparisons</t>
  </si>
  <si>
    <t>Competitor size comparison</t>
  </si>
  <si>
    <t>Issuer cap / average cap of other eligible issuers</t>
  </si>
  <si>
    <t>At least 2 eligible issuers</t>
  </si>
  <si>
    <t>Above 1 means larger than the average selected competitor.</t>
  </si>
  <si>
    <t>Narrow industry/country where needed</t>
  </si>
  <si>
    <t>ETF fund weight</t>
  </si>
  <si>
    <t>Sum(ETF AUM * company ETF weight) / sum(selected ETF AUM)</t>
  </si>
  <si>
    <t>Complete company x ETF panel; active/passive separated</t>
  </si>
  <si>
    <t>Equivalent to sum(position value)/sum(AUM). Each pair checks position = AUM * weight.</t>
  </si>
  <si>
    <t>Use aligned full provider holdings</t>
  </si>
  <si>
    <t>ETF company ownership</t>
  </si>
  <si>
    <t>Sum(company positions in selected funds) / company total market cap</t>
  </si>
  <si>
    <t>Implemented proxy</t>
  </si>
  <si>
    <t>Matching dates, currency and security class</t>
  </si>
  <si>
    <t>Ownership by market value is approximate. ADRs and multiple share classes need reconciliation.</t>
  </si>
  <si>
    <t>Later add exact share ownership</t>
  </si>
  <si>
    <t>ETF conviction</t>
  </si>
  <si>
    <t>Active positioning relative to a matched benchmark and changes in shares held</t>
  </si>
  <si>
    <t>Deferred</t>
  </si>
  <si>
    <t>Active holdings history and benchmark</t>
  </si>
  <si>
    <t>Passive weights follow index rules. Weight alone is not public belief.</t>
  </si>
  <si>
    <t>Design after scale equation</t>
  </si>
  <si>
    <t>Client/partner network</t>
  </si>
  <si>
    <t>50% breadth percentile + 50% median counterparty-cap percentile</t>
  </si>
  <si>
    <t>Active material public counterparties &gt;= USD10bn; complete review</t>
  </si>
  <si>
    <t>Counterparties may span sectors. Contract economics stay in future valuation.</t>
  </si>
  <si>
    <t>Network; Counterparties; Relationships</t>
  </si>
  <si>
    <t>Public contracts</t>
  </si>
  <si>
    <t>Committed remaining value; duration; recognition; customer concentration</t>
  </si>
  <si>
    <t>Deferred to valuation</t>
  </si>
  <si>
    <t>Publicly disclosed government/customer contracts</t>
  </si>
  <si>
    <t>Do not count contract ceilings or multi-year totals as annual revenue.</t>
  </si>
  <si>
    <t>Profitability</t>
  </si>
  <si>
    <t>ROIC weight * industry ROIC percentile + margin weight * industry operating-margin percentile</t>
  </si>
  <si>
    <t>Implemented; provisional weights</t>
  </si>
  <si>
    <t>Reported comparable TTM actuals; USD10bn floor; common cohort</t>
  </si>
  <si>
    <t>Default 50%/50%. ROE/cash/history diagnostics separate. No return-prediction claim.</t>
  </si>
  <si>
    <t>Profitability and Profitability inputs</t>
  </si>
  <si>
    <t>Growth</t>
  </si>
  <si>
    <t>50% industry three-year EPS-CAGR percentile + 50% industry raw management EPS-guidance-growth percentile</t>
  </si>
  <si>
    <t>Implemented; provisional equal weights</t>
  </si>
  <si>
    <t>Matching reported/adjusted/operating/core basis; completed history; annual guide</t>
  </si>
  <si>
    <t>Raw guidance used; bias adjustment diagnostic only. Missing guidance is unranked.</t>
  </si>
  <si>
    <t>Growth; Growth inputs</t>
  </si>
  <si>
    <t>Balance-sheet risk</t>
  </si>
  <si>
    <t>Leverage, interest coverage and liquidity</t>
  </si>
  <si>
    <t>Not designed</t>
  </si>
  <si>
    <t>Sector-specific debt/cash-flow definitions</t>
  </si>
  <si>
    <t>Utilities require regulatory/industry context.</t>
  </si>
  <si>
    <t>Future discussion</t>
  </si>
  <si>
    <t>Scenarios, cash flows, valuation and contracts</t>
  </si>
  <si>
    <t>Forecast methods and horizon</t>
  </si>
  <si>
    <t>Contracts reserved here.</t>
  </si>
  <si>
    <t>Overall company score</t>
  </si>
  <si>
    <t>25% competitive strength + 25% valuation + 25% growth + 25% profitability</t>
  </si>
  <si>
    <t>Candidate implemented; empirical validation blocked</t>
  </si>
  <si>
    <t>All four reviewed module scores; full client/partner review; &gt;=USD10bn</t>
  </si>
  <si>
    <t>Equal weights have a narrow isolated-error bound; not a proven cross-sector ranking.</t>
  </si>
  <si>
    <t>Overall score; Cross-sector test; Scoring checks</t>
  </si>
  <si>
    <t>Definition sources</t>
  </si>
  <si>
    <t>User specification</t>
  </si>
  <si>
    <t>Conversation 2026-10-03</t>
  </si>
  <si>
    <t>Primary</t>
  </si>
  <si>
    <t>Company floor; client/partner network; contracts; ETFs; Sheets</t>
  </si>
  <si>
    <t>Peers in strength means clients/partners; valuation peers are competitors.</t>
  </si>
  <si>
    <t/>
  </si>
  <si>
    <t>SEC Investor.gov</t>
  </si>
  <si>
    <t>https://www.investor.gov/introduction-investing/investing-basics/glossary/passive-fund-passively-managed-fund</t>
  </si>
  <si>
    <t>Passive fund definition</t>
  </si>
  <si>
    <t>ETF representation does not directly measure public conviction.</t>
  </si>
  <si>
    <t>Research stage</t>
  </si>
  <si>
    <t>No company or ETF observations populated</t>
  </si>
  <si>
    <t>Equations only</t>
  </si>
  <si>
    <t>No actuals have been fabricated</t>
  </si>
  <si>
    <t>Finance.xlsx was unavailable. Built from the agreed definitions.</t>
  </si>
  <si>
    <t>Relative valuation score</t>
  </si>
  <si>
    <t>Sum(active metric weight x peer cheapness percentile)</t>
  </si>
  <si>
    <t>Same sector/industry/country; all companies &gt;= USD 10bn</t>
  </si>
  <si>
    <t>Higher = cheaper relative to scorable peers. Not intrinsic fair value.</t>
  </si>
  <si>
    <t>Valuation tab</t>
  </si>
  <si>
    <t>Current price / next-12-month diluted EPS</t>
  </si>
  <si>
    <t>Matching NTM period; consistent reported/adjusted basis</t>
  </si>
  <si>
    <t>Zero/negative EPS = NM. No negative P/E bargain rank.</t>
  </si>
  <si>
    <t>Forecast source</t>
  </si>
  <si>
    <t>Enterprise value</t>
  </si>
  <si>
    <t>Market cap + debt incl leases + preferred + NCI - cash - nonoperating investments</t>
  </si>
  <si>
    <t>Explicit zero values; consolidated comparable EBITDA basis</t>
  </si>
  <si>
    <t>Check leases, SBC, minority claims, associates and double counting.</t>
  </si>
  <si>
    <t>Valuation inputs</t>
  </si>
  <si>
    <t>Enterprise value / next-12-month EBITDA</t>
  </si>
  <si>
    <t>Positive EV and EBITDA</t>
  </si>
  <si>
    <t>Zero/negative denominator = NM; capex/leverage still matter.</t>
  </si>
  <si>
    <t>Forecast and statements</t>
  </si>
  <si>
    <t>FCF yield proxy</t>
  </si>
  <si>
    <t>(TTM CFO - cash capex) / market cap</t>
  </si>
  <si>
    <t>Cash capex is positive outflow; matching actuals</t>
  </si>
  <si>
    <t>Can be negative. Not full FCFE; excludes net borrowing and needs common-equity adjustments where material.</t>
  </si>
  <si>
    <t>Financial statements</t>
  </si>
  <si>
    <t>Market cap / common book equity</t>
  </si>
  <si>
    <t>Positive common equity; exclude preferred and NCI</t>
  </si>
  <si>
    <t>Interpret with ROE. Utilities profile uses 20% weight; general operating uses 0%.</t>
  </si>
  <si>
    <t>Metric cheapness percentile</t>
  </si>
  <si>
    <t>100 x [count of less-attractive scorable peers + 0.5 x (equal-value count - 1)] / (N - 1)</t>
  </si>
  <si>
    <t>At least 3 scorable peers; one fixed basket</t>
  </si>
  <si>
    <t>Low P/E, EV/EBITDA and P/B score higher. High FCF yield scores higher. Ties use midpoint.</t>
  </si>
  <si>
    <t>Valuation formulas</t>
  </si>
  <si>
    <t>Peer median premium/(discount)</t>
  </si>
  <si>
    <t>Company multiple / peer median multiple - 1</t>
  </si>
  <si>
    <t>Same scorable comparison pool</t>
  </si>
  <si>
    <t>Negative = cheaper multiple. FCF uses yield difference, not division.</t>
  </si>
  <si>
    <t>Valuation comparisons</t>
  </si>
  <si>
    <t>Missing data policy</t>
  </si>
  <si>
    <t>Require every positive-weight metric. Never reweight one company silently.</t>
  </si>
  <si>
    <t>Same selected profile for every company</t>
  </si>
  <si>
    <t>Show NM and missing inputs, coverage, exclusion reason and unranked rows.</t>
  </si>
  <si>
    <t>Rank coverage</t>
  </si>
  <si>
    <t>Valuation profiles</t>
  </si>
  <si>
    <t>General: 35% PE, 35% EV/EBITDA, 30% FCF. Utilities: 40% PE, 40% EV/EBITDA, 20% PB.</t>
  </si>
  <si>
    <t>Draft assumptions</t>
  </si>
  <si>
    <t>Profile-wide editable weights; total 100%</t>
  </si>
  <si>
    <t>Custom aggregation. Standard ratios do not prescribe these weights. Financials/REITs need separate profiles.</t>
  </si>
  <si>
    <t>No predictive calibration</t>
  </si>
  <si>
    <t>Forecast and growth adjustment</t>
  </si>
  <si>
    <t>DCF/DDM, contracts, growth, margins, returns and risk adjustments</t>
  </si>
  <si>
    <t>Future forecast module and company-quality modules</t>
  </si>
  <si>
    <t>Today's cheaper multiple does not prove undervaluation or future upside.</t>
  </si>
  <si>
    <t>CFA Institute source</t>
  </si>
  <si>
    <t>https://www.cfainstitute.org/insights/professional-learning/refresher-readings/2026/market-based-valuation-price-enterprise-value-multiples</t>
  </si>
  <si>
    <t>Definitions and limitations of P/E, EV multiples and P/B</t>
  </si>
  <si>
    <t>Weights and scoring equation are our model design.</t>
  </si>
  <si>
    <t>Reviewed 2026-10-03</t>
  </si>
  <si>
    <t>Client/partner network score</t>
  </si>
  <si>
    <t>Breadth weight * breadth percentile + size weight * median-cap percentile</t>
  </si>
  <si>
    <t>Verified active material public relationships; completed review</t>
  </si>
  <si>
    <t>Default 50%/50%. Custom proxy for disclosed public network; not a proven moat or return predictor.</t>
  </si>
  <si>
    <t>Network tab</t>
  </si>
  <si>
    <t>Network breadth</t>
  </si>
  <si>
    <t>Count unique qualifying counterparty issuer IDs</t>
  </si>
  <si>
    <t>Each included active subject/counterparty pair appears once</t>
  </si>
  <si>
    <t>Client and partner roles count once for breadth; role diagnostic counts may overlap.</t>
  </si>
  <si>
    <t>Deduplicate at issuer level</t>
  </si>
  <si>
    <t>Counterparty size</t>
  </si>
  <si>
    <t>Median market cap of qualifying counterparties, USD bn</t>
  </si>
  <si>
    <t>Fresh sourced public cap &gt;= effective USD10bn floor</t>
  </si>
  <si>
    <t>Median limits a single giant client's influence. Cap does not measure contract value or credit quality.</t>
  </si>
  <si>
    <t>Later independent/lagged company scores</t>
  </si>
  <si>
    <t>Network peer percentile</t>
  </si>
  <si>
    <t>100 * [smaller values + 0.5 * (equal values - 1)] / (N - 1)</t>
  </si>
  <si>
    <t>Same selected sector/industry/country; &gt;= minimum complete reviews</t>
  </si>
  <si>
    <t>Relative ranking. Ties use midpoint. Confirmed zero-network rows score zero.</t>
  </si>
  <si>
    <t>Monitor review coverage</t>
  </si>
  <si>
    <t>Relationship inclusion</t>
  </si>
  <si>
    <t>Active, material, dated, sourced; unique company/counterparty pair</t>
  </si>
  <si>
    <t>Source URL; source and verification dates; clear commercial role</t>
  </si>
  <si>
    <t>Duplicate active pairs, unresolved records, stale caps and invalid dates block affected issuer scoring.</t>
  </si>
  <si>
    <t>Use filings, filed agreements or official IR</t>
  </si>
  <si>
    <t>Zero / missing research</t>
  </si>
  <si>
    <t>Zero only after complete dated review confirms no qualifying relationships</t>
  </si>
  <si>
    <t>Review complete = Yes; review date and source/scope log</t>
  </si>
  <si>
    <t>Private/government/retail relationships are outside this scored subset; absence is not absence of competitive advantage.</t>
  </si>
  <si>
    <t>Review sector suitability</t>
  </si>
  <si>
    <t>Competitive strength blend</t>
  </si>
  <si>
    <t>Scale weight * scale score + network weight * network score</t>
  </si>
  <si>
    <t>Default 50% scale / 50% network; required components numeric</t>
  </si>
  <si>
    <t>No company-specific reweighting. ETF diagnostics stay separate; contract economics feed future valuation.</t>
  </si>
  <si>
    <t>Strength T:V</t>
  </si>
  <si>
    <t>Client/partner score upgrade</t>
  </si>
  <si>
    <t>Use independently computed or lagged counterparty company scores</t>
  </si>
  <si>
    <t>External score snapshot, method version and date</t>
  </si>
  <si>
    <t>No self-referential network/overall score feedback. Current implementation uses cap only.</t>
  </si>
  <si>
    <t>After overall company scores</t>
  </si>
  <si>
    <t>Market capitalization source</t>
  </si>
  <si>
    <t>https://www.investor.gov/introduction-investing/investing-basics/glossary/market-capitalization</t>
  </si>
  <si>
    <t>Primary definition</t>
  </si>
  <si>
    <t>Share price * outstanding shares</t>
  </si>
  <si>
    <t>SEC definition supports size measure; weighting and network equation are our draft design.</t>
  </si>
  <si>
    <t>Utilities applicability</t>
  </si>
  <si>
    <t>Documented public-company commercial network only</t>
  </si>
  <si>
    <t>Model limitation</t>
  </si>
  <si>
    <t>Regulated territory and customer mix assessed elsewhere</t>
  </si>
  <si>
    <t>Utilities serving households, private firms or government can score zero here despite strong businesses.</t>
  </si>
  <si>
    <t>Keep as one competitive-strength component</t>
  </si>
  <si>
    <t>Profitability score</t>
  </si>
  <si>
    <t>0.5 * ROIC percentile + 0.5 * operating-margin percentile</t>
  </si>
  <si>
    <t>Implemented; weights assumed</t>
  </si>
  <si>
    <t>Same reviewed business cohort and accounting standard; both metrics available</t>
  </si>
  <si>
    <t>Range 0–100. Higher means stronger relative reported profitability. Loss flags remain visible.</t>
  </si>
  <si>
    <t>Profitability K15:K64</t>
  </si>
  <si>
    <t>ROIC</t>
  </si>
  <si>
    <t>Operating income * (1 - documented operating tax rate) / average invested capital</t>
  </si>
  <si>
    <t>Derived from reported inputs</t>
  </si>
  <si>
    <t>Interest-bearing debt + consolidated total equity - nonoperating cash/investments; average opening and closing</t>
  </si>
  <si>
    <t>Use lease debt consistent with reported expense treatment; include preferred/NCI in consolidated equity. Tax is an explicit analytical input.</t>
  </si>
  <si>
    <t>Profitability inputs AG6:AG205</t>
  </si>
  <si>
    <t>Operating profit margin</t>
  </si>
  <si>
    <t>Reported operating income / reported revenue</t>
  </si>
  <si>
    <t>Depreciation remains an expense; positive revenue; consistent consolidated scope</t>
  </si>
  <si>
    <t>Utility fuel-cost recovery can move the denominator without matching profit changes. Review cohort suitability.</t>
  </si>
  <si>
    <t>Profitability inputs AH6:AH205</t>
  </si>
  <si>
    <t>Profitability percentile</t>
  </si>
  <si>
    <t>100 * [lower values + 0.5 * (equal values - 1)] / (N - 1)</t>
  </si>
  <si>
    <t>At least 3 complete same-cohort companies; universe confirmed</t>
  </si>
  <si>
    <t>Includes issuer; tied values receive midpoint ranks. Identical metrics for all firms return 50.</t>
  </si>
  <si>
    <t>Profitability I:J</t>
  </si>
  <si>
    <t>Common return on equity</t>
  </si>
  <si>
    <t>Common net income / average common shareholders' equity</t>
  </si>
  <si>
    <t>Diagnostic only</t>
  </si>
  <si>
    <t>Positive opening and closing common equity; exclude preferred and NCI</t>
  </si>
  <si>
    <t>Leverage and buybacks can increase ROE. Does not add an independent score weight.</t>
  </si>
  <si>
    <t>Profitability N</t>
  </si>
  <si>
    <t>Cash backing of earnings</t>
  </si>
  <si>
    <t>Sum(three annual operating cash flows) / sum(three annual consolidated net incomes)</t>
  </si>
  <si>
    <t>Three complete comparable annual periods; positive cumulative net income</t>
  </si>
  <si>
    <t>Read with depreciation, deferred tax and working-capital movements. Larger is not automatically better.</t>
  </si>
  <si>
    <t>Profitability O</t>
  </si>
  <si>
    <t>Profitability history</t>
  </si>
  <si>
    <t>Median of three comparable annual ROIC/margin values; TTM minus median in percentage points</t>
  </si>
  <si>
    <t>FY0 / FY-1 / FY-2 aligned to current TTM scope, currency, basis and cutoff</t>
  </si>
  <si>
    <t>Three-year level comparison is not revenue/EPS growth and has no extra score weight.</t>
  </si>
  <si>
    <t>Profitability P:S</t>
  </si>
  <si>
    <t>Adjusted profitability</t>
  </si>
  <si>
    <t>Optional adjusted operating profit using explicit adjusted tax rate and the same reported capital base</t>
  </si>
  <si>
    <t>Document reported-to-adjusted bridge; no default substitution</t>
  </si>
  <si>
    <t>Does not constitute fully normalized invested capital. Adjusted figures never replace the reported ranking silently.</t>
  </si>
  <si>
    <t>Profitability T:U</t>
  </si>
  <si>
    <t>Profitability coverage</t>
  </si>
  <si>
    <t>Require sourced, dated, unique complete core inputs and a reviewed common cohort</t>
  </si>
  <si>
    <t>Same hard USD10bn floor; no loss-company screen</t>
  </si>
  <si>
    <t>Missing is unavailable. CFO/ROE/history gaps remain diagnostic flags rather than hidden weight changes.</t>
  </si>
  <si>
    <t>Profitability V:W</t>
  </si>
  <si>
    <t>Profitability benchmark</t>
  </si>
  <si>
    <t>ROIC-only percentile alongside the two-metric score; display score difference</t>
  </si>
  <si>
    <t>Same scorable cohort and dates</t>
  </si>
  <si>
    <t>Permits later redundancy/stability checks. Standard ratios do not validate our aggregation weights.</t>
  </si>
  <si>
    <t>Profitability Y:Z</t>
  </si>
  <si>
    <t>Engine-level formula checks before company research; future point-in-time empirical test</t>
  </si>
  <si>
    <t>Formula checks passed; empirical validation pending</t>
  </si>
  <si>
    <t>Ties, negative profits, missing values, date/cap/cohort rules and cash-history conditions</t>
  </si>
  <si>
    <t>Passing formula tests does not prove stock-return prediction or persistence of profitability.</t>
  </si>
  <si>
    <t>No historical profitability test yet</t>
  </si>
  <si>
    <t>CFA profitability definitions</t>
  </si>
  <si>
    <t>https://www.cfainstitute.org/sites/default/files/-/media/documents/support/programs/cfa/cfa_program_level_ii_financial_ratio_list.pdf</t>
  </si>
  <si>
    <t>Primary definitions</t>
  </si>
  <si>
    <t>Operating margin, ROE, capital return and average balances</t>
  </si>
  <si>
    <t>Use a consistently documented definition; aggregation weights are our model design.</t>
  </si>
  <si>
    <t>NYU Stern / Damodaran</t>
  </si>
  <si>
    <t>https://pages.stern.nyu.edu/~adamodar/New_Home_Page/definitions.html</t>
  </si>
  <si>
    <t>Primary methodology</t>
  </si>
  <si>
    <t>ROIC, nonoperating capital deductions, operating taxes and accounting distortions</t>
  </si>
  <si>
    <t>ROIC is a derived analytical ratio, not a GAAP line item.</t>
  </si>
  <si>
    <t>Utility margin comparability</t>
  </si>
  <si>
    <t>https://www.sec.gov/Archives/edgar/data/72909/000007290325000023/xcelearningsreleaseq42024.htm</t>
  </si>
  <si>
    <t>Company primary disclosure</t>
  </si>
  <si>
    <t>Xcel explanation of fuel/gas revenue recovery and limited earnings impact</t>
  </si>
  <si>
    <t>Illustrates why commodity pass-through and business mix require review.</t>
  </si>
  <si>
    <t>Combined scoring protocol</t>
  </si>
  <si>
    <t>S = (C + V + G + P) / 4</t>
  </si>
  <si>
    <t>Candidate</t>
  </si>
  <si>
    <t>All module scores normalized within reviewed sector/industry cohorts</t>
  </si>
  <si>
    <t>Competitors define benchmarking; clients/partners define network strength.</t>
  </si>
  <si>
    <t>2026-10-03</t>
  </si>
  <si>
    <t>Why 25% each</t>
  </si>
  <si>
    <t>For one module-score error &lt;=e, worst score error = e * max(weight)</t>
  </si>
  <si>
    <t>Mathematical result</t>
  </si>
  <si>
    <t>Nonnegative weights sum to one; equally bounded isolated module error</t>
  </si>
  <si>
    <t>Equal weights minimize max(weight)=1/4. No empirically optimal investing-weight claim.</t>
  </si>
  <si>
    <t>Scoring checks</t>
  </si>
  <si>
    <t>Simultaneous module errors</t>
  </si>
  <si>
    <t>If every module error &lt;=10, worst aggregate error can be 10</t>
  </si>
  <si>
    <t>Limitation</t>
  </si>
  <si>
    <t>Correlations and common source inputs matter</t>
  </si>
  <si>
    <t>Equal weighting does not eliminate shared earnings/revenue risk or double counting.</t>
  </si>
  <si>
    <t>Weight sensitivity</t>
  </si>
  <si>
    <t>One weight ±0.10; other three ∓0.10/3</t>
  </si>
  <si>
    <t>Eight scenarios; all modules complete</t>
  </si>
  <si>
    <t>Score interval is weight sensitivity, not a confidence interval or robust-rank proof.</t>
  </si>
  <si>
    <t>Overall score!L:N</t>
  </si>
  <si>
    <t>Full coverage</t>
  </si>
  <si>
    <t>All four modules required; no zero imputation or renormalizing</t>
  </si>
  <si>
    <t>User-approved rule</t>
  </si>
  <si>
    <t>Full client/partner network data required</t>
  </si>
  <si>
    <t>Missing client disclosures are unknown; do not treat an example list as a complete review.</t>
  </si>
  <si>
    <t>Overall score</t>
  </si>
  <si>
    <t>Growth equation</t>
  </si>
  <si>
    <t>(EPS latest / EPS three years earlier)^(1/3)-1; guide=(midpoint/last EPS)-1</t>
  </si>
  <si>
    <t>User-selected EPS basis</t>
  </si>
  <si>
    <t>Positive matching EPS bases; same perimeter/share basis</t>
  </si>
  <si>
    <t>Latest annual guide is not rolling NTM consensus.</t>
  </si>
  <si>
    <t>Growth inputs</t>
  </si>
  <si>
    <t>Growth timing</t>
  </si>
  <si>
    <t>Annual baseline &lt;=400 days; guide &lt;=120 days; cohort FY-end ±45 days</t>
  </si>
  <si>
    <t>Draft time controls</t>
  </si>
  <si>
    <t>Availability dates no later than research cutoff</t>
  </si>
  <si>
    <t>Annual growth baselines need different freshness controls from TTM profitability.</t>
  </si>
  <si>
    <t>Growth controls</t>
  </si>
  <si>
    <t>EPS matching</t>
  </si>
  <si>
    <t>Reported, adjusted, operating and core remain explicit</t>
  </si>
  <si>
    <t>Implemented gate</t>
  </si>
  <si>
    <t>Actual, history and guidance bases must match within issuer</t>
  </si>
  <si>
    <t>Same label across companies does not prove equal exclusions; comparability review required.</t>
  </si>
  <si>
    <t>Guidance bias</t>
  </si>
  <si>
    <t>Not included in score</t>
  </si>
  <si>
    <t>Latest user selection</t>
  </si>
  <si>
    <t>Prior utility pilot retained separately</t>
  </si>
  <si>
    <t>3-year correction raised main-sample EPS growth MAE 11.6%; not automatic.</t>
  </si>
  <si>
    <t>Growth!A78:G83</t>
  </si>
  <si>
    <t>Actual-company test</t>
  </si>
  <si>
    <t>XOM; JNJ; PG; HD; IBM; VZ; HON; SHW; AEP; JPM</t>
  </si>
  <si>
    <t>Source / portability test</t>
  </si>
  <si>
    <t>Ten different GICS sectors; Real Estate excluded</t>
  </si>
  <si>
    <t>Convenience sample, not independent predictive validation or a return backtest.</t>
  </si>
  <si>
    <t>Cross-sector test</t>
  </si>
  <si>
    <t>Input coverage</t>
  </si>
  <si>
    <t>10 cap passes; 7 matching EPS guides; 0 complete four-module records</t>
  </si>
  <si>
    <t>Observed source audit</t>
  </si>
  <si>
    <t>NTM, full networks and completed metric cohorts still missing</t>
  </si>
  <si>
    <t>Cannot estimate optimal weights, rank correlations or cross-sector rank consistency.</t>
  </si>
  <si>
    <t>Test sources</t>
  </si>
  <si>
    <t>Banks</t>
  </si>
  <si>
    <t>Current ROIC/operating-margin and EV/EBITDA profile unsupported</t>
  </si>
  <si>
    <t>Needs adapter</t>
  </si>
  <si>
    <t>JPM; ROE/ROTCE/efficiency and earnings/book-value candidates</t>
  </si>
  <si>
    <t>A future bank adapter needs peer validation before a composite score.</t>
  </si>
  <si>
    <t>Corporate actions</t>
  </si>
  <si>
    <t>HON current recast EPS base 6.46 vs legacy 9.78</t>
  </si>
  <si>
    <t>Verified issue</t>
  </si>
  <si>
    <t>Current guidance 8.05–8.35; use continuing/recast share basis</t>
  </si>
  <si>
    <t>Incorrect baseline reverses interpretation; capital and TTM schedules also need recast.</t>
  </si>
  <si>
    <t>Market data conflict</t>
  </si>
  <si>
    <t>Cap sources differ; pass floor only if both exceed floor</t>
  </si>
  <si>
    <t>Observed issue</t>
  </si>
  <si>
    <t>Do not average conflicting issuer share counts into scale ranks</t>
  </si>
  <si>
    <t>Test display uses conservative minimum for eligibility only; official scale inputs need reconciliation.</t>
  </si>
  <si>
    <t>Small cohort sensitivity</t>
  </si>
  <si>
    <t>For N=3, one rank-position step is 50 percentile points</t>
  </si>
  <si>
    <t>Arithmetic limitation</t>
  </si>
  <si>
    <t>Midrank normalization; &gt;=3 is an engine minimum</t>
  </si>
  <si>
    <t>Increase high-quality peer coverage before treating ranks as stable; $10bn filter is not statistical overfit prevention.</t>
  </si>
  <si>
    <t>All percentile modules</t>
  </si>
  <si>
    <t>Absolute vs relative quality</t>
  </si>
  <si>
    <t>Industry-normalized rank is relative standing</t>
  </si>
  <si>
    <t>Interpretation</t>
  </si>
  <si>
    <t>Financial strength and valuation blend is a screening score</t>
  </si>
  <si>
    <t>High sector percentile does not prove equal absolute solvency across sectors.</t>
  </si>
  <si>
    <t>Deferred modules</t>
  </si>
  <si>
    <t>Contracts/future valuation and balance-sheet risk not included</t>
  </si>
  <si>
    <t>Preserved scope</t>
  </si>
  <si>
    <t>No risk/valuation module silently added</t>
  </si>
  <si>
    <t>This is not a complete credit-strength or intrinsic-value model.</t>
  </si>
  <si>
    <t>Equations</t>
  </si>
  <si>
    <t>Preserved research scope</t>
  </si>
  <si>
    <t>Test issuers registered with Include=No</t>
  </si>
  <si>
    <t>Current model control</t>
  </si>
  <si>
    <t>Scope/universe controls remain unconfirmed</t>
  </si>
  <si>
    <t>Actual source test separate from a completed single-sector research panel.</t>
  </si>
  <si>
    <t>Companies</t>
  </si>
  <si>
    <t>Primary source audit</t>
  </si>
  <si>
    <t>See each company actual/guidance URLs</t>
  </si>
  <si>
    <t>Source backed</t>
  </si>
  <si>
    <t>Sourced growth calculations recomputed in Sheets</t>
  </si>
  <si>
    <t>Readiness/QA checks are separate from empirical investing evidence.</t>
  </si>
  <si>
    <t>Composite methodology</t>
  </si>
  <si>
    <t>https://knowledge4policy.ec.europa.eu/sites/default/files/jrc47008_handbook_final.pdf</t>
  </si>
  <si>
    <t>OECD/JRC primary reference</t>
  </si>
  <si>
    <t>Normalization, weights, missingness and uncertainty/sensitivity</t>
  </si>
  <si>
    <t>Reference supports methodological checks, not this model's specific weights.</t>
  </si>
  <si>
    <t>GICS structure</t>
  </si>
  <si>
    <t>https://www.spglobal.com/spdji/en/landing/topic/gics/</t>
  </si>
  <si>
    <t>Primary classification reference</t>
  </si>
  <si>
    <t>Eleven sectors; this sample deliberately covers ten</t>
  </si>
  <si>
    <t>Do not treat ten targets as one comparable industry cohort.</t>
  </si>
  <si>
    <t>Actual-input diagnostic</t>
  </si>
  <si>
    <t>30 companies:10 targets and20 peers</t>
  </si>
  <si>
    <t>Experimental cross-sector comparison</t>
  </si>
  <si>
    <t>Sources / calculations: Pilot inputs and Pilot scores</t>
  </si>
  <si>
    <t>All primary listings pass the hard USD10bn floor</t>
  </si>
  <si>
    <t>2026-10-03 snapshot</t>
  </si>
  <si>
    <t>Prototype changes</t>
  </si>
  <si>
    <t>Scale-only / trailing value / revenue growth / vendor profitability</t>
  </si>
  <si>
    <t>Separate variant, not original metric</t>
  </si>
  <si>
    <t>No client-network weight, NTM estimate, EPS guidance or custom ROIC silently substituted</t>
  </si>
  <si>
    <t>Original full scores remain unranked</t>
  </si>
  <si>
    <t>Source gaps are explicit</t>
  </si>
  <si>
    <t>Weight tests</t>
  </si>
  <si>
    <t>Three fixed candidate vectors; eight ±10pp scenarios</t>
  </si>
  <si>
    <t>Rank sensitivity, not optimal-weight estimation</t>
  </si>
  <si>
    <t>Input tests</t>
  </si>
  <si>
    <t>160 isolated ±5% target-input perturbations</t>
  </si>
  <si>
    <t>Maximum target rank movement, equal / profit40 / value40</t>
  </si>
  <si>
    <t>Selection finding</t>
  </si>
  <si>
    <t>Equal has lower mean weight-test movement; value40 lower input-test movement</t>
  </si>
  <si>
    <t>No universal winner across protocols</t>
  </si>
  <si>
    <t>Retain equal weights as provisional prior</t>
  </si>
  <si>
    <t>Do not optimize on these ten chosen examples</t>
  </si>
  <si>
    <t>Need broader cohorts and more dates</t>
  </si>
  <si>
    <t>Original readiness</t>
  </si>
  <si>
    <t>Complete original score records</t>
  </si>
  <si>
    <t>Full disclosed network reviews / aligned NTM estimates / matched EPS guidance / custom ROIC schedules remain unfinished</t>
  </si>
  <si>
    <t>Prototype ranks are not full-model ranks</t>
  </si>
  <si>
    <t>No return-prediction validation</t>
  </si>
  <si>
    <t>Source definitions</t>
  </si>
  <si>
    <t>Vendor standardized metrics can differ from GAAP</t>
  </si>
  <si>
    <t>PG vendor margin24.81% vs primary22.6904%</t>
  </si>
  <si>
    <t>Reconcile before filling reported profitability inputs</t>
  </si>
  <si>
    <t>See Test sources primary audit</t>
  </si>
  <si>
    <t>Do not certify proxy equivalence</t>
  </si>
  <si>
    <t>Audit status</t>
  </si>
  <si>
    <t>2,080 independent sensitivity comparisons matched Sheets</t>
  </si>
  <si>
    <t>30 company records verified against60 vendor source pages</t>
  </si>
  <si>
    <t>8 weight scenarios +160 input scenarios</t>
  </si>
  <si>
    <t>Zero formula errors at arithmetic check</t>
  </si>
  <si>
    <t>Final metadata / source-value verification also required</t>
  </si>
  <si>
    <t>Enter company-level data. All monetary totals in USD bn; share price and EPS in USD. Zero is an explicit input.</t>
  </si>
  <si>
    <t>In cap universe</t>
  </si>
  <si>
    <t>Price USD</t>
  </si>
  <si>
    <t>NTM diluted EPS USD</t>
  </si>
  <si>
    <t>NTM EBITDA USD bn</t>
  </si>
  <si>
    <t>TTM CFO USD bn</t>
  </si>
  <si>
    <t>TTM cash capex USD bn</t>
  </si>
  <si>
    <t>Common book equity USD bn</t>
  </si>
  <si>
    <t>Debt incl leases USD bn</t>
  </si>
  <si>
    <t>Cash USD bn</t>
  </si>
  <si>
    <t>Preferred USD bn</t>
  </si>
  <si>
    <t>Noncontrolling interests USD bn</t>
  </si>
  <si>
    <t>Nonoperating investments USD bn</t>
  </si>
  <si>
    <t>Market/estimate snapshot</t>
  </si>
  <si>
    <t>Financial period end</t>
  </si>
  <si>
    <t>Price/cap source URL</t>
  </si>
  <si>
    <t>Forecast source URL</t>
  </si>
  <si>
    <t>Financials source URL</t>
  </si>
  <si>
    <t>Comparability verified?</t>
  </si>
  <si>
    <t>Earnings basis</t>
  </si>
  <si>
    <t>Base inputs ready</t>
  </si>
  <si>
    <t>Enterprise value USD bn</t>
  </si>
  <si>
    <t>TTM FCF USD bn</t>
  </si>
  <si>
    <t>Company lookup count</t>
  </si>
  <si>
    <t>Client and partner counterparties</t>
  </si>
  <si>
    <t>Public operating issuers across sectors; USD10bn minimum. Enter issuer-level cap, snapshot and source once.</t>
  </si>
  <si>
    <t>Counterparty ID</t>
  </si>
  <si>
    <t>Counterparty company</t>
  </si>
  <si>
    <t>Cap data ready</t>
  </si>
  <si>
    <t>Client and partnership relationships</t>
  </si>
  <si>
    <t>One included active row per issuer/counterparty pair. Dual roles use Client and partner. Source and verify a material commercial tie.</t>
  </si>
  <si>
    <t>Company issuer ID</t>
  </si>
  <si>
    <t>Relationship type</t>
  </si>
  <si>
    <t>Commercial role / evidence notes</t>
  </si>
  <si>
    <t>Activity</t>
  </si>
  <si>
    <t>Start date</t>
  </si>
  <si>
    <t>End date</t>
  </si>
  <si>
    <t>Relationship source URL</t>
  </si>
  <si>
    <t>Source date</t>
  </si>
  <si>
    <t>Last verified</t>
  </si>
  <si>
    <t>Material commercial relationship?</t>
  </si>
  <si>
    <t>Company ID count</t>
  </si>
  <si>
    <t>Counterparty ID count</t>
  </si>
  <si>
    <t>Active included pair count</t>
  </si>
  <si>
    <t>Counterparty cap USD bn</t>
  </si>
  <si>
    <t>Counterparty status</t>
  </si>
  <si>
    <t>Relationship status</t>
  </si>
  <si>
    <t>Eligible pair</t>
  </si>
  <si>
    <t>Blocking record</t>
  </si>
  <si>
    <t>Evidence ready</t>
  </si>
  <si>
    <t>Scoring method</t>
  </si>
  <si>
    <t>Higher score = stronger reported profitability within the same business cohort and accounting standard. Weights are a starting assumption.</t>
  </si>
  <si>
    <t>Scored metric</t>
  </si>
  <si>
    <t>Effective cap floor USD bn</t>
  </si>
  <si>
    <t>ROIC percentile</t>
  </si>
  <si>
    <t>Minimum companies per cohort</t>
  </si>
  <si>
    <t>Operating-margin percentile</t>
  </si>
  <si>
    <t>Total</t>
  </si>
  <si>
    <t>Core-ready issuers</t>
  </si>
  <si>
    <t>Model readiness</t>
  </si>
  <si>
    <t>Weights have not been fitted or historically validated.</t>
  </si>
  <si>
    <t>Financial basis</t>
  </si>
  <si>
    <t>Reported; adjusted results diagnostic</t>
  </si>
  <si>
    <t>ROE, cash backing and three-year history carry no score weight.</t>
  </si>
  <si>
    <t>Data cutoff</t>
  </si>
  <si>
    <t>Use similar business models; keep regulated utilities separate from merchant generation.</t>
  </si>
  <si>
    <t>Business comparison cohort</t>
  </si>
  <si>
    <t>Accounting standard</t>
  </si>
  <si>
    <t>TTM period end</t>
  </si>
  <si>
    <t>Reported ROIC</t>
  </si>
  <si>
    <t>Operating margin</t>
  </si>
  <si>
    <t>ROIC percentile /100</t>
  </si>
  <si>
    <t>Margin percentile /100</t>
  </si>
  <si>
    <t>Profitability score /100</t>
  </si>
  <si>
    <t>Cohort rank</t>
  </si>
  <si>
    <t>Scorable cohort size</t>
  </si>
  <si>
    <t>Common ROE</t>
  </si>
  <si>
    <t>3-year CFO / net income</t>
  </si>
  <si>
    <t>3-year median ROIC</t>
  </si>
  <si>
    <t>3-year median margin</t>
  </si>
  <si>
    <t>ROIC vs history (pp)</t>
  </si>
  <si>
    <t>Margin vs history (pp)</t>
  </si>
  <si>
    <t>Adjusted ROIC</t>
  </si>
  <si>
    <t>Adjusted operating margin</t>
  </si>
  <si>
    <t>Quality flags</t>
  </si>
  <si>
    <t>Core ready</t>
  </si>
  <si>
    <t>ROIC-only benchmark /100</t>
  </si>
  <si>
    <t>Score vs ROIC-only (points)</t>
  </si>
  <si>
    <t>Comparable annual records</t>
  </si>
  <si>
    <t>Tax / scope / adjustment notes</t>
  </si>
  <si>
    <t>Profitability financial inputs</t>
  </si>
  <si>
    <t>Period roles</t>
  </si>
  <si>
    <t>Enter one TTM and three annual records per issuer: FY0 is the latest completed fiscal year; FY-1 and FY-2 are the preceding years.</t>
  </si>
  <si>
    <t>Financial units</t>
  </si>
  <si>
    <t>Monetary inputs use the issuer reporting currency, in billions. Keep that currency consistent across the issuer history. Market-cap eligibility remains in USD.</t>
  </si>
  <si>
    <t>Period role</t>
  </si>
  <si>
    <t>Period end</t>
  </si>
  <si>
    <t>Available date</t>
  </si>
  <si>
    <t>Opening balance date</t>
  </si>
  <si>
    <t>Reporting currency</t>
  </si>
  <si>
    <t>Revenue (bn)</t>
  </si>
  <si>
    <t>Operating profit (bn)</t>
  </si>
  <si>
    <t>Operating tax rate</t>
  </si>
  <si>
    <t>Interest-bearing debt opening (bn)</t>
  </si>
  <si>
    <t>Interest-bearing debt closing (bn)</t>
  </si>
  <si>
    <t>Total equity opening (bn)</t>
  </si>
  <si>
    <t>Total equity closing (bn)</t>
  </si>
  <si>
    <t>Nonoperating assets opening (bn)</t>
  </si>
  <si>
    <t>Nonoperating assets closing (bn)</t>
  </si>
  <si>
    <t>Common net income (bn)</t>
  </si>
  <si>
    <t>Common equity opening (bn)</t>
  </si>
  <si>
    <t>Common equity closing (bn)</t>
  </si>
  <si>
    <t>Operating cash flow (bn)</t>
  </si>
  <si>
    <t>Consolidated net income (bn)</t>
  </si>
  <si>
    <t>Adjusted operating profit (bn)</t>
  </si>
  <si>
    <t>Adjusted operating tax rate</t>
  </si>
  <si>
    <t>Issuer / period count</t>
  </si>
  <si>
    <t>Record ready</t>
  </si>
  <si>
    <t>Average invested capital (bn)</t>
  </si>
  <si>
    <t>Operating profit after tax (bn)</t>
  </si>
  <si>
    <t>History comparable</t>
  </si>
  <si>
    <t>Growth and guidance</t>
  </si>
  <si>
    <t>50% historical EPS-growth percentile + 50% raw guided EPS-growth percentile; annual guidance is not NTM consensus.</t>
  </si>
  <si>
    <t>Component</t>
  </si>
  <si>
    <t>Minimum cohort N</t>
  </si>
  <si>
    <t>Three-year EPS CAGR percentile</t>
  </si>
  <si>
    <t>Maximum guidance age days</t>
  </si>
  <si>
    <t>Raw EPS guidance-growth percentile</t>
  </si>
  <si>
    <t>Maximum annual-base age days</t>
  </si>
  <si>
    <t>FY-end alignment days</t>
  </si>
  <si>
    <t>Loss/non-positive EPS bases, incomplete history or unmatched scope remain unranked. Per-cohort fiscal-end/basis controls apply.</t>
  </si>
  <si>
    <t>Growth cohort</t>
  </si>
  <si>
    <t>EPS basis</t>
  </si>
  <si>
    <t>Three-year EPS CAGR</t>
  </si>
  <si>
    <t>Raw guided EPS growth</t>
  </si>
  <si>
    <t>CAGR percentile /100</t>
  </si>
  <si>
    <t>Guidance percentile /100</t>
  </si>
  <si>
    <t>Growth score /100</t>
  </si>
  <si>
    <t>Scorable cohort N</t>
  </si>
  <si>
    <t>Guidance year end</t>
  </si>
  <si>
    <t>Guidance width (growth pp)</t>
  </si>
  <si>
    <t>Bias-adjusted growth diagnostic</t>
  </si>
  <si>
    <t>Bias diagnostic status</t>
  </si>
  <si>
    <t>Last annual period end</t>
  </si>
  <si>
    <t>Annual EPS actuals, three-year matched history and raw management guidance. Blue cells require sourced review.</t>
  </si>
  <si>
    <t>Actual EPS basis</t>
  </si>
  <si>
    <t>Last fiscal-year end</t>
  </si>
  <si>
    <t>Last annual EPS</t>
  </si>
  <si>
    <t>Fiscal-year end 3 years earlier</t>
  </si>
  <si>
    <t>EPS 3 years earlier</t>
  </si>
  <si>
    <t>Actuals available date</t>
  </si>
  <si>
    <t>Guidance fiscal-year end</t>
  </si>
  <si>
    <t>EPS guide low</t>
  </si>
  <si>
    <t>EPS guide high</t>
  </si>
  <si>
    <t>Guidance publication</t>
  </si>
  <si>
    <t>Actual EPS source URL</t>
  </si>
  <si>
    <t>Three-year history source URL</t>
  </si>
  <si>
    <t>Guidance source URL</t>
  </si>
  <si>
    <t>Same basis/scope reviewed?</t>
  </si>
  <si>
    <t>Comparability / recast notes</t>
  </si>
  <si>
    <t>Past 3-year median guide error</t>
  </si>
  <si>
    <t>Bias adjustment source/log</t>
  </si>
  <si>
    <t>Issuer/record count</t>
  </si>
  <si>
    <t>Core input ready</t>
  </si>
  <si>
    <t>Guidance EPS basis</t>
  </si>
  <si>
    <t>Historical EPS basis</t>
  </si>
  <si>
    <t>Historical data available</t>
  </si>
  <si>
    <t>Historical scope reviewed?</t>
  </si>
  <si>
    <t>https://corporate.exxonmobil.com/news/news-releases/2026/0130-exxonmobil-announces-2025-results</t>
  </si>
  <si>
    <t>https://investor.exxonmobil.com/sec-filings/all-sec-filings/content/0000034088-26-000093/xom-20260630.htm</t>
  </si>
  <si>
    <t>US GAAP</t>
  </si>
  <si>
    <t>No annual EPS guidance in inspected FY/Q2 sources; capex/production outlook cannot substitute. Exact guidance fiscal-end and three-year matched EPS history require verification.</t>
  </si>
  <si>
    <t>https://www.investor.jnj.com/investor-news/news-details/2026/Johnson--Johnson-reports-Q4-and-Full-Year-2025-results/</t>
  </si>
  <si>
    <t>https://www.investor.jnj.com/investor-news/news-details/2026/Johnson--Johnson-reports-Q2-2026-results-raises-2026-outlook/default.aspx</t>
  </si>
  <si>
    <t>Exact range midpoint 11.675; company headline rounds to 11.68. Portfolio/scope review pending. Exact guidance fiscal-end and three-year matched EPS history require verification.</t>
  </si>
  <si>
    <t>Core</t>
  </si>
  <si>
    <t>https://www.pginvestor.com/news/news-details/2026/PG-Announces-Fourth-Quarter-and-Fiscal-Year-2026-Results/default.aspx</t>
  </si>
  <si>
    <t>Range arithmetic gives 1.5965%; published rounded growth midpoint 1.5%. Exact guidance fiscal-end and three-year matched EPS history require verification.</t>
  </si>
  <si>
    <t>https://ir.homedepot.com/news-releases/2026/02-24-2026-110040985</t>
  </si>
  <si>
    <t>https://ir.homedepot.com/news-releases/2026/08-18-2026-110040463</t>
  </si>
  <si>
    <t>Company guides EPS growth 0–4%; EPS bounds are derived from stated $14.69 base. FY2025 had 52 weeks versus 53 weeks in FY2024. Exact guidance fiscal-end and three-year matched EPS history require verification.</t>
  </si>
  <si>
    <t>Operating</t>
  </si>
  <si>
    <t>https://newsroom.ibm.com/2026-01-28-IBM-RELEASES-FOURTH-QUARTER-RESULTS</t>
  </si>
  <si>
    <t>https://newsroom.ibm.com/2026-07-22-IBM-RELEASES-SECOND-QUARTER-RESULTS</t>
  </si>
  <si>
    <t>Revenue guide 4–5% at constant currency and FCF outlook; no annual EPS guide. Pretax income is not operating profit. Exact guidance fiscal-end and three-year matched EPS history require verification.</t>
  </si>
  <si>
    <t>https://www.verizon.com/about/news/feed/verizon-delivers-2025-financial-guidance-highest-quarterly-net-adds</t>
  </si>
  <si>
    <t>https://www.verizon.com/about/news/verizon-delivers-record-2q26-results</t>
  </si>
  <si>
    <t>Midpoint 5.015. Revenue/op-profit source: https://www.verizon.com/about/file/77271/download?token=r9Yg9nOj ; Frontier affects comparability. Exact guidance fiscal-end and three-year matched EPS history require verification.</t>
  </si>
  <si>
    <t>https://investor.honeywell.com/news-releases/news-release-details/honeywell-technologies-reports-second-quarter-results</t>
  </si>
  <si>
    <t>Use recast/split-adjusted $6.46 baseline, not legacy $9.78. Quantinuum gain distorts reported EPS; current TTM capital schedules need recasting. Exact guidance fiscal-end and three-year matched EPS history require verification.</t>
  </si>
  <si>
    <t>https://investors.sherwin-williams.com/press-releases/press-release-details/2026/The-Sherwin-Williams-Company-Reports-2025-Year-End-and-Fourth-Quarter-Financial-Results/default.aspx</t>
  </si>
  <si>
    <t>https://www.sec.gov/Archives/edgar/data/89800/000008980026000046/shwearningsrelease2q2026.htm</t>
  </si>
  <si>
    <t>Adjusted EPS guide 11.80–12.20; GAAP 10.92–11.32 uses a different baseline. Quarterly EBITDA is not NTM EBITDA. Exact guidance fiscal-end and three-year matched EPS history require verification.</t>
  </si>
  <si>
    <t>https://www.aep.com/news/stories/view/10752/</t>
  </si>
  <si>
    <t>https://www.aep.com/news/stories/view/12135/</t>
  </si>
  <si>
    <t>Operating EPS means adjusted net EPS, not EBIT. Baseline operating 5.97 differs from GAAP 6.70. Exact guidance fiscal-end and three-year matched EPS history require verification.</t>
  </si>
  <si>
    <t>https://www.sec.gov/Archives/edgar/data/19617/000162828026008131/R3.htm</t>
  </si>
  <si>
    <t>https://www.jpmorganchase.com/content/dam/jpmc/jpmorgan-chase-and-co/investor-relations/documents/quarterly-earnings/2026/2nd-quarter/9e8f3cef-bd2a-4140-b50f-83c4fba3f23c.pdf</t>
  </si>
  <si>
    <t>NII and expense forecasts cannot replace annual EPS. Profitability needs ROE/ROTCE/efficiency; EV/EBITDA unsuitable. Exact guidance fiscal-end and three-year matched EPS history require verification.</t>
  </si>
  <si>
    <t>Company score</t>
  </si>
  <si>
    <t>Candidate: 25% competitive strength + 25% valuation + 25% growth/guidance + 25% profitability. No missing-data reweighting.</t>
  </si>
  <si>
    <t>Research cutoff</t>
  </si>
  <si>
    <t>Registered issuers</t>
  </si>
  <si>
    <t>Ready company scores</t>
  </si>
  <si>
    <t>Valuation</t>
  </si>
  <si>
    <t>Default equation</t>
  </si>
  <si>
    <t>Empirical test</t>
  </si>
  <si>
    <t>Sector-relative financial strength and valuation; no return forecast.</t>
  </si>
  <si>
    <t>Weight sum</t>
  </si>
  <si>
    <t>Weight validity</t>
  </si>
  <si>
    <t>Sensitivity change</t>
  </si>
  <si>
    <t>One weight ±10 percentage points; others change by ∓3.333pp.</t>
  </si>
  <si>
    <t>Equal weights minimize worst single-module error influence only if all modules have the same error bound. This does not validate company ranks.</t>
  </si>
  <si>
    <t>Valuation /100</t>
  </si>
  <si>
    <t>Growth /100</t>
  </si>
  <si>
    <t>Profitability /100</t>
  </si>
  <si>
    <t>Completed modules</t>
  </si>
  <si>
    <t>Company score /100</t>
  </si>
  <si>
    <t>Rank in ready scope</t>
  </si>
  <si>
    <t>Weight-test low</t>
  </si>
  <si>
    <t>Weight-test high</t>
  </si>
  <si>
    <t>Weight-test spread</t>
  </si>
  <si>
    <t>Overall status</t>
  </si>
  <si>
    <t>Ready</t>
  </si>
  <si>
    <t>Strength status</t>
  </si>
  <si>
    <t>Valuation status</t>
  </si>
  <si>
    <t>Growth status</t>
  </si>
  <si>
    <t>Profitability status</t>
  </si>
  <si>
    <t>Minimum component cohort N</t>
  </si>
  <si>
    <t>10-point module error bound</t>
  </si>
  <si>
    <t>Cross-sector check</t>
  </si>
  <si>
    <t>Ten actual US-listed companies across ten GICS sectors; Real Estate omitted. Source and input-fit test, not a validated ranking.</t>
  </si>
  <si>
    <t>Companies checked</t>
  </si>
  <si>
    <t>Cap screens passed</t>
  </si>
  <si>
    <t>Matching annual EPS guides</t>
  </si>
  <si>
    <t>Complete score records</t>
  </si>
  <si>
    <t>Empirical conclusion</t>
  </si>
  <si>
    <t>Supplemental numerical pilot added; original full scores remain incomplete.</t>
  </si>
  <si>
    <t>Seven raw guidance calculations are real observations. All ten final scores are suppressed until network, NTM, history and competitor panels pass review.</t>
  </si>
  <si>
    <t>Market-cap sources differ: use both for the $10bn screen; reconcile shares/corporate actions before scale or valuation ranks.</t>
  </si>
  <si>
    <t>Minimum sourced cap USD bn</t>
  </si>
  <si>
    <t>Raw EPS guidance growth</t>
  </si>
  <si>
    <t>Annual EPS fit</t>
  </si>
  <si>
    <t>Network review</t>
  </si>
  <si>
    <t>NTM panel</t>
  </si>
  <si>
    <t>Sector adapter</t>
  </si>
  <si>
    <t>Completed cohort N</t>
  </si>
  <si>
    <t>Combined score /100</t>
  </si>
  <si>
    <t>Rank</t>
  </si>
  <si>
    <t>Test result</t>
  </si>
  <si>
    <t>Main findings</t>
  </si>
  <si>
    <t>Supplemental pilot</t>
  </si>
  <si>
    <t>SEPARATE VARIANT: scale-only strength, trailing valuation, revenue growth and vendor profitability. These are not original full-model ranks.</t>
  </si>
  <si>
    <t>Proxy score</t>
  </si>
  <si>
    <t>Proxy rank</t>
  </si>
  <si>
    <t>Scale proxy</t>
  </si>
  <si>
    <t>TTM value proxy</t>
  </si>
  <si>
    <t>Revenue growth proxy</t>
  </si>
  <si>
    <t>Vendor profit proxy</t>
  </si>
  <si>
    <t>Original score</t>
  </si>
  <si>
    <t>Scope</t>
  </si>
  <si>
    <t>Incomplete</t>
  </si>
  <si>
    <t>Supplemental proxy variant; original score gates retained.</t>
  </si>
  <si>
    <t>Synthetic module vectors and control tests. These are not company observations or a historical investment backtest.</t>
  </si>
  <si>
    <t>Test cases</t>
  </si>
  <si>
    <t>Passed</t>
  </si>
  <si>
    <t>Failed</t>
  </si>
  <si>
    <t>Empirical ranks tested</t>
  </si>
  <si>
    <t>Expected checks use baseline controls: $10bn floor, 7-day market-data limit and 3-member completed cohorts.</t>
  </si>
  <si>
    <t>For one module-score error ≤10 points, worst aggregate error is 10*MAX(weights); equal weights minimize it to 2.5.</t>
  </si>
  <si>
    <t>If all modules can err together by 10 points, worst error is 10 under any nonnegative weights summing to one.</t>
  </si>
  <si>
    <t>Case</t>
  </si>
  <si>
    <t>Description</t>
  </si>
  <si>
    <t>Cap USD bn</t>
  </si>
  <si>
    <t>Cap age days</t>
  </si>
  <si>
    <t>Network complete</t>
  </si>
  <si>
    <t>NTM complete</t>
  </si>
  <si>
    <t>Profile approved</t>
  </si>
  <si>
    <t>Source review complete</t>
  </si>
  <si>
    <t>Strength</t>
  </si>
  <si>
    <t>Strength weight</t>
  </si>
  <si>
    <t>Expected score</t>
  </si>
  <si>
    <t>Calculated score</t>
  </si>
  <si>
    <t>Expected status</t>
  </si>
  <si>
    <t>Calculated status</t>
  </si>
  <si>
    <t>Check</t>
  </si>
  <si>
    <t>Single-module 10pt bound</t>
  </si>
  <si>
    <t>Equal-weight mean</t>
  </si>
  <si>
    <t>All zero is a valid score</t>
  </si>
  <si>
    <t>All 100</t>
  </si>
  <si>
    <t>One module 100: 0</t>
  </si>
  <si>
    <t>One module 100: 1</t>
  </si>
  <si>
    <t>One module 100: 2</t>
  </si>
  <si>
    <t>One module 100: 3</t>
  </si>
  <si>
    <t>Missing module</t>
  </si>
  <si>
    <t>Text module</t>
  </si>
  <si>
    <t>n.a.</t>
  </si>
  <si>
    <t>Cap below hard floor</t>
  </si>
  <si>
    <t>Cap equals hard floor</t>
  </si>
  <si>
    <t>Future market snapshot</t>
  </si>
  <si>
    <t>Market snapshot stale</t>
  </si>
  <si>
    <t>Market age boundary</t>
  </si>
  <si>
    <t>Network incomplete</t>
  </si>
  <si>
    <t>NTM incomplete</t>
  </si>
  <si>
    <t>Unapproved sector profile</t>
  </si>
  <si>
    <t>Only two comparators</t>
  </si>
  <si>
    <t>Missing source review</t>
  </si>
  <si>
    <t>Module above 100</t>
  </si>
  <si>
    <t>Negative module</t>
  </si>
  <si>
    <t>Weights sum 0.9</t>
  </si>
  <si>
    <t>Negative weight</t>
  </si>
  <si>
    <t>Zero weight omits required module</t>
  </si>
  <si>
    <t>Text weight</t>
  </si>
  <si>
    <t>Unequal positive weights</t>
  </si>
  <si>
    <t>One module +10: 0</t>
  </si>
  <si>
    <t>Prior utility guidance pilot</t>
  </si>
  <si>
    <t>Cases</t>
  </si>
  <si>
    <t>Raw MAE pp</t>
  </si>
  <si>
    <t>Bias-corrected MAE pp</t>
  </si>
  <si>
    <t>Relative change</t>
  </si>
  <si>
    <t>Source/context</t>
  </si>
  <si>
    <t>AEP + XEL, 2020–2025</t>
  </si>
  <si>
    <t>Bias correction worsened main-sample error</t>
  </si>
  <si>
    <t>Earlier sourced March1-snapshot guidance test</t>
  </si>
  <si>
    <t>Including Duke 2020–2021</t>
  </si>
  <si>
    <t>Sensitivity only; Duke later scope recast excluded</t>
  </si>
  <si>
    <t>Earlier sourced pilot; not overall-score validation</t>
  </si>
  <si>
    <t>One module +10: 1</t>
  </si>
  <si>
    <t>One module +10: 2</t>
  </si>
  <si>
    <t>One module +10: 3</t>
  </si>
  <si>
    <t>Test evidence</t>
  </si>
  <si>
    <t>Ten actual companies; sourced raw diagnostics and explicit missing-input controls. No final company scores are fabricated.</t>
  </si>
  <si>
    <t>Candidate cohort / caveat</t>
  </si>
  <si>
    <t>Market cap A USD bn</t>
  </si>
  <si>
    <t>Market cap B USD bn</t>
  </si>
  <si>
    <t>Cap A source URL</t>
  </si>
  <si>
    <t>Cap B source receipt</t>
  </si>
  <si>
    <t>Baseline fiscal year</t>
  </si>
  <si>
    <t>Actual annual EPS</t>
  </si>
  <si>
    <t>Guidance fiscal year</t>
  </si>
  <si>
    <t>EPS guidance low</t>
  </si>
  <si>
    <t>EPS guidance high</t>
  </si>
  <si>
    <t>Annual revenue USD bn</t>
  </si>
  <si>
    <t>Prior annual revenue USD bn</t>
  </si>
  <si>
    <t>Annual operating profit USD bn</t>
  </si>
  <si>
    <t>Actuals source URL</t>
  </si>
  <si>
    <t>Accounting / scope findings</t>
  </si>
  <si>
    <t>Full network review</t>
  </si>
  <si>
    <t>Aligned NTM panel</t>
  </si>
  <si>
    <t>Annual EPS guidance fit</t>
  </si>
  <si>
    <t>US primary operating listing</t>
  </si>
  <si>
    <t>Minimum completed cohort N</t>
  </si>
  <si>
    <t>Completed module source ledger</t>
  </si>
  <si>
    <t>All module inputs reviewed?</t>
  </si>
  <si>
    <t>Cap screen passed</t>
  </si>
  <si>
    <t>Historical annual margin</t>
  </si>
  <si>
    <t>Annual revenue growth</t>
  </si>
  <si>
    <t>Full-score ready</t>
  </si>
  <si>
    <t>Test cutoff</t>
  </si>
  <si>
    <t>3-year EPS CAGR</t>
  </si>
  <si>
    <t>Historical EPS scope reviewed?</t>
  </si>
  <si>
    <t>Competitive cohort N</t>
  </si>
  <si>
    <t>Valuation cohort N</t>
  </si>
  <si>
    <t>Growth cohort N</t>
  </si>
  <si>
    <t>Profitability cohort N</t>
  </si>
  <si>
    <t>Additional source / scope receipt</t>
  </si>
  <si>
    <t>Cohort definitions reviewed?</t>
  </si>
  <si>
    <t>Same module data cutoff?</t>
  </si>
  <si>
    <t>Blocking reasons</t>
  </si>
  <si>
    <t>Candidate weights</t>
  </si>
  <si>
    <t>C</t>
  </si>
  <si>
    <t>V</t>
  </si>
  <si>
    <t>G</t>
  </si>
  <si>
    <t>P</t>
  </si>
  <si>
    <t>Worst single 10pt error</t>
  </si>
  <si>
    <t>Equal weights</t>
  </si>
  <si>
    <t>Integrated finance quote retrieved 2026-10-03; trade Oct2/3 UTC; not reconciled with source A.</t>
  </si>
  <si>
    <t>Quality emphasis</t>
  </si>
  <si>
    <t>FY2025</t>
  </si>
  <si>
    <t>FY2026</t>
  </si>
  <si>
    <t>Value emphasis</t>
  </si>
  <si>
    <t>No annual EPS guidance in inspected FY/Q2 sources; capex/production outlook cannot substitute. Market-cap conflict: source A $674.39bn vs source B $735.74bn (9.10%). Reconcile issuer share counts before score inputs.</t>
  </si>
  <si>
    <t>Not sourced</t>
  </si>
  <si>
    <t>Operating company</t>
  </si>
  <si>
    <t>Experimental comparison inputs</t>
  </si>
  <si>
    <t>SUPPLEMENTAL DIAGNOSTIC. Scale without network; trailing valuation; historical revenue growth; vendor profitability. This does not implement or validate the agreed complete model.</t>
  </si>
  <si>
    <t>Common data cutoff</t>
  </si>
  <si>
    <t>Market snapshot</t>
  </si>
  <si>
    <t>Hard cap floor USD bn</t>
  </si>
  <si>
    <t>Minimum eligible cohort</t>
  </si>
  <si>
    <t>Verified guide calculations are diagnostics; full cohort/accounting/source review remains unfinished.</t>
  </si>
  <si>
    <t>Targets</t>
  </si>
  <si>
    <t>Issuer / peer records</t>
  </si>
  <si>
    <t>Source-eligible records</t>
  </si>
  <si>
    <t>Ready proxy records</t>
  </si>
  <si>
    <t>Original complete scores</t>
  </si>
  <si>
    <t>Comparison cohort</t>
  </si>
  <si>
    <t>Pilot target?</t>
  </si>
  <si>
    <t>Price / cap date</t>
  </si>
  <si>
    <t>Vendor TTM revenue bn</t>
  </si>
  <si>
    <t>TTM period label</t>
  </si>
  <si>
    <t>Statistics updated</t>
  </si>
  <si>
    <t>Trailing P/E</t>
  </si>
  <si>
    <t>TTM EV / EBITDA</t>
  </si>
  <si>
    <t>Vendor FCF yield</t>
  </si>
  <si>
    <t>Exact range midpoint 11.675; company headline rounds to 11.68. Portfolio/scope review pending.</t>
  </si>
  <si>
    <t>Price / book</t>
  </si>
  <si>
    <t>Vendor ROIC</t>
  </si>
  <si>
    <t>Vendor operating margin</t>
  </si>
  <si>
    <t>Latest issuer FY</t>
  </si>
  <si>
    <t>Latest FY revenue bn</t>
  </si>
  <si>
    <t>Issuer FY minus 3</t>
  </si>
  <si>
    <t>FY minus 3 revenue bn</t>
  </si>
  <si>
    <t>Vendor annual EPS</t>
  </si>
  <si>
    <t>Vendor FY-3 EPS</t>
  </si>
  <si>
    <t>Statistics source URL</t>
  </si>
  <si>
    <t>History source URL</t>
  </si>
  <si>
    <t>Definition / scope findings</t>
  </si>
  <si>
    <t>US primary listing?</t>
  </si>
  <si>
    <t>Input eligible</t>
  </si>
  <si>
    <t>Revenue CAGR 3Y</t>
  </si>
  <si>
    <t>Vendor EPS CAGR diagnostic</t>
  </si>
  <si>
    <t>Eligible cohort N</t>
  </si>
  <si>
    <t>Scale proxy /100</t>
  </si>
  <si>
    <t>P/E value percentile</t>
  </si>
  <si>
    <t>EV/EBITDA value pct</t>
  </si>
  <si>
    <t>FCF yield percentile</t>
  </si>
  <si>
    <t>Book value percentile</t>
  </si>
  <si>
    <t>TTM value proxy /100</t>
  </si>
  <si>
    <t>Revenue growth proxy /100</t>
  </si>
  <si>
    <t>Vendor ROIC percentile</t>
  </si>
  <si>
    <t>Vendor margin percentile</t>
  </si>
  <si>
    <t>Profit proxy /100</t>
  </si>
  <si>
    <t>Four proxies ready</t>
  </si>
  <si>
    <t>Original score status</t>
  </si>
  <si>
    <t>US-WMB</t>
  </si>
  <si>
    <t>WMB</t>
  </si>
  <si>
    <t>US midstream operators</t>
  </si>
  <si>
    <t>Jun 2026</t>
  </si>
  <si>
    <t>FY2022</t>
  </si>
  <si>
    <t>https://stockanalysis.com/stocks/wmb/statistics/</t>
  </si>
  <si>
    <t>https://stockanalysis.com/stocks/wmb/financials/</t>
  </si>
  <si>
    <t>Gas-processing and commodity mix; network inventory incomplete.</t>
  </si>
  <si>
    <t>FY2027</t>
  </si>
  <si>
    <t>Range arithmetic gives 1.5965%; published rounded growth midpoint 1.5%.</t>
  </si>
  <si>
    <t>The Williams Companies</t>
  </si>
  <si>
    <t>Incomplete: network / NTM / guidance / custom ROIC</t>
  </si>
  <si>
    <t>US-KMI</t>
  </si>
  <si>
    <t>KMI</t>
  </si>
  <si>
    <t>Company guides EPS growth 0–4%; EPS bounds are derived from stated $14.69 base. FY2025 had 52 weeks versus 53 weeks in FY2024.</t>
  </si>
  <si>
    <t>https://stockanalysis.com/stocks/kmi/statistics/</t>
  </si>
  <si>
    <t>https://stockanalysis.com/stocks/kmi/financials/</t>
  </si>
  <si>
    <t>Commodity-price revenue exposure; latest EPS outlook is one-sided, no finite guidance midpoint.</t>
  </si>
  <si>
    <t>Kinder Morgan</t>
  </si>
  <si>
    <t>Revenue guide 4–5% at constant currency and FCF outlook; no annual EPS guide. Pretax income is not operating profit.</t>
  </si>
  <si>
    <t>US-OKE</t>
  </si>
  <si>
    <t>OKE</t>
  </si>
  <si>
    <t>https://stockanalysis.com/stocks/oke/statistics/</t>
  </si>
  <si>
    <t>https://stockanalysis.com/stocks/oke/financials/</t>
  </si>
  <si>
    <t>Acquisitions change perimeter; public JV ties documented but inventory incomplete.</t>
  </si>
  <si>
    <t>Midpoint 5.015. Revenue/op-profit source: https://www.verizon.com/about/file/77271/download?token=r9Yg9nOj ; Frontier affects comparability.</t>
  </si>
  <si>
    <t>https://www.verizon.com/about/file/77271/download?token=r9Yg9nOj</t>
  </si>
  <si>
    <t>ONEOK</t>
  </si>
  <si>
    <t>Large-cap pharmaceuticals; JNJ medtech mix</t>
  </si>
  <si>
    <t>FY2025 recast</t>
  </si>
  <si>
    <t>https://stockanalysis.com/stocks/jnj/statistics/</t>
  </si>
  <si>
    <t>https://stockanalysis.com/stocks/jnj/financials/</t>
  </si>
  <si>
    <t>Recast continuing revenue excludes Kenvue. Vendor EPS FY22 6.73 differs from primary continuing GAAP 6.14; EPS diagnostic is vendor-only.</t>
  </si>
  <si>
    <t>Use recast/split-adjusted $6.46 baseline, not legacy $9.78. Quantinuum gain distorts reported EPS; current TTM capital schedules need recasting.</t>
  </si>
  <si>
    <t>US-PFE</t>
  </si>
  <si>
    <t>PFE</t>
  </si>
  <si>
    <t>Adjusted EPS guide 11.80–12.20; GAAP 10.92–11.32 uses a different baseline. Quarterly EBITDA is not NTM EBITDA.</t>
  </si>
  <si>
    <t>https://stockanalysis.com/stocks/pfe/statistics/</t>
  </si>
  <si>
    <t>https://stockanalysis.com/stocks/pfe/financials/</t>
  </si>
  <si>
    <t>FY2022 COVID windfall depresses measured subsequent growth; GAAP and adjusted earnings differ.</t>
  </si>
  <si>
    <t>Pfizer</t>
  </si>
  <si>
    <t>Operating EPS means adjusted net EPS, not EBIT. Baseline operating 5.97 differs from GAAP 6.70.</t>
  </si>
  <si>
    <t>US-MRK</t>
  </si>
  <si>
    <t>MRK</t>
  </si>
  <si>
    <t>https://stockanalysis.com/stocks/mrk/statistics/</t>
  </si>
  <si>
    <t>https://stockanalysis.com/stocks/mrk/financials/</t>
  </si>
  <si>
    <t>2026 acquisition charges depress trailing EPS; high trailing P/E may not reflect recurring earnings.</t>
  </si>
  <si>
    <t>NII and expense forecasts cannot replace annual EPS. Profitability needs ROE/ROTCE/efficiency; EV/EBITDA unsuitable.</t>
  </si>
  <si>
    <t>Bank adapter required</t>
  </si>
  <si>
    <t>Merck</t>
  </si>
  <si>
    <t>Household and personal products</t>
  </si>
  <si>
    <t>FY2023</t>
  </si>
  <si>
    <t>https://stockanalysis.com/stocks/pg/statistics/</t>
  </si>
  <si>
    <t>https://stockanalysis.com/stocks/pg/financials/</t>
  </si>
  <si>
    <t>Vendor margin 24.81% vs primary GAAP 22.6904%; vendor ROIC/margin are proxies. Fiscal June versus peers December.</t>
  </si>
  <si>
    <t>Competitor candidates only; named competitors are not completed metric/cohort panels.</t>
  </si>
  <si>
    <t>Target</t>
  </si>
  <si>
    <t>Candidate competitor</t>
  </si>
  <si>
    <t>Cap date</t>
  </si>
  <si>
    <t>$10bn screen</t>
  </si>
  <si>
    <t>Role</t>
  </si>
  <si>
    <t>Comparison caveat</t>
  </si>
  <si>
    <t>Source receipt</t>
  </si>
  <si>
    <t>CVX</t>
  </si>
  <si>
    <t>Candidate; not a completed comparable</t>
  </si>
  <si>
    <t>Integrated finance snapshot retrieved 2026-10-03; Oct2/3 UTC trades. Metric panel not populated.</t>
  </si>
  <si>
    <t>COP</t>
  </si>
  <si>
    <t>ABT</t>
  </si>
  <si>
    <t>CL</t>
  </si>
  <si>
    <t>KMB</t>
  </si>
  <si>
    <t>LOW</t>
  </si>
  <si>
    <t>TSCO</t>
  </si>
  <si>
    <t>ACN</t>
  </si>
  <si>
    <t>HPE</t>
  </si>
  <si>
    <t>US-CL</t>
  </si>
  <si>
    <t>T</t>
  </si>
  <si>
    <t>TMUS</t>
  </si>
  <si>
    <t>EMR</t>
  </si>
  <si>
    <t>https://stockanalysis.com/stocks/cl/statistics/</t>
  </si>
  <si>
    <t>https://stockanalysis.com/stocks/cl/financials/</t>
  </si>
  <si>
    <t>ROK</t>
  </si>
  <si>
    <t>Impairments affect EPS; very small common equity distorts price/book (not scored).</t>
  </si>
  <si>
    <t>PPG</t>
  </si>
  <si>
    <t>RPM</t>
  </si>
  <si>
    <t>DUK</t>
  </si>
  <si>
    <t>XEL</t>
  </si>
  <si>
    <t>BAC</t>
  </si>
  <si>
    <t>Relationship evidence examples</t>
  </si>
  <si>
    <t>Relationship / caution</t>
  </si>
  <si>
    <t>Primary source URL</t>
  </si>
  <si>
    <t>Inventory status</t>
  </si>
  <si>
    <t>CF Industries, Linde, Nucor CCS arrangements; issuer/materiality review required</t>
  </si>
  <si>
    <t>https://corporate.exxonmobil.com/publications/advancing-climate-solutions/growing-low-carbon-solutions</t>
  </si>
  <si>
    <t>NVIDIA robotics collaboration; materiality/network review required</t>
  </si>
  <si>
    <t>https://www.jnj.com/media-center/press-releases/johnson-johnson-to-advance-robotics-development-with-nvidia-isaac-for-healthcare</t>
  </si>
  <si>
    <t>Walmart 16% of FY2026 sales; other top customers not fully named</t>
  </si>
  <si>
    <t>https://www.sec.gov/Archives/edgar/data/80424/000119312526372220/pg_ars_2026.pdf</t>
  </si>
  <si>
    <t>Google Cloud/Alphabet technology partnership, not evidence Alphabet is HD customer</t>
  </si>
  <si>
    <t>https://corporate.homedepot.com/news/partnerships/home-depot-and-google-cloud-launch-agentic-ai-tools-help-customers-and-associates</t>
  </si>
  <si>
    <t>NVIDIA collaboration and IBM Storage customer disclosure</t>
  </si>
  <si>
    <t>https://newsroom.ibm.com/2026-03-16-ibm-and-nvidia-announce-expanded-collaboration-at-gtc-2026-to-advance-ai-for-the-enterprise</t>
  </si>
  <si>
    <t>Charter/Comcast MVNO agreements, not a complete client inventory</t>
  </si>
  <si>
    <t>Lowe's vendor recognition confirms commercial relationship; materiality review needed</t>
  </si>
  <si>
    <t>https://corporate.lowes.com/newsroom/press-releases/lowes-announces-2025-vendor-partners-year-10-14-25</t>
  </si>
  <si>
    <t>Apple Card agreement announced; expected transition later and subject to approvals; do not count active</t>
  </si>
  <si>
    <t>https://media.chase.com/news/chase-to-become-new-issuer-of-apple-card</t>
  </si>
  <si>
    <t>HON / AEP</t>
  </si>
  <si>
    <t>No complete qualifying client/partner inventory verified in this test; unknown is not zero</t>
  </si>
  <si>
    <t>Audit category</t>
  </si>
  <si>
    <t>Observed source fact</t>
  </si>
  <si>
    <t>Publication date if verified</t>
  </si>
  <si>
    <t>Comparability / coverage finding</t>
  </si>
  <si>
    <t>Model-use status</t>
  </si>
  <si>
    <t>Pilot issuer eligible</t>
  </si>
  <si>
    <t>Guide</t>
  </si>
  <si>
    <t>Adjusted continuing diluted FY2026 EPS midpoint 2.35.</t>
  </si>
  <si>
    <t>https://investor.williams.com/static-files/f614f046-cccf-4f74-91e9-5202008eeafc</t>
  </si>
  <si>
    <t>Management midpoint, not rolling NTM. Matched annual baseline / history still requires source mapping.</t>
  </si>
  <si>
    <t>Reference only</t>
  </si>
  <si>
    <t>Colgate-Palmolive</t>
  </si>
  <si>
    <t>FY2026 adjusted EPS more than12% favorable to1.36 budget; implied lower bound &gt;1.5232.</t>
  </si>
  <si>
    <t>https://www.sec.gov/Archives/edgar/data/1506307/000150630726000063/kmi2026q28-kex991.htm</t>
  </si>
  <si>
    <t>One-sided bound: no finite midpoint. 1.5232 is derived arithmetic, not a published EPS point.</t>
  </si>
  <si>
    <t>US-CHD</t>
  </si>
  <si>
    <t>CHD</t>
  </si>
  <si>
    <t>Reviewed FY2026 diluted EPS range5.38–5.99; issuer headline midpoint5.68 is rounded.</t>
  </si>
  <si>
    <t>https://ir.oneok.com/news-and-events/press-releases/2026/08-03-2026-211637100</t>
  </si>
  <si>
    <t>Annual guide, not rolling NTM. Primary-baseline and acquisition-perimeter reconciliation remain required.</t>
  </si>
  <si>
    <t>ADBE</t>
  </si>
  <si>
    <t>FY2026 GAAP EPS18.12–18.17; non-GAAP24.45–24.50.</t>
  </si>
  <si>
    <t>https://stockanalysis.com/stocks/chd/statistics/</t>
  </si>
  <si>
    <t>https://stockanalysis.com/stocks/chd/financials/</t>
  </si>
  <si>
    <t>https://www.sec.gov/Archives/edgar/data/796343/000079634326000147/adbeex991q326.htm</t>
  </si>
  <si>
    <t>FY2022 Flawless impairment depressed EPS base; vendor millions rounded.</t>
  </si>
  <si>
    <t>Do not mix GAAP and adjusted baselines. Adobe fiscal November differs from January software peers.</t>
  </si>
  <si>
    <t>CRM</t>
  </si>
  <si>
    <t>FY2027 GAAP EPS10.21–10.25; non-GAAP16.67–16.71.</t>
  </si>
  <si>
    <t>https://www.sec.gov/Archives/edgar/data/1108524/000110852426000187/crm-q2fy27xexhibit991.htm</t>
  </si>
  <si>
    <t>Strategic-investment gains affect GAAP guidance; not a clean underlying-operating-growth forecast.</t>
  </si>
  <si>
    <t>ADSK</t>
  </si>
  <si>
    <t>FY2027 GAAP EPS7.89–8.72; non-GAAP12.52–12.60.</t>
  </si>
  <si>
    <t>https://www.sec.gov/Archives/edgar/data/769397/000076939726000059/q227pressrelease.htm</t>
  </si>
  <si>
    <t>Guidance baseline and history must match the chosen earnings family.</t>
  </si>
  <si>
    <t>PYPL</t>
  </si>
  <si>
    <t>FY2026 adjusted EPS approximate point5.38 versus matched FY2025 adjusted5.31; GAAP outlook qualitative mid-single-digit decline.</t>
  </si>
  <si>
    <t>https://www.sec.gov/Archives/edgar/data/1633917/000163391726000080/pypl2q-26earningsrelease.htm</t>
  </si>
  <si>
    <t>Approximate point is not an invented numeric interval. Vendor GAAP5.41 is a different baseline.</t>
  </si>
  <si>
    <t>FY2026 adjusted EPS11.60–11.75 versus FY2025 adjusted10.79.</t>
  </si>
  <si>
    <t>Use exact arithmetic midpoint11.675, not rounded headline11.68; continuing-scope history required.</t>
  </si>
  <si>
    <t>FY2026 adjusted EPS2.80–3.00 versus FY2025 adjusted3.22.</t>
  </si>
  <si>
    <t>https://www.sec.gov/Archives/edgar/data/78003/000007800326000094/pfe-6282026xex99.htm</t>
  </si>
  <si>
    <t>Matched adjusted baseline; COVID2022 base complicates historical-growth interpretation.</t>
  </si>
  <si>
    <t>FY2026 non-GAAP EPS2.66–2.76 versus FY2025 non-GAAP8.98.</t>
  </si>
  <si>
    <t>Church &amp; Dwight</t>
  </si>
  <si>
    <t>https://www.merck.com/news/merck-highlights-key-regulatory-and-clinical-milestones-across-broad-diverse-pipeline/</t>
  </si>
  <si>
    <t>Cidara3.62/share and Terns2.31/share charges affect raw guidance. Do not silently remove them.</t>
  </si>
  <si>
    <t>FY2027 core EPS6.89–7.11 versus FY2026 core6.89.</t>
  </si>
  <si>
    <t>Company rounded-growth headline and midpoint from displayed EPS bounds differ slightly.</t>
  </si>
  <si>
    <t>Home improvement and specialty retail</t>
  </si>
  <si>
    <t>FY2026 adjusted EPS growth6–8% from FY2025 adjusted3.53; GAAP growth20–22% from3.02.</t>
  </si>
  <si>
    <t>Aug 2026</t>
  </si>
  <si>
    <t>https://investor.churchdwight.com/Investors/news/news-details/2026/Church--Dwight-Delivers-Strong-Second-Quarter-Results/default.aspx</t>
  </si>
  <si>
    <t>Two earnings families: keep each with its own baseline; guided growth may derive implied dollar bounds.</t>
  </si>
  <si>
    <t>FY2026 adjusted EPS growth0–4% from FY2025 adjusted14.69; GAAP growth0–4% from14.23.</t>
  </si>
  <si>
    <t>https://stockanalysis.com/stocks/hd/statistics/</t>
  </si>
  <si>
    <t>https://stockanalysis.com/stocks/hd/financials/</t>
  </si>
  <si>
    <t>52/53-week and SRS/GMS perimeter effects require matched history.</t>
  </si>
  <si>
    <t>SRS/GMS acquisitions affect total revenue; FY2022 53 weeks. Issuer fiscal labels corrected from shifted vendor labels.</t>
  </si>
  <si>
    <t>FY2026 reviewed GAAP EPS point11.75; adjusted point12.25. FY2025 matched baselines11.85 /12.28.</t>
  </si>
  <si>
    <t>https://corporate.lowes.com/newsroom/press-releases/lowes-reports-second-quarter-2026-sales-and-earnings-results-08-19-26</t>
  </si>
  <si>
    <t>Point forecasts may have equal low/high. Canada disposal and FY2022 53 weeks affect history.</t>
  </si>
  <si>
    <t>FY2026 GAAP EPS1.78–1.88 versus FY2025 GAAP2.06.</t>
  </si>
  <si>
    <t>https://corporate.tractorsupply.com/newsroom/news-releases/news-releases-details/2026/Tractor-Supply-Company-Reports-Second-Quarter-2026-Financial-Results-Updates-Fiscal-Year-2026-Outlook/default.aspx</t>
  </si>
  <si>
    <t>Historical EPS must reflect the December2024 5:1 split; FY2022 had53 weeks.</t>
  </si>
  <si>
    <t>ITW</t>
  </si>
  <si>
    <t>FY2026 GAAP EPS11.35–11.55 versus FY2025 GAAP10.49.</t>
  </si>
  <si>
    <t>https://investor.itw.com/news-and-events/news/news-details/2026/ITW-Reports-Second-Quarter-2026-Results-and-Raises-Full-Year-2026-Guidance/default.aspx</t>
  </si>
  <si>
    <t>GAAP earnings family differs from adjusted peer guidance; do not silently certify a common cohort.</t>
  </si>
  <si>
    <t>DOV</t>
  </si>
  <si>
    <t>FY2026 adjusted continuing EPS10.55–10.75 versus FY2025 matched9.61.</t>
  </si>
  <si>
    <t>https://www.sec.gov/Archives/edgar/data/29905/000002990526000026/a202607238-kexhibit991pr.htm</t>
  </si>
  <si>
    <t>Continuing-operation recast history required; vendor GAAP EPS is different.</t>
  </si>
  <si>
    <t>IR</t>
  </si>
  <si>
    <t>FY2026 adjusted EPS3.45–3.57 versus FY2025 matched3.34.</t>
  </si>
  <si>
    <t>https://investors.irco.com/news/news-details/2026/Ingersoll-Rand-Reports-Second-Quarter-2026-Results/default.aspx</t>
  </si>
  <si>
    <t>Acquisitions and adjustments require a consistent historical earnings family.</t>
  </si>
  <si>
    <t>The Home Depot</t>
  </si>
  <si>
    <t>FY2026 adjusted EPS11.80–12.20 versus FY2025 adjusted11.43.</t>
  </si>
  <si>
    <t>Broad specialty-chemicals pilot cohort is not a complete pure-coatings universe.</t>
  </si>
  <si>
    <t>FY2026 adjusted continuing EPS7.70–8.10 versus FY2025 matched7.58.</t>
  </si>
  <si>
    <t>https://news.ppg.com/Press-Releases/news-details/2026/PPG-reports-second-quarter-2026-financial-results/default.aspx</t>
  </si>
  <si>
    <t>Recast FY2022 adjusted continuing EPS5.84 differs from legacy6.77; vendor GAAP is another family.</t>
  </si>
  <si>
    <t>US-LOW</t>
  </si>
  <si>
    <t>ECL</t>
  </si>
  <si>
    <t>Jul 2026</t>
  </si>
  <si>
    <t>FY2026 adjusted EPS8.05–8.25 versus FY2025 matched7.53.</t>
  </si>
  <si>
    <t>https://investor.ecolab.com/news/news-details/2026/Ecolab-Delivers-Accelerated-Sales-Growth-and-Double-Digit-EPS-Growth-Reported-Diluted-EPS-1-90-Adjusted-Diluted-EPS-2-09-11-Raises-2026-Adjusted-Diluted-EPS-Outlook-8-05---8-25-7---10/default.aspx</t>
  </si>
  <si>
    <t>Water/hygiene versus coatings business mix is a cohort limitation.</t>
  </si>
  <si>
    <t>https://stockanalysis.com/stocks/low/statistics/</t>
  </si>
  <si>
    <t>https://stockanalysis.com/stocks/low/financials/</t>
  </si>
  <si>
    <t>Canada business sale changes scope; FY2022 53 weeks; negative book equity, P/B not scored. Issuer labels corrected.</t>
  </si>
  <si>
    <t>FY2026 adjusted EPS4.99–5.04 versus FY2025 adjusted4.71.</t>
  </si>
  <si>
    <t>https://www.sec.gov/Archives/edgar/data/732712/000073271226000040/a2026q2exhibit99.htm</t>
  </si>
  <si>
    <t>Frontier acquisition changes perimeter. Service revenue is not total revenue.</t>
  </si>
  <si>
    <t>FY2026 adjusted EPS2.25–2.35 versus matched FY2025 adjusted excluding DIRECTV2.12.</t>
  </si>
  <si>
    <t>https://www.sec.gov/Archives/edgar/data/732717/000073271726000294/t-2q2026exhibit991.htm</t>
  </si>
  <si>
    <t>Do not compare against unrecast GAAP/directv-inclusive history.</t>
  </si>
  <si>
    <t>No annual numeric EPS guide verified in this reviewed release; EBITDA is not a substitute for forecast EPS.</t>
  </si>
  <si>
    <t>https://www.sec.gov/Archives/edgar/data/1283699/000128369926000100/tmus06302026ex991.htm</t>
  </si>
  <si>
    <t>Missing guidance is not zero growth. Vendor FY2022→25 EPS reflects merger/base effects.</t>
  </si>
  <si>
    <t>FY2026 operating EPS6.25–6.55 versus FY2025 operating5.97.</t>
  </si>
  <si>
    <t>https://www.sec.gov/Archives/edgar/data/4904/000000490426000055/a2q20268kpressreleaseex991.htm</t>
  </si>
  <si>
    <t>Operating/diluted EPS; annual guide, not rolling NTM.</t>
  </si>
  <si>
    <t>FY2026 adjusted basic EPS6.55–6.80 versus FY2025 adjusted basic6.31.</t>
  </si>
  <si>
    <t>https://www.sec.gov/Archives/edgar/data/1326160/000132616026000037/er-20260630xearningsreleas.htm</t>
  </si>
  <si>
    <t>Basic versus AEP/XEL diluted EPS is an explicit comparison limitation.</t>
  </si>
  <si>
    <t>FY2026 ongoing EPS4.04–4.16 versus FY2025 ongoing3.80.</t>
  </si>
  <si>
    <t>https://www.sec.gov/Archives/edgar/data/72903/000007290326000149/xcelearningsreleaseq22026.htm</t>
  </si>
  <si>
    <t>Match ongoing/diluted historical family; not vendor GAAP EPS.</t>
  </si>
  <si>
    <t>Lowe's Companies</t>
  </si>
  <si>
    <t>History</t>
  </si>
  <si>
    <t>FY2022 restated adjusted continuing EPS7.87; matched FY2025 baseline9.61.</t>
  </si>
  <si>
    <t>https://www.sec.gov/Archives/edgar/data/29905/000002990524000037/a202410108-kex991prdiscops.htm</t>
  </si>
  <si>
    <t>Use recast continuing scope, not vendor GAAP7.42.</t>
  </si>
  <si>
    <t>US-TSCO</t>
  </si>
  <si>
    <t>FY2022 adjusted continuing EPS2.36; matched FY2025 baseline3.34.</t>
  </si>
  <si>
    <t>https://investors.irco.com/news/news-details/2023/Ingersoll-Rand-Reports-Record-Fourth-Quarter-and-Full-Year-2022-Results/default.aspx</t>
  </si>
  <si>
    <t>Publication date needs independent confirmation; annual earnings family reviewed by extraction lane.</t>
  </si>
  <si>
    <t>FY2022 adjusted diluted EPS8.73; matched FY2025 baseline11.43.</t>
  </si>
  <si>
    <t>https://investors.sherwin-williams.com/press-releases/press-release-details/2023/The-Sherwin-Williams-Company-Reports-2022-Year-End-and-Fourth-Quarter-Financial-Results/</t>
  </si>
  <si>
    <t>Vendor GAAP7.72 is a different family.</t>
  </si>
  <si>
    <t>https://stockanalysis.com/stocks/tsco/statistics/</t>
  </si>
  <si>
    <t>https://stockanalysis.com/stocks/tsco/financials/</t>
  </si>
  <si>
    <t>FY2022 53 weeks. Vendor EPS history is split-adjusted to 5:1 December2024 split.</t>
  </si>
  <si>
    <t>FY2022 restated adjusted continuing EPS5.84; matched FY2025 baseline7.58.</t>
  </si>
  <si>
    <t>https://www.sec.gov/Archives/edgar/data/79879/000007987925000034/ppg-20241231.htm</t>
  </si>
  <si>
    <t>Use restated5.84, not original6.77; availability is current-history audit, not point-in-time backtest.</t>
  </si>
  <si>
    <t>FY2022 adjusted diluted EPS4.49; matched FY2025 baseline7.53.</t>
  </si>
  <si>
    <t>https://www.investor.ecolab.com/news/news-details/2024/Ecolab-Announces-Strong-Fourth-Quarter-Performance-and-2024-Outlook-Reported-Diluted-EPS-1.41-Adjusted-Diluted-EPS-1.55-22-2024-Adjusted-Diluted-EPS-Outlook-6.10-to-6.50-17-to-25/default.aspx</t>
  </si>
  <si>
    <t>FY2022 comparative comes from FY2023 release; do not mix with vendor GAAP3.81.</t>
  </si>
  <si>
    <t>FY2022 operating EPS5.09; FY2025 operating5.97.</t>
  </si>
  <si>
    <t>https://www.sec.gov/Archives/edgar/data/4904/000000490423000009/a4q20228kpressreleaseex991.htm</t>
  </si>
  <si>
    <t>FY2025 source https://docs.aep.com/docs/newsroom/resources/earnings/2026-02/4thqtr25earnings.pdf</t>
  </si>
  <si>
    <t>FY2022 adjusted basic EPS5.27; FY2025 adjusted basic6.31.</t>
  </si>
  <si>
    <t>https://www.sec.gov/Archives/edgar/data/1326160/000132616023000031/er-20221231xearningsreleas.htm</t>
  </si>
  <si>
    <t>FY2025 source https://www.sec.gov/Archives/edgar/data/1326160/000132616026000007/er-20251231xearningsreleas.htm ; verify continuing-operation treatment before full cohort approval.</t>
  </si>
  <si>
    <t>FY2022 ongoing EPS3.17; FY2025 ongoing3.80.</t>
  </si>
  <si>
    <t>https://www.sec.gov/Archives/edgar/data/72903/000007290323000007/xel-20221231.htm</t>
  </si>
  <si>
    <t>FY2025 source https://investors.xcelenergy.com/news-events/news-releases/news-details/2026/Xcel-Energy-2025-Year-End-Earnings-Report/default.aspx</t>
  </si>
  <si>
    <t>Tractor Supply</t>
  </si>
  <si>
    <t>Whale service relationships: Shell and Chevron; Woodside LouisianaLNG agreement documented separately.</t>
  </si>
  <si>
    <t>https://www.williams.com/2025/05/05/williams-announces-strong-first-quarter-2025-results-and-raises-full-year-2025-guidance/</t>
  </si>
  <si>
    <t>Other source https://investor.williams.com/node/26206/pdf ; not a complete network.</t>
  </si>
  <si>
    <t>US-ADBE</t>
  </si>
  <si>
    <t>Janssen/AbbVie Imbruvica commercialization and profit/cost-sharing collaboration.</t>
  </si>
  <si>
    <t>https://www.sec.gov/Archives/edgar/data/1551152/000155115226000026/abbv-20260630.htm</t>
  </si>
  <si>
    <t>Application software; business mix differs</t>
  </si>
  <si>
    <t>Counterparty filing confirms relationship; no complete JNJ inventory or network score.</t>
  </si>
  <si>
    <t>Walmart customer accounted for16% ofFY2026 sales.</t>
  </si>
  <si>
    <t>https://www.sec.gov/Archives/edgar/data/80424/000008042426000103/pg-20260630.htm</t>
  </si>
  <si>
    <t>Remaining material customers may be unnamed; one observation is not a complete inventory.</t>
  </si>
  <si>
    <t>https://stockanalysis.com/stocks/adbe/statistics/</t>
  </si>
  <si>
    <t>https://stockanalysis.com/stocks/adbe/financials/</t>
  </si>
  <si>
    <t>November versus January peer fiscal years; creative/design/CRM product mixes differ.</t>
  </si>
  <si>
    <t>Expanded Google Cloud agentic-AI commercial partnership.</t>
  </si>
  <si>
    <t>Commercial partner, not automatically a HomeDepot customer. Economics not scored.</t>
  </si>
  <si>
    <t>Partner announcement names Microsoft, IBM, NVIDIA and numerous additional public/private firms.</t>
  </si>
  <si>
    <t>https://news.adobe.com/news/2026/04/adobe-expands-partner-ecosystem</t>
  </si>
  <si>
    <t>Do not count only three convenient examples. Full deduplicated eligibility review unfinished.</t>
  </si>
  <si>
    <t>Enumerated 6G forum includes AWS, Cisco, Intel, NVIDIA, Ericsson and others.</t>
  </si>
  <si>
    <t>https://www.verizon.com/about/news/verizon-leads-6g-momentum-expansion-isac-trials</t>
  </si>
  <si>
    <t>Forum membership alone does not prove material revenue; full company network unknown.</t>
  </si>
  <si>
    <t>ITW Global Safety recognized as Ford supplier.</t>
  </si>
  <si>
    <t>https://www.itwautomotive.com/insights/</t>
  </si>
  <si>
    <t>Customer example; no claim that all material public relationships were reviewed.</t>
  </si>
  <si>
    <t>Lowe's names Sherwin-Williams in FY2025 vendor awards.</t>
  </si>
  <si>
    <t>Customer/supplier direction matters. Full network completeness unproven.</t>
  </si>
  <si>
    <t>Adobe</t>
  </si>
  <si>
    <t>Quanta cooperation/commitment/development agreements; other disclosed samples include Amazon, Google and public-parent joint ventures.</t>
  </si>
  <si>
    <t>https://www.aep.com/news/stories/view/10555/</t>
  </si>
  <si>
    <t>Reviewed AEP public sample contains7 distinct parents; pending/regulatory statuses retained. It is a lower bound, not a complete network.</t>
  </si>
  <si>
    <t>Microsoft Copilot Checkout commercial partnership.</t>
  </si>
  <si>
    <t>https://newsroom.paypal-corp.com/2026-01-08-PayPal-Powers-Microsofts-Launch-of-Copilot-Checkout</t>
  </si>
  <si>
    <t>Other Google/Mastercard relationships documented in lane audit; no comprehensive inventory.</t>
  </si>
  <si>
    <t>US-CRM</t>
  </si>
  <si>
    <t>FY2026 reported GAAP operating income19.748bn / revenue87.032bn =22.6904% margin; vendor standardized margin24.81%.</t>
  </si>
  <si>
    <t>Vendor profitability is not a certified implementation of the approved reported-profitability formula.</t>
  </si>
  <si>
    <t>https://stockanalysis.com/stocks/crm/statistics/</t>
  </si>
  <si>
    <t>https://stockanalysis.com/stocks/crm/financials/</t>
  </si>
  <si>
    <t>FY2023 vendor EPS 0.21 creates a tiny-base effect. Informatica acquisition changes perimeter.</t>
  </si>
  <si>
    <t>Ten-sector numerical pilot</t>
  </si>
  <si>
    <t>EXPERIMENTAL VARIANT — actual data, with scale-only strength, trailing valuation, revenue-only growth and vendor profitability. The original full model remains incomplete and these ranks do not replace it.</t>
  </si>
  <si>
    <t>Module</t>
  </si>
  <si>
    <t>Equal</t>
  </si>
  <si>
    <t>Profit 40%</t>
  </si>
  <si>
    <t>Value 40%</t>
  </si>
  <si>
    <t>Original full scores</t>
  </si>
  <si>
    <t>Diagnostic targets</t>
  </si>
  <si>
    <t>TTM value</t>
  </si>
  <si>
    <t>Comparison records</t>
  </si>
  <si>
    <t>Revenue growth</t>
  </si>
  <si>
    <t>Weight stress scenarios</t>
  </si>
  <si>
    <t>Vendor profit</t>
  </si>
  <si>
    <t>Raw-input scenarios</t>
  </si>
  <si>
    <t>Selection status</t>
  </si>
  <si>
    <t>Provisional equal weights</t>
  </si>
  <si>
    <t>Salesforce</t>
  </si>
  <si>
    <t>Guide / network gates</t>
  </si>
  <si>
    <t>Original requirements retained</t>
  </si>
  <si>
    <t>Weight change</t>
  </si>
  <si>
    <t>Purpose</t>
  </si>
  <si>
    <t>Sensitivity, not return prediction</t>
  </si>
  <si>
    <t>Raw input change</t>
  </si>
  <si>
    <t>Equal-weight score</t>
  </si>
  <si>
    <t>Equal-weight rank</t>
  </si>
  <si>
    <t>Profit 40% score</t>
  </si>
  <si>
    <t>Profit 40% rank</t>
  </si>
  <si>
    <t>Value 40% score</t>
  </si>
  <si>
    <t>Value 40% rank</t>
  </si>
  <si>
    <t>Geometric score</t>
  </si>
  <si>
    <t>Geometric rank</t>
  </si>
  <si>
    <t>Equal max weight rank move</t>
  </si>
  <si>
    <t>US-ADSK</t>
  </si>
  <si>
    <t>Profit max weight rank move</t>
  </si>
  <si>
    <t>Value max weight rank move</t>
  </si>
  <si>
    <t>Input / scope findings</t>
  </si>
  <si>
    <t>https://stockanalysis.com/stocks/adsk/statistics/</t>
  </si>
  <si>
    <t>https://stockanalysis.com/stocks/adsk/financials/</t>
  </si>
  <si>
    <t>January fiscal year; architecture/design mix differs from creative and CRM peers.</t>
  </si>
  <si>
    <t>Autodesk</t>
  </si>
  <si>
    <t>US telecom operators; wireless/wireline mix</t>
  </si>
  <si>
    <t>https://stockanalysis.com/stocks/vz/statistics/</t>
  </si>
  <si>
    <t>https://stockanalysis.com/stocks/vz/financials/</t>
  </si>
  <si>
    <t>Frontier acquisition affects comparability; service-revenue guidance is not total-revenue guidance.</t>
  </si>
  <si>
    <t>Verizon Communications</t>
  </si>
  <si>
    <t>US-T</t>
  </si>
  <si>
    <t>https://stockanalysis.com/stocks/t/statistics/</t>
  </si>
  <si>
    <t>https://stockanalysis.com/stocks/t/financials/</t>
  </si>
  <si>
    <t>FY2022 EPS negative: CAGR undefined. DIRECTV divestiture changes perimeter; no fabricated EPS CAGR.</t>
  </si>
  <si>
    <t>AT&amp;T</t>
  </si>
  <si>
    <t>US-TMUS</t>
  </si>
  <si>
    <t>https://stockanalysis.com/stocks/tmus/statistics/</t>
  </si>
  <si>
    <t>https://stockanalysis.com/stocks/tmus/financials/</t>
  </si>
  <si>
    <t>Sprint merger/base costs distort EPS history; no annual numeric EPS guidance verified.</t>
  </si>
  <si>
    <t>T-Mobile US</t>
  </si>
  <si>
    <t>Scale weight</t>
  </si>
  <si>
    <t>Value weight</t>
  </si>
  <si>
    <t>Profit weight</t>
  </si>
  <si>
    <t>Mean weight-test Spearman</t>
  </si>
  <si>
    <t>Worst weight-test Spearman</t>
  </si>
  <si>
    <t>Max weight rank move</t>
  </si>
  <si>
    <t>Mean weight rank move</t>
  </si>
  <si>
    <t>Max weight score change</t>
  </si>
  <si>
    <t>Duplicate score count</t>
  </si>
  <si>
    <t>Mean raw-input target move</t>
  </si>
  <si>
    <t>Max raw-input target move</t>
  </si>
  <si>
    <t>US-ITW</t>
  </si>
  <si>
    <t>Industrial machinery; diversified end markets</t>
  </si>
  <si>
    <t>Profitability 40%</t>
  </si>
  <si>
    <t>https://stockanalysis.com/stocks/itw/statistics/</t>
  </si>
  <si>
    <t>https://stockanalysis.com/stocks/itw/financials/</t>
  </si>
  <si>
    <t>Small diversified-machinery cohort; end-market and divestiture mix differ.</t>
  </si>
  <si>
    <t>Valuation 40%</t>
  </si>
  <si>
    <t>Stress ID</t>
  </si>
  <si>
    <t>Weight changed</t>
  </si>
  <si>
    <t>Weight delta</t>
  </si>
  <si>
    <t>Equal Spearman</t>
  </si>
  <si>
    <t>Profit 40% Spearman</t>
  </si>
  <si>
    <t>Value 40% Spearman</t>
  </si>
  <si>
    <t>Illinois Tool Works</t>
  </si>
  <si>
    <t>US-DOV</t>
  </si>
  <si>
    <t>https://stockanalysis.com/stocks/dov/statistics/</t>
  </si>
  <si>
    <t>https://stockanalysis.com/stocks/dov/financials/</t>
  </si>
  <si>
    <t>Disposals change perimeter; vendor GAAP EPS is separate from restated management adjusted continuing EPS.</t>
  </si>
  <si>
    <t>Changed weight</t>
  </si>
  <si>
    <t>Direction</t>
  </si>
  <si>
    <t>Equal score</t>
  </si>
  <si>
    <t>Equal rank</t>
  </si>
  <si>
    <t>Equal score delta</t>
  </si>
  <si>
    <t>Equal absolute rank move</t>
  </si>
  <si>
    <t>Profit score delta</t>
  </si>
  <si>
    <t>Profit absolute rank move</t>
  </si>
  <si>
    <t>Value score delta</t>
  </si>
  <si>
    <t>Value absolute rank move</t>
  </si>
  <si>
    <t>Baseline equal rank</t>
  </si>
  <si>
    <t>Baseline profit rank</t>
  </si>
  <si>
    <t>Baseline value rank</t>
  </si>
  <si>
    <t>Protocol</t>
  </si>
  <si>
    <t>One weight ±10pp; each other weight ∓10/3pp</t>
  </si>
  <si>
    <t>Dover</t>
  </si>
  <si>
    <t>US-IR</t>
  </si>
  <si>
    <t>https://stockanalysis.com/stocks/ir/statistics/</t>
  </si>
  <si>
    <t>https://stockanalysis.com/stocks/ir/financials/</t>
  </si>
  <si>
    <t>Acquisitions affect growth. Vendor FY2022 EPS 1.48 differs from primary 1.47.</t>
  </si>
  <si>
    <t>Ingersoll Rand</t>
  </si>
  <si>
    <t>Specialty chemicals; coatings/water/hygiene mix</t>
  </si>
  <si>
    <t>https://stockanalysis.com/stocks/shw/statistics/</t>
  </si>
  <si>
    <t>https://stockanalysis.com/stocks/shw/financials/</t>
  </si>
  <si>
    <t>Broad specialty-chemicals cohort with coatings/water/hygiene differences; vendor margin 16.32% versus financials 16.31% rounding.</t>
  </si>
  <si>
    <t>US-PPG</t>
  </si>
  <si>
    <t>https://stockanalysis.com/stocks/ppg/statistics/</t>
  </si>
  <si>
    <t>https://stockanalysis.com/stocks/ppg/financials/</t>
  </si>
  <si>
    <t>Vendor net-income EPS differs from adjusted continuing EPS; coatings divestitures change historical perimeter.</t>
  </si>
  <si>
    <t>PPG Industries</t>
  </si>
  <si>
    <t>US-ECL</t>
  </si>
  <si>
    <t>https://stockanalysis.com/stocks/ecl/statistics/</t>
  </si>
  <si>
    <t>https://stockanalysis.com/stocks/ecl/financials/</t>
  </si>
  <si>
    <t>Water/hygiene versus coatings peer mix; not a pure coatings comparison.</t>
  </si>
  <si>
    <t>Ecolab</t>
  </si>
  <si>
    <t>US regulated electric utilities</t>
  </si>
  <si>
    <t>https://stockanalysis.com/stocks/aep/statistics/</t>
  </si>
  <si>
    <t>https://stockanalysis.com/stocks/aep/financials/</t>
  </si>
  <si>
    <t>Vendor ROIC and margin do not reproduce the approved operating-tax/average-capital equation. Negative FCF retained but not weighted in utility value.</t>
  </si>
  <si>
    <t>US-DUK</t>
  </si>
  <si>
    <t>https://stockanalysis.com/stocks/duk/statistics/</t>
  </si>
  <si>
    <t>https://stockanalysis.com/stocks/duk/financials/</t>
  </si>
  <si>
    <t>Vendor revenue differs from consolidated reported revenue (TTM 32.803 vs33.250bn). Disposals affect EPS. Utility book-value profile.</t>
  </si>
  <si>
    <t>Duke Energy</t>
  </si>
  <si>
    <t>US-XEL</t>
  </si>
  <si>
    <t>https://stockanalysis.com/stocks/xel/statistics/</t>
  </si>
  <si>
    <t>https://stockanalysis.com/stocks/xel/financials/</t>
  </si>
  <si>
    <t>Vendor operating income differs from reported GAAP. Negative FCF retained but not scored in utility profile.</t>
  </si>
  <si>
    <t>Xcel Energy</t>
  </si>
  <si>
    <t>US-PYPL</t>
  </si>
  <si>
    <t>Transaction and payment processing services</t>
  </si>
  <si>
    <t>https://stockanalysis.com/stocks/pypl/statistics/</t>
  </si>
  <si>
    <t>https://stockanalysis.com/stocks/pypl/financials/</t>
  </si>
  <si>
    <t>Processor/merchant mix versus Visa/Mastercard payment networks; margin differences are structural.</t>
  </si>
  <si>
    <t>PayPal Holdings</t>
  </si>
  <si>
    <t>US-MA</t>
  </si>
  <si>
    <t>MA</t>
  </si>
  <si>
    <t>https://stockanalysis.com/stocks/ma/statistics/</t>
  </si>
  <si>
    <t>https://stockanalysis.com/stocks/ma/financials/</t>
  </si>
  <si>
    <t>Payment-network model versus PayPal processor; annual fiscal December.</t>
  </si>
  <si>
    <t>Mastercard</t>
  </si>
  <si>
    <t>Case ID</t>
  </si>
  <si>
    <t>Changed input</t>
  </si>
  <si>
    <t>Base input</t>
  </si>
  <si>
    <t>Perturbed input</t>
  </si>
  <si>
    <t>New scale proxy</t>
  </si>
  <si>
    <t>New value proxy</t>
  </si>
  <si>
    <t>New growth proxy</t>
  </si>
  <si>
    <t>New profit proxy</t>
  </si>
  <si>
    <t>Equal target rank</t>
  </si>
  <si>
    <t>Profit target rank</t>
  </si>
  <si>
    <t>Value target rank</t>
  </si>
  <si>
    <t>Equal absolute target move</t>
  </si>
  <si>
    <t>Profit absolute target move</t>
  </si>
  <si>
    <t>Value absolute target move</t>
  </si>
  <si>
    <t>Peer comparison</t>
  </si>
  <si>
    <t>US-V</t>
  </si>
  <si>
    <t>https://stockanalysis.com/stocks/v/statistics/</t>
  </si>
  <si>
    <t>https://stockanalysis.com/stocks/v/financials/</t>
  </si>
  <si>
    <t>September fiscal year versus December peers; payment-network model versus processor.</t>
  </si>
  <si>
    <t>Compare declared eligible cohort</t>
  </si>
  <si>
    <t>One target input changes; peers and other sector targets remain fixed.</t>
  </si>
  <si>
    <t>Visa</t>
  </si>
  <si>
    <t>TTM revenue</t>
  </si>
  <si>
    <t>This is a numerical aggregation diagnostic using actual disclosed financial data. It is a separate variant, not a completed competitive-strength / NTM valuation / EPS-guidance / custom-ROIC score.</t>
  </si>
  <si>
    <t>Data definitions</t>
  </si>
  <si>
    <t>StockAnalysis attributes statistics to S&amp;P Global. Vendor ROIC, margin and EPS are standardized provider series; they can differ from issuer GAAP and management-adjusted metrics.</t>
  </si>
  <si>
    <t>Comparison universe</t>
  </si>
  <si>
    <t>Ten target companies and two competitors each. Normalize within the declared three-company cohort, never all ten sectors together. Broad business-mix caveats appear in each input record.</t>
  </si>
  <si>
    <t>50% market-cap percentile +50% vendor TTM revenue percentile. Client/partner network is excluded from this experiment and is still required in the original score.</t>
  </si>
  <si>
    <t>Trailing value proxy</t>
  </si>
  <si>
    <t>General: 35% inverse trailing P/E +35% inverse TTM EV/EBITDA +30% FCF-yield percentile. Utilities: 40% inverse P/E +40% inverse EV/EBITDA +20% inverse P/B. Negative FCF is retained.</t>
  </si>
  <si>
    <t>Historical growth proxy</t>
  </si>
  <si>
    <t>100% three-year annual revenue CAGR percentile. EPS CAGR is shown only as a diagnostic when both endpoints are positive. Annual EPS guidance is not substituted or inferred.</t>
  </si>
  <si>
    <t>50% vendor ROIC percentile +50% vendor operating-margin percentile. This does not certify the original NOPAT / average invested-capital definition or operating-tax treatment.</t>
  </si>
  <si>
    <t>Original score gates</t>
  </si>
  <si>
    <t>The original complete-network, aligned NTM, matching annual EPS guide and reconstructed profitability requirements remain intact. Prototype outputs do not unlock those gates.</t>
  </si>
  <si>
    <t>Sample / timing limits</t>
  </si>
  <si>
    <t>This is a current cross-sectional diagnostic, not a historical performance backtest. $10bn is an eligibility filter, not protection against statistical overfit. Recast histories and acquisitions require review.</t>
  </si>
  <si>
    <t>Freshness / eligibility</t>
  </si>
  <si>
    <t>All thirty are US primary listings, cap &gt;=MAX(10,editable floor), close Oct2 2026, statistics updated Oct3. Conservative TTM-month freshness &lt;=180 days and minimum cohort &gt;=3 are enforced.</t>
  </si>
  <si>
    <t>Peer resolution</t>
  </si>
  <si>
    <t>With only three eligible companies, a one-place movement is 50 percentile points. Company percentiles show relative standing in a small selected sample, not equal absolute financial strength across sectors.</t>
  </si>
  <si>
    <t>TTM EV/EBITDA</t>
  </si>
  <si>
    <t>FCF yield</t>
  </si>
  <si>
    <t>Vendor margin</t>
  </si>
  <si>
    <t>Annual revenue</t>
  </si>
  <si>
    <t>What was tested</t>
  </si>
  <si>
    <t>Ten targets in different sectors, twenty peer companies, three predeclared arithmetic candidates, eight ±10pp weight scenarios and160 ±5% isolated input scenarios.</t>
  </si>
  <si>
    <t>Weight result</t>
  </si>
  <si>
    <t>Equal weights have the smallest average rank movement in this diagnostic. This establishes sensitivity for these inputs and selected peers, not an optimal investing equation.</t>
  </si>
  <si>
    <t>Input result</t>
  </si>
  <si>
    <t>Valuation-40% has smaller target rank movement under the separate raw-input protocol. The preferred candidate depends on what 'consistent' means; no universal empirical winner is established.</t>
  </si>
  <si>
    <t>Provisional equation</t>
  </si>
  <si>
    <t>Keep 25% each as a transparent prior while completing exact inputs and testing more dates/cohorts. Do not fit weights to these ten companies or treat the proxy ranks as full-score investment recommendations.</t>
  </si>
  <si>
    <t>Rank convention</t>
  </si>
  <si>
    <t>Descending average ranks; ties retain their midpoint. Numeric aggregate scores are rounded to10 decimal places before ranking to prevent floating-point artifacts.</t>
  </si>
  <si>
    <t>Weight protocol</t>
  </si>
  <si>
    <t>One module weight changes ±10 percentage points; otherthree change ∓10/3pp. All three candidate vectors remain valid, nonnegative and sum1. Spearman uses average ranks of the same ten targets.</t>
  </si>
  <si>
    <t>Raw-input protocol</t>
  </si>
  <si>
    <t>Perturb one target input ±5% of its absolute value; peers remain fixed. Recompute affected target percentile/module/aggregate and rank against other nine unchanged sector targets. Not a probabilistic confidence interval.</t>
  </si>
  <si>
    <t>Nonlinear alternative</t>
  </si>
  <si>
    <t>A geometric mean was calculated as a diagnostic. Valid percentile endpoints0 collapse several companies to score0, losing discrimination; do not silently floor legitimate zeros.</t>
  </si>
  <si>
    <t>Small cohort limitation</t>
  </si>
  <si>
    <t>Only three companies per cohort. An input change can cross a rank boundary and move50 percentile points, so ranks can be fragile even when arithmetic checks pass.</t>
  </si>
  <si>
    <t>Missing original inputs</t>
  </si>
  <si>
    <t>Complete comparable client/partner inventories, aligned NTM forecasts, raw matched annual EPS guidance plus history, and reported schedules for the custom ROIC are still missing for the full ten-sector model.</t>
  </si>
  <si>
    <t>Deferred scope</t>
  </si>
  <si>
    <t>Contract economics remain in future valuation. Sector ETF holdings remain diagnostics. Balance-sheet risk is not yet included in this composite.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</si>
</sst>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-mm-dd"/>
    <numFmt numFmtId="165" formatCode="0.0%;(0.0%);&quot;-&quot;"/>
    <numFmt numFmtId="166" formatCode="0.0&quot;x&quot;"/>
    <numFmt numFmtId="167" formatCode="0.00;(0.00);&quot;-&quot;"/>
    <numFmt numFmtId="168" formatCode="0.0%;(0.0%);0.0%"/>
    <numFmt numFmtId="169" formatCode="0.0%"/>
    <numFmt numFmtId="170" formatCode="0.00&quot;x&quot;"/>
    <numFmt numFmtId="171" formatCode="0.0"/>
    <numFmt numFmtId="172" formatCode="0.000"/>
    <numFmt numFmtId="173" formatCode="0.00%;(0.00%);0.00%"/>
    <numFmt numFmtId="174" formatCode="0.00&quot; pp&quot;;(0.00)&quot; pp&quot;;0.00&quot; pp&quot;"/>
    <numFmt numFmtId="175" formatCode="dd/MM/yyyy"/>
    <numFmt numFmtId="176" formatCode="dd mmm yyyy"/>
  </numFmts>
  <fonts count="25">
    <font>
      <sz val="11.0"/>
      <color rgb="FF000000"/>
      <name val="Carlito"/>
      <scheme val="minor"/>
    </font>
    <font>
      <sz val="10.0"/>
      <color rgb="FF202124"/>
      <name val="Arial"/>
    </font>
    <font>
      <sz val="10.0"/>
      <color theme="1"/>
      <name val="Arial"/>
    </font>
    <font>
      <b/>
      <sz val="14.0"/>
      <color rgb="FF202124"/>
      <name val="Arial"/>
    </font>
    <font>
      <b/>
      <sz val="14.0"/>
      <color theme="1"/>
      <name val="Arial"/>
    </font>
    <font>
      <sz val="9.0"/>
      <color theme="1"/>
      <name val="Arial"/>
    </font>
    <font>
      <b/>
      <sz val="10.0"/>
      <color rgb="FF202124"/>
      <name val="Arial"/>
    </font>
    <font>
      <b/>
      <sz val="10.0"/>
      <color theme="1"/>
      <name val="Arial"/>
    </font>
    <font>
      <sz val="10.0"/>
      <color rgb="FF174EA6"/>
      <name val="Arial"/>
    </font>
    <font>
      <color theme="1"/>
      <name val="Carlito"/>
      <scheme val="minor"/>
    </font>
    <font>
      <sz val="11.0"/>
      <color rgb="FF174EA6"/>
      <name val="Carlito"/>
    </font>
    <font>
      <b/>
      <color theme="1"/>
      <name val="Carlito"/>
      <scheme val="minor"/>
    </font>
    <font>
      <color rgb="FF164EA6"/>
      <name val="Carlito"/>
      <scheme val="minor"/>
    </font>
    <font>
      <sz val="10.0"/>
      <color rgb="FF164EA6"/>
      <name val="Arial"/>
    </font>
    <font>
      <sz val="9.0"/>
      <color theme="1"/>
      <name val="Carlito"/>
      <scheme val="minor"/>
    </font>
    <font>
      <u/>
      <sz val="10.0"/>
      <color rgb="FF174EA6"/>
      <name val="Arial"/>
    </font>
    <font>
      <u/>
      <sz val="10.0"/>
      <color rgb="FF0000FF"/>
      <name val="Arial"/>
    </font>
    <font>
      <u/>
      <color rgb="FF0000FF"/>
    </font>
    <font>
      <b/>
      <sz val="10.0"/>
      <color rgb="FF1F2023"/>
      <name val="Arial"/>
    </font>
    <font>
      <sz val="10.0"/>
      <color rgb="FF000000"/>
      <name val="Arial"/>
    </font>
    <font>
      <b/>
      <sz val="14.0"/>
      <color rgb="FF000000"/>
      <name val="Arial"/>
    </font>
    <font>
      <sz val="10.0"/>
      <color rgb="FF003FA5"/>
      <name val="Arial"/>
    </font>
    <font>
      <b/>
      <sz val="10.0"/>
      <color rgb="FF000000"/>
      <name val="Arial"/>
    </font>
    <font>
      <b/>
      <color rgb="FF000000"/>
      <name val="Carlito"/>
      <scheme val="minor"/>
    </font>
    <font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EFF2F4"/>
        <bgColor rgb="FFEFF2F4"/>
      </patternFill>
    </fill>
    <fill>
      <patternFill patternType="solid">
        <fgColor rgb="FFF0F3F4"/>
        <bgColor rgb="FFF0F3F4"/>
      </patternFill>
    </fill>
    <fill>
      <patternFill patternType="solid">
        <fgColor rgb="FFFFFFFF"/>
        <bgColor rgb="FFFFFFFF"/>
      </patternFill>
    </fill>
    <fill>
      <patternFill patternType="solid">
        <fgColor rgb="FFEDEFF2"/>
        <bgColor rgb="FFEDEFF2"/>
      </patternFill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1"/>
    </xf>
    <xf borderId="1" fillId="2" fontId="6" numFmtId="0" xfId="0" applyAlignment="1" applyBorder="1" applyFill="1" applyFont="1">
      <alignment shrinkToFit="0" wrapText="1"/>
    </xf>
    <xf borderId="1" fillId="2" fontId="6" numFmtId="0" xfId="0" applyBorder="1" applyFill="1" applyFont="1"/>
    <xf borderId="0" fillId="0" fontId="5" numFmtId="0" xfId="0" applyAlignment="1" applyFont="1">
      <alignment shrinkToFit="0" vertical="center" wrapText="1"/>
    </xf>
    <xf borderId="1" fillId="2" fontId="7" numFmtId="0" xfId="0" applyAlignment="1" applyBorder="1" applyFill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8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9" numFmtId="0" xfId="0" applyFont="1"/>
    <xf borderId="0" fillId="0" fontId="10" numFmtId="164" xfId="0" applyFont="1" applyNumberFormat="1"/>
    <xf borderId="0" fillId="2" fontId="7" numFmtId="0" xfId="0" applyFill="1" applyFont="1"/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0" fillId="0" fontId="10" numFmtId="0" xfId="0" applyFont="1"/>
    <xf borderId="0" fillId="0" fontId="10" numFmtId="165" xfId="0" applyFont="1" applyNumberFormat="1"/>
    <xf borderId="0" fillId="0" fontId="2" numFmtId="9" xfId="0" applyAlignment="1" applyFont="1" applyNumberFormat="1">
      <alignment vertical="center"/>
    </xf>
    <xf borderId="0" fillId="0" fontId="8" numFmtId="9" xfId="0" applyAlignment="1" applyFont="1" applyNumberFormat="1">
      <alignment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readingOrder="0" shrinkToFit="0" wrapText="1"/>
    </xf>
    <xf borderId="0" fillId="0" fontId="2" numFmtId="167" xfId="0" applyFont="1" applyNumberFormat="1"/>
    <xf borderId="0" fillId="0" fontId="2" numFmtId="9" xfId="0" applyAlignment="1" applyFont="1" applyNumberFormat="1">
      <alignment shrinkToFit="0" vertical="center" wrapText="1"/>
    </xf>
    <xf borderId="0" fillId="3" fontId="11" numFmtId="0" xfId="0" applyAlignment="1" applyFill="1" applyFont="1">
      <alignment readingOrder="0" shrinkToFit="0" wrapText="1"/>
    </xf>
    <xf borderId="0" fillId="0" fontId="2" numFmtId="168" xfId="0" applyAlignment="1" applyFont="1" applyNumberFormat="1">
      <alignment vertical="center"/>
    </xf>
    <xf borderId="0" fillId="3" fontId="11" numFmtId="0" xfId="0" applyAlignment="1" applyFill="1" applyFont="1">
      <alignment shrinkToFit="0" wrapText="1"/>
    </xf>
    <xf borderId="0" fillId="0" fontId="12" numFmtId="9" xfId="0" applyAlignment="1" applyFont="1" applyNumberFormat="1">
      <alignment shrinkToFit="0" vertical="center" wrapText="1"/>
    </xf>
    <xf borderId="0" fillId="0" fontId="2" numFmtId="169" xfId="0" applyAlignment="1" applyFont="1" applyNumberFormat="1">
      <alignment shrinkToFit="0" vertical="center" wrapText="1"/>
    </xf>
    <xf borderId="1" fillId="2" fontId="7" numFmtId="0" xfId="0" applyAlignment="1" applyBorder="1" applyFill="1" applyFont="1">
      <alignment readingOrder="0" shrinkToFit="0" wrapText="1"/>
    </xf>
    <xf borderId="0" fillId="0" fontId="9" numFmtId="9" xfId="0" applyFont="1" applyNumberFormat="1"/>
    <xf borderId="0" fillId="0" fontId="13" numFmtId="0" xfId="0" applyAlignment="1" applyFont="1">
      <alignment shrinkToFit="0" vertical="center" wrapText="1"/>
    </xf>
    <xf borderId="0" fillId="0" fontId="2" numFmtId="165" xfId="0" applyFont="1" applyNumberFormat="1"/>
    <xf borderId="0" fillId="0" fontId="14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0" fontId="12" numFmtId="0" xfId="0" applyAlignment="1" applyFont="1">
      <alignment vertical="center"/>
    </xf>
    <xf borderId="0" fillId="0" fontId="2" numFmtId="170" xfId="0" applyFont="1" applyNumberFormat="1"/>
    <xf borderId="0" fillId="0" fontId="2" numFmtId="171" xfId="0" applyFont="1" applyNumberFormat="1"/>
    <xf borderId="0" fillId="2" fontId="7" numFmtId="0" xfId="0" applyAlignment="1" applyFill="1" applyFont="1">
      <alignment shrinkToFit="0" vertical="center" wrapText="1"/>
    </xf>
    <xf borderId="0" fillId="0" fontId="12" numFmtId="164" xfId="0" applyAlignment="1" applyFont="1" applyNumberFormat="1">
      <alignment vertical="center"/>
    </xf>
    <xf borderId="0" fillId="0" fontId="2" numFmtId="171" xfId="0" applyAlignment="1" applyFont="1" applyNumberFormat="1">
      <alignment vertical="center"/>
    </xf>
    <xf borderId="0" fillId="0" fontId="2" numFmtId="1" xfId="0" applyAlignment="1" applyFont="1" applyNumberFormat="1">
      <alignment vertical="center"/>
    </xf>
    <xf borderId="1" fillId="2" fontId="6" numFmtId="0" xfId="0" applyAlignment="1" applyBorder="1" applyFill="1" applyFont="1">
      <alignment shrinkToFit="0" vertical="center" wrapText="1"/>
    </xf>
    <xf borderId="1" fillId="2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readingOrder="0" vertical="center"/>
    </xf>
    <xf borderId="0" fillId="0" fontId="8" numFmtId="167" xfId="0" applyAlignment="1" applyFont="1" applyNumberFormat="1">
      <alignment readingOrder="0" vertical="center"/>
    </xf>
    <xf borderId="0" fillId="0" fontId="8" numFmtId="164" xfId="0" applyAlignment="1" applyFont="1" applyNumberFormat="1">
      <alignment readingOrder="0" vertical="center"/>
    </xf>
    <xf borderId="0" fillId="0" fontId="8" numFmtId="167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0" fillId="0" fontId="15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8" numFmtId="165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0" fillId="0" fontId="9" numFmtId="172" xfId="0" applyFont="1" applyNumberFormat="1"/>
    <xf borderId="0" fillId="4" fontId="18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8" numFmtId="2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12" numFmtId="171" xfId="0" applyAlignment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0" fillId="0" fontId="8" numFmtId="9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173" xfId="0" applyAlignment="1" applyFont="1" applyNumberFormat="1">
      <alignment shrinkToFit="0" vertical="center" wrapText="1"/>
    </xf>
    <xf borderId="0" fillId="0" fontId="2" numFmtId="171" xfId="0" applyAlignment="1" applyFont="1" applyNumberFormat="1">
      <alignment shrinkToFit="0" vertical="center" wrapText="1"/>
    </xf>
    <xf borderId="0" fillId="0" fontId="2" numFmtId="170" xfId="0" applyAlignment="1" applyFont="1" applyNumberFormat="1">
      <alignment shrinkToFit="0" vertical="center" wrapText="1"/>
    </xf>
    <xf borderId="0" fillId="0" fontId="2" numFmtId="174" xfId="0" applyAlignment="1" applyFont="1" applyNumberFormat="1">
      <alignment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75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0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5" fontId="19" numFmtId="0" xfId="0" applyAlignment="1" applyFill="1" applyFont="1">
      <alignment shrinkToFit="0" vertical="center" wrapText="0"/>
    </xf>
    <xf borderId="0" fillId="5" fontId="20" numFmtId="0" xfId="0" applyAlignment="1" applyFill="1" applyFont="1">
      <alignment shrinkToFit="0" vertical="center" wrapText="0"/>
    </xf>
    <xf borderId="0" fillId="5" fontId="19" numFmtId="0" xfId="0" applyAlignment="1" applyFill="1" applyFont="1">
      <alignment shrinkToFit="0" vertical="center" wrapText="1"/>
    </xf>
    <xf borderId="0" fillId="5" fontId="19" numFmtId="164" xfId="0" applyAlignment="1" applyFill="1" applyFont="1" applyNumberFormat="1">
      <alignment shrinkToFit="0" vertical="center" wrapText="1"/>
    </xf>
    <xf borderId="0" fillId="5" fontId="21" numFmtId="9" xfId="0" applyAlignment="1" applyFill="1" applyFont="1" applyNumberFormat="1">
      <alignment shrinkToFit="0" vertical="center" wrapText="1"/>
    </xf>
    <xf borderId="0" fillId="5" fontId="19" numFmtId="9" xfId="0" applyAlignment="1" applyFill="1" applyFont="1" applyNumberFormat="1">
      <alignment shrinkToFit="0" vertical="center" wrapText="1"/>
    </xf>
    <xf borderId="0" fillId="6" fontId="22" numFmtId="0" xfId="0" applyAlignment="1" applyFill="1" applyFont="1">
      <alignment shrinkToFit="0" vertical="center" wrapText="1"/>
    </xf>
    <xf borderId="0" fillId="5" fontId="19" numFmtId="10" xfId="0" applyAlignment="1" applyFill="1" applyFont="1" applyNumberFormat="1">
      <alignment shrinkToFit="0" vertical="center" wrapText="0"/>
    </xf>
    <xf borderId="0" fillId="5" fontId="19" numFmtId="171" xfId="0" applyAlignment="1" applyFill="1" applyFont="1" applyNumberFormat="1">
      <alignment shrinkToFit="0" vertical="center" wrapText="0"/>
    </xf>
    <xf borderId="0" fillId="6" fontId="22" numFmtId="0" xfId="0" applyAlignment="1" applyFill="1" applyFont="1">
      <alignment horizontal="left" readingOrder="0" shrinkToFit="0" vertical="center" wrapText="1"/>
    </xf>
    <xf borderId="0" fillId="5" fontId="21" numFmtId="49" xfId="0" applyAlignment="1" applyFill="1" applyFont="1" applyNumberFormat="1">
      <alignment shrinkToFit="0" vertical="center" wrapText="0"/>
    </xf>
    <xf borderId="0" fillId="5" fontId="19" numFmtId="164" xfId="0" applyAlignment="1" applyFill="1" applyFont="1" applyNumberFormat="1">
      <alignment shrinkToFit="0" vertical="center" wrapText="0"/>
    </xf>
    <xf borderId="0" fillId="5" fontId="19" numFmtId="49" xfId="0" applyAlignment="1" applyFill="1" applyFont="1" applyNumberFormat="1">
      <alignment shrinkToFit="0" vertical="center" wrapText="0"/>
    </xf>
    <xf borderId="0" fillId="5" fontId="21" numFmtId="0" xfId="0" applyAlignment="1" applyFill="1" applyFont="1">
      <alignment shrinkToFit="0" vertical="center" wrapText="0"/>
    </xf>
    <xf borderId="0" fillId="5" fontId="21" numFmtId="175" xfId="0" applyAlignment="1" applyFill="1" applyFont="1" applyNumberFormat="1">
      <alignment shrinkToFit="0" vertical="center" wrapText="0"/>
    </xf>
    <xf borderId="0" fillId="5" fontId="21" numFmtId="0" xfId="0" applyAlignment="1" applyFill="1" applyFont="1">
      <alignment readingOrder="0" shrinkToFit="0" vertical="center" wrapText="0"/>
    </xf>
    <xf borderId="0" fillId="5" fontId="21" numFmtId="0" xfId="0" applyAlignment="1" applyFill="1" applyFont="1">
      <alignment shrinkToFit="0" vertical="center" wrapText="0"/>
    </xf>
    <xf borderId="0" fillId="5" fontId="21" numFmtId="10" xfId="0" applyAlignment="1" applyFill="1" applyFont="1" applyNumberFormat="1">
      <alignment shrinkToFit="0" vertical="center" wrapText="0"/>
    </xf>
    <xf borderId="0" fillId="5" fontId="19" numFmtId="0" xfId="0" applyAlignment="1" applyFill="1" applyFont="1">
      <alignment shrinkToFit="0" vertical="center" wrapText="0"/>
    </xf>
    <xf borderId="0" fillId="5" fontId="19" numFmtId="0" xfId="0" applyAlignment="1" applyFill="1" applyFont="1">
      <alignment readingOrder="0" shrinkToFit="0" vertical="center" wrapText="1"/>
    </xf>
    <xf borderId="0" fillId="5" fontId="19" numFmtId="2" xfId="0" applyAlignment="1" applyFill="1" applyFont="1" applyNumberFormat="1">
      <alignment shrinkToFit="0" vertical="center" wrapText="0"/>
    </xf>
    <xf borderId="0" fillId="5" fontId="19" numFmtId="0" xfId="0" applyAlignment="1" applyFill="1" applyFont="1">
      <alignment shrinkToFit="0" vertical="center" wrapText="0"/>
    </xf>
    <xf borderId="0" fillId="5" fontId="19" numFmtId="49" xfId="0" applyAlignment="1" applyFill="1" applyFont="1" applyNumberFormat="1">
      <alignment shrinkToFit="0" vertical="center" wrapText="0"/>
    </xf>
    <xf borderId="0" fillId="0" fontId="2" numFmtId="0" xfId="0" applyAlignment="1" applyFont="1">
      <alignment shrinkToFit="0" wrapText="1"/>
    </xf>
    <xf borderId="0" fillId="7" fontId="22" numFmtId="0" xfId="0" applyAlignment="1" applyFill="1" applyFont="1">
      <alignment shrinkToFit="0" vertical="center" wrapText="1"/>
    </xf>
    <xf borderId="0" fillId="5" fontId="19" numFmtId="2" xfId="0" applyAlignment="1" applyFill="1" applyFont="1" applyNumberFormat="1">
      <alignment shrinkToFit="0" vertical="center" wrapText="1"/>
    </xf>
    <xf borderId="0" fillId="5" fontId="19" numFmtId="9" xfId="0" applyAlignment="1" applyFill="1" applyFont="1" applyNumberFormat="1">
      <alignment shrinkToFit="0" vertical="center" wrapText="0"/>
    </xf>
    <xf borderId="0" fillId="6" fontId="23" numFmtId="0" xfId="0" applyAlignment="1" applyFill="1" applyFont="1">
      <alignment shrinkToFit="0" wrapText="1"/>
    </xf>
    <xf borderId="0" fillId="5" fontId="19" numFmtId="0" xfId="0" applyAlignment="1" applyFill="1" applyFont="1">
      <alignment shrinkToFit="0" wrapText="1"/>
    </xf>
    <xf borderId="0" fillId="5" fontId="19" numFmtId="172" xfId="0" applyAlignment="1" applyFill="1" applyFont="1" applyNumberFormat="1">
      <alignment shrinkToFit="0" wrapText="1"/>
    </xf>
    <xf borderId="0" fillId="5" fontId="19" numFmtId="169" xfId="0" applyAlignment="1" applyFill="1" applyFont="1" applyNumberFormat="1">
      <alignment shrinkToFit="0" wrapText="1"/>
    </xf>
    <xf borderId="0" fillId="5" fontId="19" numFmtId="0" xfId="0" applyAlignment="1" applyFill="1" applyFont="1">
      <alignment readingOrder="0" shrinkToFit="0" vertical="center" wrapText="0"/>
    </xf>
    <xf borderId="0" fillId="5" fontId="19" numFmtId="175" xfId="0" applyAlignment="1" applyFill="1" applyFont="1" applyNumberFormat="1">
      <alignment shrinkToFit="0" vertical="center" wrapText="0"/>
    </xf>
    <xf borderId="0" fillId="5" fontId="19" numFmtId="49" xfId="0" applyAlignment="1" applyFill="1" applyFont="1" applyNumberFormat="1">
      <alignment readingOrder="0" shrinkToFit="0" vertical="center" wrapText="0"/>
    </xf>
    <xf borderId="0" fillId="5" fontId="19" numFmtId="0" xfId="0" applyAlignment="1" applyFill="1" applyFont="1">
      <alignment shrinkToFit="0" vertical="center" wrapText="0"/>
    </xf>
    <xf borderId="0" fillId="5" fontId="19" numFmtId="10" xfId="0" applyAlignment="1" applyFill="1" applyFont="1" applyNumberFormat="1">
      <alignment shrinkToFit="0" vertical="center" wrapText="0"/>
    </xf>
    <xf borderId="0" fillId="5" fontId="4" numFmtId="0" xfId="0" applyAlignment="1" applyFill="1" applyFont="1">
      <alignment shrinkToFit="0" vertical="center" wrapText="0"/>
    </xf>
    <xf borderId="0" fillId="5" fontId="19" numFmtId="176" xfId="0" applyAlignment="1" applyFill="1" applyFont="1" applyNumberFormat="1">
      <alignment shrinkToFit="0" vertical="center" wrapText="0"/>
    </xf>
    <xf borderId="0" fillId="7" fontId="22" numFmtId="0" xfId="0" applyAlignment="1" applyFill="1" applyFont="1">
      <alignment horizontal="left" shrinkToFit="0" vertical="center" wrapText="1"/>
    </xf>
    <xf borderId="0" fillId="5" fontId="24" numFmtId="49" xfId="0" applyAlignment="1" applyFill="1" applyFont="1" applyNumberFormat="1">
      <alignment shrinkToFit="0" vertical="center" wrapText="0"/>
    </xf>
    <xf borderId="0" fillId="5" fontId="24" numFmtId="0" xfId="0" applyAlignment="1" applyFill="1" applyFont="1">
      <alignment shrinkToFit="0" vertical="center" wrapText="0"/>
    </xf>
    <xf borderId="0" fillId="5" fontId="24" numFmtId="0" xfId="0" applyAlignment="1" applyFill="1" applyFont="1">
      <alignment shrinkToFit="0" vertical="center" wrapText="0"/>
    </xf>
    <xf borderId="0" fillId="5" fontId="24" numFmtId="175" xfId="0" applyAlignment="1" applyFill="1" applyFont="1" applyNumberFormat="1">
      <alignment shrinkToFit="0" vertical="center" wrapText="0"/>
    </xf>
    <xf quotePrefix="1" borderId="0" fillId="5" fontId="24" numFmtId="49" xfId="0" applyAlignment="1" applyFill="1" applyFont="1" applyNumberFormat="1">
      <alignment shrinkToFit="0" vertical="center" wrapText="0"/>
    </xf>
    <xf borderId="0" fillId="5" fontId="24" numFmtId="10" xfId="0" applyAlignment="1" applyFill="1" applyFont="1" applyNumberFormat="1">
      <alignment shrinkToFit="0" vertical="center" wrapText="0"/>
    </xf>
    <xf borderId="0" fillId="5" fontId="19" numFmtId="49" xfId="0" applyAlignment="1" applyFill="1" applyFont="1" applyNumberFormat="1">
      <alignment shrinkToFit="0" vertical="center" wrapText="1"/>
    </xf>
    <xf borderId="0" fillId="5" fontId="19" numFmtId="2" xfId="0" applyAlignment="1" applyFill="1" applyFont="1" applyNumberFormat="1">
      <alignment shrinkToFit="0" vertical="center" wrapText="0"/>
    </xf>
    <xf borderId="0" fillId="6" fontId="22" numFmtId="0" xfId="0" applyAlignment="1" applyFill="1" applyFont="1">
      <alignment shrinkToFit="0" wrapText="1"/>
    </xf>
    <xf borderId="0" fillId="5" fontId="19" numFmtId="0" xfId="0" applyAlignment="1" applyFill="1" applyFont="1">
      <alignment shrinkToFit="0" vertical="center" wrapText="1"/>
    </xf>
    <xf borderId="0" fillId="5" fontId="19" numFmtId="175" xfId="0" applyAlignment="1" applyFill="1" applyFont="1" applyNumberFormat="1">
      <alignment shrinkToFit="0" vertical="center" wrapText="1"/>
    </xf>
    <xf borderId="0" fillId="5" fontId="19" numFmtId="0" xfId="0" applyAlignment="1" applyFill="1" applyFont="1">
      <alignment shrinkToFit="0" vertical="center" wrapText="1"/>
    </xf>
    <xf borderId="0" fillId="5" fontId="24" numFmtId="9" xfId="0" applyAlignment="1" applyFill="1" applyFont="1" applyNumberFormat="1">
      <alignment shrinkToFit="0" vertical="center" wrapText="0"/>
    </xf>
    <xf borderId="0" fillId="5" fontId="19" numFmtId="172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1F3F4"/>
          <bgColor rgb="FFF1F3F4"/>
        </patternFill>
      </fill>
      <border/>
    </dxf>
    <dxf>
      <font/>
      <fill>
        <patternFill patternType="solid">
          <fgColor rgb="FFEDEFF2"/>
          <bgColor rgb="FFEDEFF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6">
    <tableStyle count="4" pivot="0" name="Valuation input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fitability inputs-style">
      <tableStyleElement dxfId="6" type="headerRow"/>
      <tableStyleElement dxfId="3" type="firstRowStripe"/>
      <tableStyleElement dxfId="3" type="secondRowStripe"/>
      <tableStyleElement dxfId="5" size="0" type="wholeTable"/>
    </tableStyle>
    <tableStyle count="4" pivot="0" name="Growth inputs-style">
      <tableStyleElement dxfId="7" type="headerRow"/>
      <tableStyleElement dxfId="3" type="firstRowStripe"/>
      <tableStyleElement dxfId="3" type="secondRowStripe"/>
      <tableStyleElement dxfId="5" size="0" type="wholeTable"/>
    </tableStyle>
    <tableStyle count="4" pivot="0" name="Test sources-style">
      <tableStyleElement dxfId="7" type="headerRow"/>
      <tableStyleElement dxfId="3" type="firstRowStripe"/>
      <tableStyleElement dxfId="3" type="secondRowStripe"/>
      <tableStyleElement dxfId="5" size="0" type="wholeTable"/>
    </tableStyle>
    <tableStyle count="4" pivot="0" name="Test sources-style 2">
      <tableStyleElement dxfId="8" type="headerRow"/>
      <tableStyleElement dxfId="3" type="firstRowStripe"/>
      <tableStyleElement dxfId="3" type="secondRowStripe"/>
      <tableStyleElement dxfId="5" size="0" type="wholeTable"/>
    </tableStyle>
    <tableStyle count="4" pivot="0" name="Pilot inputs-style">
      <tableStyleElement dxfId="8" type="headerRow"/>
      <tableStyleElement dxfId="3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AC55" displayName="ValuationInputs" name="ValuationInputs" id="1">
  <tableColumns count="29">
    <tableColumn name="Issuer ID" id="1"/>
    <tableColumn name="Company" id="2"/>
    <tableColumn name="In cap universe" id="3"/>
    <tableColumn name="Market cap USD bn" id="4"/>
    <tableColumn name="Price USD" id="5"/>
    <tableColumn name="NTM diluted EPS USD" id="6"/>
    <tableColumn name="NTM EBITDA USD bn" id="7"/>
    <tableColumn name="TTM CFO USD bn" id="8"/>
    <tableColumn name="TTM cash capex USD bn" id="9"/>
    <tableColumn name="Common book equity USD bn" id="10"/>
    <tableColumn name="Debt incl leases USD bn" id="11"/>
    <tableColumn name="Cash USD bn" id="12"/>
    <tableColumn name="Preferred USD bn" id="13"/>
    <tableColumn name="Noncontrolling interests USD bn" id="14"/>
    <tableColumn name="Nonoperating investments USD bn" id="15"/>
    <tableColumn name="Market/estimate snapshot" id="16"/>
    <tableColumn name="Financial period end" id="17"/>
    <tableColumn name="NTM period end" id="18"/>
    <tableColumn name="Price/cap source URL" id="19"/>
    <tableColumn name="Forecast source URL" id="20"/>
    <tableColumn name="Financials source URL" id="21"/>
    <tableColumn name="Comparability verified?" id="22"/>
    <tableColumn name="Earnings basis" id="23"/>
    <tableColumn name="Issuer ID count" id="24"/>
    <tableColumn name="Base inputs ready" id="25"/>
    <tableColumn name="Enterprise value USD bn" id="26"/>
    <tableColumn name="TTM FCF USD bn" id="27"/>
    <tableColumn name="Input status" id="28"/>
    <tableColumn name="Company lookup count" id="29"/>
  </tableColumns>
  <tableStyleInfo name="Valuation inputs-style" showColumnStripes="0" showFirstColumn="1" showLastColumn="1" showRowStripes="1"/>
</table>
</file>

<file path=xl/tables/table2.xml><?xml version="1.0" encoding="utf-8"?>
<table xmlns="http://schemas.openxmlformats.org/spreadsheetml/2006/main" ref="A5:AN205" displayName="ProfitabilityFinancialRecords" name="ProfitabilityFinancialRecords" id="2">
  <tableColumns count="40">
    <tableColumn name="Issuer ID" id="1"/>
    <tableColumn name="Company" id="2"/>
    <tableColumn name="Period role" id="3"/>
    <tableColumn name="Period end" id="4"/>
    <tableColumn name="Available date" id="5"/>
    <tableColumn name="Opening balance date" id="6"/>
    <tableColumn name="Accounting standard" id="7"/>
    <tableColumn name="Comparability verified?" id="8"/>
    <tableColumn name="Reporting currency" id="9"/>
    <tableColumn name="Revenue (bn)" id="10"/>
    <tableColumn name="Operating profit (bn)" id="11"/>
    <tableColumn name="Operating tax rate" id="12"/>
    <tableColumn name="Interest-bearing debt opening (bn)" id="13"/>
    <tableColumn name="Interest-bearing debt closing (bn)" id="14"/>
    <tableColumn name="Total equity opening (bn)" id="15"/>
    <tableColumn name="Total equity closing (bn)" id="16"/>
    <tableColumn name="Nonoperating assets opening (bn)" id="17"/>
    <tableColumn name="Nonoperating assets closing (bn)" id="18"/>
    <tableColumn name="Common net income (bn)" id="19"/>
    <tableColumn name="Common equity opening (bn)" id="20"/>
    <tableColumn name="Common equity closing (bn)" id="21"/>
    <tableColumn name="Operating cash flow (bn)" id="22"/>
    <tableColumn name="Consolidated net income (bn)" id="23"/>
    <tableColumn name="Adjusted operating profit (bn)" id="24"/>
    <tableColumn name="Adjusted operating tax rate" id="25"/>
    <tableColumn name="Financials source URL" id="26"/>
    <tableColumn name="Tax / scope / adjustment notes" id="27"/>
    <tableColumn name="Company lookup count" id="28"/>
    <tableColumn name="Issuer / period count" id="29"/>
    <tableColumn name="Record ready" id="30"/>
    <tableColumn name="Average invested capital (bn)" id="31"/>
    <tableColumn name="Operating profit after tax (bn)" id="32"/>
    <tableColumn name="Reported ROIC" id="33"/>
    <tableColumn name="Operating margin" id="34"/>
    <tableColumn name="Common ROE" id="35"/>
    <tableColumn name="Adjusted ROIC" id="36"/>
    <tableColumn name="Adjusted operating margin" id="37"/>
    <tableColumn name="Input status" id="38"/>
    <tableColumn name="Cap eligible" id="39"/>
    <tableColumn name="History comparable" id="40"/>
  </tableColumns>
  <tableStyleInfo name="Profitability inputs-style" showColumnStripes="0" showFirstColumn="1" showLastColumn="1" showRowStripes="1"/>
</table>
</file>

<file path=xl/tables/table3.xml><?xml version="1.0" encoding="utf-8"?>
<table xmlns="http://schemas.openxmlformats.org/spreadsheetml/2006/main" ref="A5:AB55" displayName="GrowthFinancialRecords" name="GrowthFinancialRecords" id="3">
  <tableColumns count="28">
    <tableColumn name="Issuer ID" id="1"/>
    <tableColumn name="Company" id="2"/>
    <tableColumn name="Growth cohort" id="3"/>
    <tableColumn name="Actual EPS basis" id="4"/>
    <tableColumn name="Last fiscal-year end" id="5"/>
    <tableColumn name="Last annual EPS" id="6"/>
    <tableColumn name="Fiscal-year end 3 years earlier" id="7"/>
    <tableColumn name="EPS 3 years earlier" id="8"/>
    <tableColumn name="Actuals available date" id="9"/>
    <tableColumn name="Guidance fiscal-year end" id="10"/>
    <tableColumn name="EPS guide low" id="11"/>
    <tableColumn name="EPS guide high" id="12"/>
    <tableColumn name="Guidance publication" id="13"/>
    <tableColumn name="Actual EPS source URL" id="14"/>
    <tableColumn name="Three-year history source URL" id="15"/>
    <tableColumn name="Guidance source URL" id="16"/>
    <tableColumn name="Same basis/scope reviewed?" id="17"/>
    <tableColumn name="Accounting standard" id="18"/>
    <tableColumn name="Comparability / recast notes" id="19"/>
    <tableColumn name="Past 3-year median guide error" id="20"/>
    <tableColumn name="Bias adjustment source/log" id="21"/>
    <tableColumn name="Issuer/record count" id="22"/>
    <tableColumn name="Core input ready" id="23"/>
    <tableColumn name="Input status" id="24"/>
    <tableColumn name="Guidance EPS basis" id="25"/>
    <tableColumn name="Historical EPS basis" id="26"/>
    <tableColumn name="Historical data available" id="27"/>
    <tableColumn name="Historical scope reviewed?" id="28"/>
  </tableColumns>
  <tableStyleInfo name="Growth inputs-style" showColumnStripes="0" showFirstColumn="1" showLastColumn="1" showRowStripes="1"/>
</table>
</file>

<file path=xl/tables/table4.xml><?xml version="1.0" encoding="utf-8"?>
<table xmlns="http://schemas.openxmlformats.org/spreadsheetml/2006/main" ref="A5:AZ15" displayName="CrossSectorEvidence" name="CrossSectorEvidence" id="4">
  <tableColumns count="52">
    <tableColumn name="Issuer ID" id="1"/>
    <tableColumn name="Ticker" id="2"/>
    <tableColumn name="Company" id="3"/>
    <tableColumn name="Sector" id="4"/>
    <tableColumn name="Candidate cohort / caveat" id="5"/>
    <tableColumn name="Market cap A USD bn" id="6"/>
    <tableColumn name="Market cap B USD bn" id="7"/>
    <tableColumn name="Cap snapshot" id="8"/>
    <tableColumn name="Cap A source URL" id="9"/>
    <tableColumn name="Cap B source receipt" id="10"/>
    <tableColumn name="Baseline fiscal year" id="11"/>
    <tableColumn name="EPS basis" id="12"/>
    <tableColumn name="Actual annual EPS" id="13"/>
    <tableColumn name="Guidance fiscal year" id="14"/>
    <tableColumn name="EPS guidance low" id="15"/>
    <tableColumn name="EPS guidance high" id="16"/>
    <tableColumn name="Guidance publication" id="17"/>
    <tableColumn name="Annual revenue USD bn" id="18"/>
    <tableColumn name="Prior annual revenue USD bn" id="19"/>
    <tableColumn name="Annual operating profit USD bn" id="20"/>
    <tableColumn name="Actuals source URL" id="21"/>
    <tableColumn name="Guidance source URL" id="22"/>
    <tableColumn name="Accounting / scope findings" id="23"/>
    <tableColumn name="Full network review" id="24"/>
    <tableColumn name="Aligned NTM panel" id="25"/>
    <tableColumn name="Sector profile" id="26"/>
    <tableColumn name="Annual EPS guidance fit" id="27"/>
    <tableColumn name="US primary operating listing" id="28"/>
    <tableColumn name="Minimum completed cohort N" id="29"/>
    <tableColumn name="Competitive strength /100" id="30"/>
    <tableColumn name="Valuation /100" id="31"/>
    <tableColumn name="Growth /100" id="32"/>
    <tableColumn name="Profitability /100" id="33"/>
    <tableColumn name="Completed module source ledger" id="34"/>
    <tableColumn name="All module inputs reviewed?" id="35"/>
    <tableColumn name="Cap screen passed" id="36"/>
    <tableColumn name="Raw guided EPS growth" id="37"/>
    <tableColumn name="Historical annual margin" id="38"/>
    <tableColumn name="Annual revenue growth" id="39"/>
    <tableColumn name="Full-score ready" id="40"/>
    <tableColumn name="Combined score /100" id="41"/>
    <tableColumn name="Test cutoff" id="42"/>
    <tableColumn name="3-year EPS CAGR" id="43"/>
    <tableColumn name="Historical EPS scope reviewed?" id="44"/>
    <tableColumn name="Competitive cohort N" id="45"/>
    <tableColumn name="Valuation cohort N" id="46"/>
    <tableColumn name="Growth cohort N" id="47"/>
    <tableColumn name="Profitability cohort N" id="48"/>
    <tableColumn name="Additional source / scope receipt" id="49"/>
    <tableColumn name="Cohort definitions reviewed?" id="50"/>
    <tableColumn name="Same module data cutoff?" id="51"/>
    <tableColumn name="Blocking reasons" id="52"/>
  </tableColumns>
  <tableStyleInfo name="Test sources-style" showColumnStripes="0" showFirstColumn="1" showLastColumn="1" showRowStripes="1"/>
</table>
</file>

<file path=xl/tables/table5.xml><?xml version="1.0" encoding="utf-8"?>
<table xmlns="http://schemas.openxmlformats.org/spreadsheetml/2006/main" ref="A80:H126" displayName="PrimaryGuidanceAndNetworkAudit" name="PrimaryGuidanceAndNetworkAudit" id="5">
  <tableColumns count="8">
    <tableColumn name="Ticker" id="1"/>
    <tableColumn name="Audit category" id="2"/>
    <tableColumn name="Observed source fact" id="3"/>
    <tableColumn name="Publication date if verified" id="4"/>
    <tableColumn name="Primary source URL" id="5"/>
    <tableColumn name="Comparability / coverage finding" id="6"/>
    <tableColumn name="Model-use status" id="7"/>
    <tableColumn name="Pilot issuer eligible" id="8"/>
  </tableColumns>
  <tableStyleInfo name="Test sources-style 2" showColumnStripes="0" showFirstColumn="1" showLastColumn="1" showRowStripes="1"/>
</table>
</file>

<file path=xl/tables/table6.xml><?xml version="1.0" encoding="utf-8"?>
<table xmlns="http://schemas.openxmlformats.org/spreadsheetml/2006/main" ref="A14:AS44" displayName="PilotFinancialProxyRecords" name="PilotFinancialProxyRecords" id="6">
  <tableColumns count="45">
    <tableColumn name="Issuer ID" id="1"/>
    <tableColumn name="Ticker" id="2"/>
    <tableColumn name="Sector" id="3"/>
    <tableColumn name="Comparison cohort" id="4"/>
    <tableColumn name="Pilot target?" id="5"/>
    <tableColumn name="Market cap USD bn" id="6"/>
    <tableColumn name="Price / cap date" id="7"/>
    <tableColumn name="Vendor TTM revenue bn" id="8"/>
    <tableColumn name="TTM period label" id="9"/>
    <tableColumn name="Statistics updated" id="10"/>
    <tableColumn name="Trailing P/E" id="11"/>
    <tableColumn name="TTM EV / EBITDA" id="12"/>
    <tableColumn name="Vendor FCF yield" id="13"/>
    <tableColumn name="Price / book" id="14"/>
    <tableColumn name="Vendor ROIC" id="15"/>
    <tableColumn name="Vendor operating margin" id="16"/>
    <tableColumn name="Latest issuer FY" id="17"/>
    <tableColumn name="Latest FY revenue bn" id="18"/>
    <tableColumn name="Issuer FY minus 3" id="19"/>
    <tableColumn name="FY minus 3 revenue bn" id="20"/>
    <tableColumn name="Vendor annual EPS" id="21"/>
    <tableColumn name="Vendor FY-3 EPS" id="22"/>
    <tableColumn name="Statistics source URL" id="23"/>
    <tableColumn name="History source URL" id="24"/>
    <tableColumn name="Definition / scope findings" id="25"/>
    <tableColumn name="US primary listing?" id="26"/>
    <tableColumn name="Input eligible" id="27"/>
    <tableColumn name="Revenue CAGR 3Y" id="28"/>
    <tableColumn name="Vendor EPS CAGR diagnostic" id="29"/>
    <tableColumn name="Eligible cohort N" id="30"/>
    <tableColumn name="Cap percentile" id="31"/>
    <tableColumn name="Revenue percentile" id="32"/>
    <tableColumn name="Scale proxy /100" id="33"/>
    <tableColumn name="P/E value percentile" id="34"/>
    <tableColumn name="EV/EBITDA value pct" id="35"/>
    <tableColumn name="FCF yield percentile" id="36"/>
    <tableColumn name="Book value percentile" id="37"/>
    <tableColumn name="TTM value proxy /100" id="38"/>
    <tableColumn name="Revenue growth proxy /100" id="39"/>
    <tableColumn name="Vendor ROIC percentile" id="40"/>
    <tableColumn name="Vendor margin percentile" id="41"/>
    <tableColumn name="Profit proxy /100" id="42"/>
    <tableColumn name="Four proxies ready" id="43"/>
    <tableColumn name="Company" id="44"/>
    <tableColumn name="Original score status" id="45"/>
  </tableColumns>
  <tableStyleInfo name="Pilot inpu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stockanalysis.com/stocks/jpm/market-cap/" TargetMode="External"/><Relationship Id="rId10" Type="http://schemas.openxmlformats.org/officeDocument/2006/relationships/hyperlink" Target="https://stockanalysis.com/stocks/aep/market-cap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5.xml"/><Relationship Id="rId1" Type="http://schemas.openxmlformats.org/officeDocument/2006/relationships/comments" Target="../comments1.xml"/><Relationship Id="rId2" Type="http://schemas.openxmlformats.org/officeDocument/2006/relationships/hyperlink" Target="https://stockanalysis.com/stocks/xom/market-cap/" TargetMode="External"/><Relationship Id="rId3" Type="http://schemas.openxmlformats.org/officeDocument/2006/relationships/hyperlink" Target="https://stockanalysis.com/stocks/jnj/market-cap/" TargetMode="External"/><Relationship Id="rId4" Type="http://schemas.openxmlformats.org/officeDocument/2006/relationships/hyperlink" Target="https://stockanalysis.com/stocks/pg/market-cap/" TargetMode="External"/><Relationship Id="rId9" Type="http://schemas.openxmlformats.org/officeDocument/2006/relationships/hyperlink" Target="https://stockanalysis.com/stocks/shw/market-cap/" TargetMode="External"/><Relationship Id="rId5" Type="http://schemas.openxmlformats.org/officeDocument/2006/relationships/hyperlink" Target="https://stockanalysis.com/stocks/hd/market-cap/" TargetMode="External"/><Relationship Id="rId6" Type="http://schemas.openxmlformats.org/officeDocument/2006/relationships/hyperlink" Target="https://stockanalysis.com/stocks/ibm/market-cap/" TargetMode="External"/><Relationship Id="rId7" Type="http://schemas.openxmlformats.org/officeDocument/2006/relationships/hyperlink" Target="https://stockanalysis.com/stocks/vz/market-cap/" TargetMode="External"/><Relationship Id="rId8" Type="http://schemas.openxmlformats.org/officeDocument/2006/relationships/hyperlink" Target="https://stockanalysis.com/stocks/hon/market-cap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vestor.gov/introduction-investing/investing-basics/glossary/market-capitalization" TargetMode="External"/><Relationship Id="rId2" Type="http://schemas.openxmlformats.org/officeDocument/2006/relationships/hyperlink" Target="https://www.cfainstitute.org/sites/default/files/-/media/documents/support/programs/cfa/cfa_program_level_ii_financial_ratio_list.pdf" TargetMode="External"/><Relationship Id="rId3" Type="http://schemas.openxmlformats.org/officeDocument/2006/relationships/hyperlink" Target="https://pages.stern.nyu.edu/~adamodar/New_Home_Page/definitions.html" TargetMode="External"/><Relationship Id="rId4" Type="http://schemas.openxmlformats.org/officeDocument/2006/relationships/hyperlink" Target="https://www.sec.gov/Archives/edgar/data/72909/000007290325000023/xcelearningsreleaseq42024.htm" TargetMode="External"/><Relationship Id="rId5" Type="http://schemas.openxmlformats.org/officeDocument/2006/relationships/hyperlink" Target="https://knowledge4policy.ec.europa.eu/sites/default/files/jrc47008_handbook_final.pdf" TargetMode="External"/><Relationship Id="rId6" Type="http://schemas.openxmlformats.org/officeDocument/2006/relationships/hyperlink" Target="https://www.spglobal.com/spdji/en/landing/topic/gics/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30.0"/>
    <col customWidth="1" min="2" max="2" width="28.0"/>
    <col customWidth="1" min="3" max="18" width="19.0"/>
    <col customWidth="1" min="19" max="19" width="35.0"/>
    <col customWidth="1" min="20" max="21" width="23.25"/>
    <col customWidth="1" min="22" max="22" width="35.13"/>
    <col customWidth="1" min="23" max="26" width="8.63"/>
  </cols>
  <sheetData>
    <row r="1">
      <c r="A1" s="1"/>
      <c r="B1" s="1"/>
      <c r="C1" s="1"/>
      <c r="D1" s="1"/>
      <c r="E1" s="1"/>
      <c r="F1" s="1"/>
    </row>
    <row r="2">
      <c r="A2" s="3" t="s">
        <v>1</v>
      </c>
      <c r="B2" s="1"/>
      <c r="C2" s="1"/>
      <c r="D2" s="1"/>
      <c r="E2" s="1"/>
      <c r="F2" s="1"/>
    </row>
    <row r="3">
      <c r="A3" s="5" t="s">
        <v>3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5.75" customHeight="1">
      <c r="A5" s="8" t="s">
        <v>6</v>
      </c>
      <c r="B5" s="8" t="s">
        <v>8</v>
      </c>
      <c r="C5" s="8" t="s">
        <v>9</v>
      </c>
      <c r="D5" s="8" t="s">
        <v>10</v>
      </c>
      <c r="E5" s="8" t="s">
        <v>12</v>
      </c>
      <c r="F5" s="1"/>
      <c r="G5" s="11" t="s">
        <v>16</v>
      </c>
      <c r="H5" s="11" t="s">
        <v>19</v>
      </c>
      <c r="I5" s="11" t="s">
        <v>20</v>
      </c>
      <c r="J5" s="11" t="s">
        <v>22</v>
      </c>
      <c r="K5" s="15"/>
      <c r="L5" s="15"/>
      <c r="M5" s="15"/>
      <c r="N5" s="15"/>
      <c r="O5" s="15"/>
      <c r="P5" s="15"/>
      <c r="Q5" s="15"/>
      <c r="R5" s="15"/>
      <c r="S5" s="15"/>
    </row>
    <row r="6" ht="36.75" customHeight="1">
      <c r="A6" s="21" t="str">
        <f>IF(Rules!$B$7="Not selected","Choose research scope",IF(Rules!$B$15&lt;&gt;"Yes","Confirm issuer universe",IF(B6&lt;Rules!$B$12,"Too few comparable issuers",IF(B6&lt;&gt;C6,"Revenue inputs incomplete",IF(E6&lt;=0,"Revenue denominator missing",IF(OR(Rules!$B$13&lt;0,Rules!$B$14&lt;0,ABS(SUM(Rules!$B$13:$B$14)-1)&gt;0.000001),"Check score weights","Ready"))))))</f>
        <v>Choose research scope</v>
      </c>
      <c r="B6" s="15">
        <f>COUNTIFS(Companies!$R$6:$R$55,1)</f>
        <v>0</v>
      </c>
      <c r="C6" s="15">
        <f>COUNTIFS(Companies!$S$6:$S$55,1)</f>
        <v>0</v>
      </c>
      <c r="D6" s="31">
        <f>SUMIFS(Companies!$I$6:$I$55,Companies!$R$6:$R$55,1)</f>
        <v>0</v>
      </c>
      <c r="E6" s="31">
        <f>SUMIFS(Companies!$K$6:$K$55,Companies!$S$6:$S$55,1)</f>
        <v>0</v>
      </c>
      <c r="F6" s="15"/>
      <c r="G6" s="15">
        <f>COUNTIFS(ETFs!$K$6:$K$25,1,ETFs!$D$6:$D$25,"Passive")</f>
        <v>0</v>
      </c>
      <c r="H6" s="15">
        <f>COUNTIFS(ETFs!$K$6:$K$25,1,ETFs!$D$6:$D$25,"Active")</f>
        <v>0</v>
      </c>
      <c r="I6" s="31">
        <f>SUMIFS(ETFs!$G$6:$G$25,ETFs!$K$6:$K$25,1,ETFs!$D$6:$D$25,"Passive")</f>
        <v>0</v>
      </c>
      <c r="J6" s="31">
        <f>SUMIFS(ETFs!$G$6:$G$25,ETFs!$K$6:$K$25,1,ETFs!$D$6:$D$25,"Active")</f>
        <v>0</v>
      </c>
      <c r="K6" s="15"/>
      <c r="L6" s="15"/>
      <c r="M6" s="15"/>
      <c r="N6" s="15"/>
      <c r="O6" s="15"/>
      <c r="P6" s="15"/>
      <c r="Q6" s="15"/>
      <c r="R6" s="15"/>
      <c r="S6" s="15"/>
    </row>
    <row r="7" ht="24.0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ht="24.0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ht="58.5" customHeight="1">
      <c r="A9" s="11" t="s">
        <v>139</v>
      </c>
      <c r="B9" s="11" t="s">
        <v>141</v>
      </c>
      <c r="C9" s="11" t="s">
        <v>142</v>
      </c>
      <c r="D9" s="11" t="s">
        <v>144</v>
      </c>
      <c r="E9" s="11" t="s">
        <v>145</v>
      </c>
      <c r="F9" s="11" t="s">
        <v>146</v>
      </c>
      <c r="G9" s="11" t="s">
        <v>147</v>
      </c>
      <c r="H9" s="11" t="s">
        <v>149</v>
      </c>
      <c r="I9" s="38" t="s">
        <v>152</v>
      </c>
      <c r="J9" s="38" t="s">
        <v>156</v>
      </c>
      <c r="K9" s="38" t="s">
        <v>158</v>
      </c>
      <c r="L9" s="38" t="s">
        <v>160</v>
      </c>
      <c r="M9" s="11" t="s">
        <v>162</v>
      </c>
      <c r="N9" s="11" t="s">
        <v>163</v>
      </c>
      <c r="O9" s="11" t="s">
        <v>165</v>
      </c>
      <c r="P9" s="11" t="s">
        <v>166</v>
      </c>
      <c r="Q9" s="11" t="s">
        <v>168</v>
      </c>
      <c r="R9" s="11" t="s">
        <v>170</v>
      </c>
      <c r="S9" s="11" t="s">
        <v>171</v>
      </c>
      <c r="T9" s="38" t="s">
        <v>174</v>
      </c>
      <c r="U9" s="38" t="s">
        <v>176</v>
      </c>
      <c r="V9" s="11" t="s">
        <v>178</v>
      </c>
    </row>
    <row r="10" ht="24.0" customHeight="1">
      <c r="A10" s="15" t="str">
        <f>IF(Companies!R6=1,Companies!A6,"")</f>
        <v/>
      </c>
      <c r="B10" s="15" t="str">
        <f>IF(A10="","",Companies!C6)</f>
        <v/>
      </c>
      <c r="C10" s="15" t="str">
        <f>IF(A10="","",1+COUNTIFS(Companies!$R$6:$R$55,1,Companies!$I$6:$I$55,"&gt;"&amp;Companies!I6))</f>
        <v/>
      </c>
      <c r="D10" s="41" t="str">
        <f>IF(A10="","",Companies!I6/$D$6)</f>
        <v/>
      </c>
      <c r="E10" s="41" t="str">
        <f>IF(A10="","",IF($A$6&lt;&gt;"Ready","n.a.",Companies!K6/$E$6))</f>
        <v/>
      </c>
      <c r="F10" s="45" t="str">
        <f t="shared" ref="F10:F59" si="1">IF(A10="","",IF(OR($A$6&lt;&gt;"Ready",E10=0),"n.a.",D10/E10))</f>
        <v/>
      </c>
      <c r="G10" s="46" t="str">
        <f>IF(A10="","",IF($B$6&lt;Rules!$B$12,"n.a.",100*(COUNTIFS(Companies!$R$6:$R$55,1,Companies!$I$6:$I$55,"&lt;"&amp;Companies!I6)+0.5*(COUNTIFS(Companies!$R$6:$R$55,1,Companies!$I$6:$I$55,Companies!I6)-1))/($B$6-1)))</f>
        <v/>
      </c>
      <c r="H10" s="46" t="str">
        <f>IF(A10="","",IF($A$6&lt;&gt;"Ready","n.a.",100*(COUNTIFS(Companies!$S$6:$S$55,1,Companies!$K$6:$K$55,"&lt;"&amp;Companies!K6)+0.5*(COUNTIFS(Companies!$S$6:$S$55,1,Companies!$K$6:$K$55,Companies!K6)-1))/($C$6-1)))</f>
        <v/>
      </c>
      <c r="I10" s="46" t="str">
        <f>IF(A10="","",IF($A$6&lt;&gt;"Ready","n.a.",Rules!$B$13*H10+Rules!$B$14*G10))</f>
        <v/>
      </c>
      <c r="J10" s="15" t="str">
        <f t="shared" ref="J10:J59" si="2">IF(A10="","",$B$6-1)</f>
        <v/>
      </c>
      <c r="K10" s="15" t="str">
        <f t="shared" ref="K10:K59" si="3">IF(A10="","",C10-1)</f>
        <v/>
      </c>
      <c r="L10" s="45" t="str">
        <f>IF(A10="","",IF(OR($B$6&lt;2,$D$6&lt;=Companies!I6),"n.a.",Companies!I6/(($D$6-Companies!I6)/($B$6-1))))</f>
        <v/>
      </c>
      <c r="M10" s="15" t="str">
        <f>IF(A10="","",COUNTIFS(Holdings!$A$6:$A$205,A10,Holdings!$H$6:$H$205,"Passive",Holdings!$K$6:$K$205,1))</f>
        <v/>
      </c>
      <c r="N10" s="15" t="str">
        <f>IF(A10="","",COUNTIFS(Holdings!$A$6:$A$205,A10,Holdings!$H$6:$H$205,"Active",Holdings!$K$6:$K$205,1))</f>
        <v/>
      </c>
      <c r="O10" s="41" t="str">
        <f>IF(A10="","",IF(OR($G$6=0,M10&lt;&gt;$G$6),"n.a.",SUMIFS(Holdings!$D$6:$D$205,Holdings!$A$6:$A$205,A10,Holdings!$H$6:$H$205,"Passive",Holdings!$K$6:$K$205,1)/$I$6))</f>
        <v/>
      </c>
      <c r="P10" s="41" t="str">
        <f>IF(A10="","",IF(OR($H$6=0,N10&lt;&gt;$H$6),"n.a.",SUMIFS(Holdings!$D$6:$D$205,Holdings!$A$6:$A$205,A10,Holdings!$H$6:$H$205,"Active",Holdings!$K$6:$K$205,1)/$J$6))</f>
        <v/>
      </c>
      <c r="Q10" s="41" t="str">
        <f>IF(A10="","",IF(OR($G$6=0,M10&lt;&gt;$G$6),"n.a.",SUMIFS(Holdings!$D$6:$D$205,Holdings!$A$6:$A$205,A10,Holdings!$H$6:$H$205,"Passive",Holdings!$K$6:$K$205,1)/Companies!I6))</f>
        <v/>
      </c>
      <c r="R10" s="41" t="str">
        <f>IF(A10="","",IF(OR($H$6=0,N10&lt;&gt;$H$6),"n.a.",SUMIFS(Holdings!$D$6:$D$205,Holdings!$A$6:$A$205,A10,Holdings!$H$6:$H$205,"Active",Holdings!$K$6:$K$205,1)/Companies!I6))</f>
        <v/>
      </c>
      <c r="S10" s="15" t="str">
        <f t="shared" ref="S10:S59" si="4">IF(A10="","",IF($G$6+$H$6=0,"No ETF panel",IF(M10+N10=$G$6+$H$6,"Complete selected panel","Missing ETF pairs")))</f>
        <v/>
      </c>
      <c r="T10" s="46" t="str">
        <f t="array" ref="T10">IF(A10="","",IFNA(INDEX(Network!$L$14:$L$63,MATCH(A10,Network!$A$14:$A$63,0)),"n.a."))</f>
        <v/>
      </c>
      <c r="U10" s="46" t="str">
        <f>IF(A10="","",IF(OR(OR(COUNT(Rules!$B$45:$B$46)&lt;&gt;2,MIN(Rules!$B$45:$B$46)&lt;0,ABS(SUM(Rules!$B$45:$B$46)-1)&gt;0.000001),AND(Rules!$B$45&gt;0,NOT(ISNUMBER(I10))),AND(Rules!$B$46&gt;0,NOT(ISNUMBER(T10)))),"n.a.",IF(Rules!$B$45=0,0,Rules!$B$45*I10)+IF(Rules!$B$46=0,0,Rules!$B$46*T10)))</f>
        <v/>
      </c>
      <c r="V10" s="15" t="str">
        <f>IF(A10="","",IF(OR(COUNT(Rules!$B$45:$B$46)&lt;&gt;2,MIN(Rules!$B$45:$B$46)&lt;0,ABS(SUM(Rules!$B$45:$B$46)-1)&gt;0.000001),"Check combined weights",IF(AND(Rules!$B$45&gt;0,NOT(ISNUMBER(I10))),"Scale score unavailable",IF(AND(Rules!$B$46&gt;0,NOT(ISNUMBER(T10))),"Network review/score unavailable","Ready"))))</f>
        <v/>
      </c>
    </row>
    <row r="11" ht="24.0" customHeight="1">
      <c r="A11" s="15" t="str">
        <f>IF(Companies!R7=1,Companies!A7,"")</f>
        <v/>
      </c>
      <c r="B11" s="15" t="str">
        <f>IF(A11="","",Companies!C7)</f>
        <v/>
      </c>
      <c r="C11" s="15" t="str">
        <f>IF(A11="","",1+COUNTIFS(Companies!$R$6:$R$55,1,Companies!$I$6:$I$55,"&gt;"&amp;Companies!I7))</f>
        <v/>
      </c>
      <c r="D11" s="41" t="str">
        <f>IF(A11="","",Companies!I7/$D$6)</f>
        <v/>
      </c>
      <c r="E11" s="41" t="str">
        <f>IF(A11="","",IF($A$6&lt;&gt;"Ready","n.a.",Companies!K7/$E$6))</f>
        <v/>
      </c>
      <c r="F11" s="45" t="str">
        <f t="shared" si="1"/>
        <v/>
      </c>
      <c r="G11" s="46" t="str">
        <f>IF(A11="","",IF($B$6&lt;Rules!$B$12,"n.a.",100*(COUNTIFS(Companies!$R$6:$R$55,1,Companies!$I$6:$I$55,"&lt;"&amp;Companies!I7)+0.5*(COUNTIFS(Companies!$R$6:$R$55,1,Companies!$I$6:$I$55,Companies!I7)-1))/($B$6-1)))</f>
        <v/>
      </c>
      <c r="H11" s="46" t="str">
        <f>IF(A11="","",IF($A$6&lt;&gt;"Ready","n.a.",100*(COUNTIFS(Companies!$S$6:$S$55,1,Companies!$K$6:$K$55,"&lt;"&amp;Companies!K7)+0.5*(COUNTIFS(Companies!$S$6:$S$55,1,Companies!$K$6:$K$55,Companies!K7)-1))/($C$6-1)))</f>
        <v/>
      </c>
      <c r="I11" s="46" t="str">
        <f>IF(A11="","",IF($A$6&lt;&gt;"Ready","n.a.",Rules!$B$13*H11+Rules!$B$14*G11))</f>
        <v/>
      </c>
      <c r="J11" s="15" t="str">
        <f t="shared" si="2"/>
        <v/>
      </c>
      <c r="K11" s="15" t="str">
        <f t="shared" si="3"/>
        <v/>
      </c>
      <c r="L11" s="45" t="str">
        <f>IF(A11="","",IF(OR($B$6&lt;2,$D$6&lt;=Companies!I7),"n.a.",Companies!I7/(($D$6-Companies!I7)/($B$6-1))))</f>
        <v/>
      </c>
      <c r="M11" s="15" t="str">
        <f>IF(A11="","",COUNTIFS(Holdings!$A$6:$A$205,A11,Holdings!$H$6:$H$205,"Passive",Holdings!$K$6:$K$205,1))</f>
        <v/>
      </c>
      <c r="N11" s="15" t="str">
        <f>IF(A11="","",COUNTIFS(Holdings!$A$6:$A$205,A11,Holdings!$H$6:$H$205,"Active",Holdings!$K$6:$K$205,1))</f>
        <v/>
      </c>
      <c r="O11" s="41" t="str">
        <f>IF(A11="","",IF(OR($G$6=0,M11&lt;&gt;$G$6),"n.a.",SUMIFS(Holdings!$D$6:$D$205,Holdings!$A$6:$A$205,A11,Holdings!$H$6:$H$205,"Passive",Holdings!$K$6:$K$205,1)/$I$6))</f>
        <v/>
      </c>
      <c r="P11" s="41" t="str">
        <f>IF(A11="","",IF(OR($H$6=0,N11&lt;&gt;$H$6),"n.a.",SUMIFS(Holdings!$D$6:$D$205,Holdings!$A$6:$A$205,A11,Holdings!$H$6:$H$205,"Active",Holdings!$K$6:$K$205,1)/$J$6))</f>
        <v/>
      </c>
      <c r="Q11" s="41" t="str">
        <f>IF(A11="","",IF(OR($G$6=0,M11&lt;&gt;$G$6),"n.a.",SUMIFS(Holdings!$D$6:$D$205,Holdings!$A$6:$A$205,A11,Holdings!$H$6:$H$205,"Passive",Holdings!$K$6:$K$205,1)/Companies!I7))</f>
        <v/>
      </c>
      <c r="R11" s="41" t="str">
        <f>IF(A11="","",IF(OR($H$6=0,N11&lt;&gt;$H$6),"n.a.",SUMIFS(Holdings!$D$6:$D$205,Holdings!$A$6:$A$205,A11,Holdings!$H$6:$H$205,"Active",Holdings!$K$6:$K$205,1)/Companies!I7))</f>
        <v/>
      </c>
      <c r="S11" s="15" t="str">
        <f t="shared" si="4"/>
        <v/>
      </c>
      <c r="T11" s="46" t="str">
        <f t="array" ref="T11">IF(A11="","",IFNA(INDEX(Network!$L$14:$L$63,MATCH(A11,Network!$A$14:$A$63,0)),"n.a."))</f>
        <v/>
      </c>
      <c r="U11" s="46" t="str">
        <f>IF(A11="","",IF(OR(OR(COUNT(Rules!$B$45:$B$46)&lt;&gt;2,MIN(Rules!$B$45:$B$46)&lt;0,ABS(SUM(Rules!$B$45:$B$46)-1)&gt;0.000001),AND(Rules!$B$45&gt;0,NOT(ISNUMBER(I11))),AND(Rules!$B$46&gt;0,NOT(ISNUMBER(T11)))),"n.a.",IF(Rules!$B$45=0,0,Rules!$B$45*I11)+IF(Rules!$B$46=0,0,Rules!$B$46*T11)))</f>
        <v/>
      </c>
      <c r="V11" s="15" t="str">
        <f>IF(A11="","",IF(OR(COUNT(Rules!$B$45:$B$46)&lt;&gt;2,MIN(Rules!$B$45:$B$46)&lt;0,ABS(SUM(Rules!$B$45:$B$46)-1)&gt;0.000001),"Check combined weights",IF(AND(Rules!$B$45&gt;0,NOT(ISNUMBER(I11))),"Scale score unavailable",IF(AND(Rules!$B$46&gt;0,NOT(ISNUMBER(T11))),"Network review/score unavailable","Ready"))))</f>
        <v/>
      </c>
    </row>
    <row r="12" ht="24.0" customHeight="1">
      <c r="A12" s="15" t="str">
        <f>IF(Companies!R8=1,Companies!A8,"")</f>
        <v/>
      </c>
      <c r="B12" s="15" t="str">
        <f>IF(A12="","",Companies!C8)</f>
        <v/>
      </c>
      <c r="C12" s="15" t="str">
        <f>IF(A12="","",1+COUNTIFS(Companies!$R$6:$R$55,1,Companies!$I$6:$I$55,"&gt;"&amp;Companies!I8))</f>
        <v/>
      </c>
      <c r="D12" s="41" t="str">
        <f>IF(A12="","",Companies!I8/$D$6)</f>
        <v/>
      </c>
      <c r="E12" s="41" t="str">
        <f>IF(A12="","",IF($A$6&lt;&gt;"Ready","n.a.",Companies!K8/$E$6))</f>
        <v/>
      </c>
      <c r="F12" s="45" t="str">
        <f t="shared" si="1"/>
        <v/>
      </c>
      <c r="G12" s="46" t="str">
        <f>IF(A12="","",IF($B$6&lt;Rules!$B$12,"n.a.",100*(COUNTIFS(Companies!$R$6:$R$55,1,Companies!$I$6:$I$55,"&lt;"&amp;Companies!I8)+0.5*(COUNTIFS(Companies!$R$6:$R$55,1,Companies!$I$6:$I$55,Companies!I8)-1))/($B$6-1)))</f>
        <v/>
      </c>
      <c r="H12" s="46" t="str">
        <f>IF(A12="","",IF($A$6&lt;&gt;"Ready","n.a.",100*(COUNTIFS(Companies!$S$6:$S$55,1,Companies!$K$6:$K$55,"&lt;"&amp;Companies!K8)+0.5*(COUNTIFS(Companies!$S$6:$S$55,1,Companies!$K$6:$K$55,Companies!K8)-1))/($C$6-1)))</f>
        <v/>
      </c>
      <c r="I12" s="46" t="str">
        <f>IF(A12="","",IF($A$6&lt;&gt;"Ready","n.a.",Rules!$B$13*H12+Rules!$B$14*G12))</f>
        <v/>
      </c>
      <c r="J12" s="15" t="str">
        <f t="shared" si="2"/>
        <v/>
      </c>
      <c r="K12" s="15" t="str">
        <f t="shared" si="3"/>
        <v/>
      </c>
      <c r="L12" s="45" t="str">
        <f>IF(A12="","",IF(OR($B$6&lt;2,$D$6&lt;=Companies!I8),"n.a.",Companies!I8/(($D$6-Companies!I8)/($B$6-1))))</f>
        <v/>
      </c>
      <c r="M12" s="15" t="str">
        <f>IF(A12="","",COUNTIFS(Holdings!$A$6:$A$205,A12,Holdings!$H$6:$H$205,"Passive",Holdings!$K$6:$K$205,1))</f>
        <v/>
      </c>
      <c r="N12" s="15" t="str">
        <f>IF(A12="","",COUNTIFS(Holdings!$A$6:$A$205,A12,Holdings!$H$6:$H$205,"Active",Holdings!$K$6:$K$205,1))</f>
        <v/>
      </c>
      <c r="O12" s="41" t="str">
        <f>IF(A12="","",IF(OR($G$6=0,M12&lt;&gt;$G$6),"n.a.",SUMIFS(Holdings!$D$6:$D$205,Holdings!$A$6:$A$205,A12,Holdings!$H$6:$H$205,"Passive",Holdings!$K$6:$K$205,1)/$I$6))</f>
        <v/>
      </c>
      <c r="P12" s="41" t="str">
        <f>IF(A12="","",IF(OR($H$6=0,N12&lt;&gt;$H$6),"n.a.",SUMIFS(Holdings!$D$6:$D$205,Holdings!$A$6:$A$205,A12,Holdings!$H$6:$H$205,"Active",Holdings!$K$6:$K$205,1)/$J$6))</f>
        <v/>
      </c>
      <c r="Q12" s="41" t="str">
        <f>IF(A12="","",IF(OR($G$6=0,M12&lt;&gt;$G$6),"n.a.",SUMIFS(Holdings!$D$6:$D$205,Holdings!$A$6:$A$205,A12,Holdings!$H$6:$H$205,"Passive",Holdings!$K$6:$K$205,1)/Companies!I8))</f>
        <v/>
      </c>
      <c r="R12" s="41" t="str">
        <f>IF(A12="","",IF(OR($H$6=0,N12&lt;&gt;$H$6),"n.a.",SUMIFS(Holdings!$D$6:$D$205,Holdings!$A$6:$A$205,A12,Holdings!$H$6:$H$205,"Active",Holdings!$K$6:$K$205,1)/Companies!I8))</f>
        <v/>
      </c>
      <c r="S12" s="15" t="str">
        <f t="shared" si="4"/>
        <v/>
      </c>
      <c r="T12" s="46" t="str">
        <f t="array" ref="T12">IF(A12="","",IFNA(INDEX(Network!$L$14:$L$63,MATCH(A12,Network!$A$14:$A$63,0)),"n.a."))</f>
        <v/>
      </c>
      <c r="U12" s="46" t="str">
        <f>IF(A12="","",IF(OR(OR(COUNT(Rules!$B$45:$B$46)&lt;&gt;2,MIN(Rules!$B$45:$B$46)&lt;0,ABS(SUM(Rules!$B$45:$B$46)-1)&gt;0.000001),AND(Rules!$B$45&gt;0,NOT(ISNUMBER(I12))),AND(Rules!$B$46&gt;0,NOT(ISNUMBER(T12)))),"n.a.",IF(Rules!$B$45=0,0,Rules!$B$45*I12)+IF(Rules!$B$46=0,0,Rules!$B$46*T12)))</f>
        <v/>
      </c>
      <c r="V12" s="15" t="str">
        <f>IF(A12="","",IF(OR(COUNT(Rules!$B$45:$B$46)&lt;&gt;2,MIN(Rules!$B$45:$B$46)&lt;0,ABS(SUM(Rules!$B$45:$B$46)-1)&gt;0.000001),"Check combined weights",IF(AND(Rules!$B$45&gt;0,NOT(ISNUMBER(I12))),"Scale score unavailable",IF(AND(Rules!$B$46&gt;0,NOT(ISNUMBER(T12))),"Network review/score unavailable","Ready"))))</f>
        <v/>
      </c>
    </row>
    <row r="13" ht="24.0" customHeight="1">
      <c r="A13" s="15" t="str">
        <f>IF(Companies!R9=1,Companies!A9,"")</f>
        <v/>
      </c>
      <c r="B13" s="15" t="str">
        <f>IF(A13="","",Companies!C9)</f>
        <v/>
      </c>
      <c r="C13" s="15" t="str">
        <f>IF(A13="","",1+COUNTIFS(Companies!$R$6:$R$55,1,Companies!$I$6:$I$55,"&gt;"&amp;Companies!I9))</f>
        <v/>
      </c>
      <c r="D13" s="41" t="str">
        <f>IF(A13="","",Companies!I9/$D$6)</f>
        <v/>
      </c>
      <c r="E13" s="41" t="str">
        <f>IF(A13="","",IF($A$6&lt;&gt;"Ready","n.a.",Companies!K9/$E$6))</f>
        <v/>
      </c>
      <c r="F13" s="45" t="str">
        <f t="shared" si="1"/>
        <v/>
      </c>
      <c r="G13" s="46" t="str">
        <f>IF(A13="","",IF($B$6&lt;Rules!$B$12,"n.a.",100*(COUNTIFS(Companies!$R$6:$R$55,1,Companies!$I$6:$I$55,"&lt;"&amp;Companies!I9)+0.5*(COUNTIFS(Companies!$R$6:$R$55,1,Companies!$I$6:$I$55,Companies!I9)-1))/($B$6-1)))</f>
        <v/>
      </c>
      <c r="H13" s="46" t="str">
        <f>IF(A13="","",IF($A$6&lt;&gt;"Ready","n.a.",100*(COUNTIFS(Companies!$S$6:$S$55,1,Companies!$K$6:$K$55,"&lt;"&amp;Companies!K9)+0.5*(COUNTIFS(Companies!$S$6:$S$55,1,Companies!$K$6:$K$55,Companies!K9)-1))/($C$6-1)))</f>
        <v/>
      </c>
      <c r="I13" s="46" t="str">
        <f>IF(A13="","",IF($A$6&lt;&gt;"Ready","n.a.",Rules!$B$13*H13+Rules!$B$14*G13))</f>
        <v/>
      </c>
      <c r="J13" s="15" t="str">
        <f t="shared" si="2"/>
        <v/>
      </c>
      <c r="K13" s="15" t="str">
        <f t="shared" si="3"/>
        <v/>
      </c>
      <c r="L13" s="45" t="str">
        <f>IF(A13="","",IF(OR($B$6&lt;2,$D$6&lt;=Companies!I9),"n.a.",Companies!I9/(($D$6-Companies!I9)/($B$6-1))))</f>
        <v/>
      </c>
      <c r="M13" s="15" t="str">
        <f>IF(A13="","",COUNTIFS(Holdings!$A$6:$A$205,A13,Holdings!$H$6:$H$205,"Passive",Holdings!$K$6:$K$205,1))</f>
        <v/>
      </c>
      <c r="N13" s="15" t="str">
        <f>IF(A13="","",COUNTIFS(Holdings!$A$6:$A$205,A13,Holdings!$H$6:$H$205,"Active",Holdings!$K$6:$K$205,1))</f>
        <v/>
      </c>
      <c r="O13" s="41" t="str">
        <f>IF(A13="","",IF(OR($G$6=0,M13&lt;&gt;$G$6),"n.a.",SUMIFS(Holdings!$D$6:$D$205,Holdings!$A$6:$A$205,A13,Holdings!$H$6:$H$205,"Passive",Holdings!$K$6:$K$205,1)/$I$6))</f>
        <v/>
      </c>
      <c r="P13" s="41" t="str">
        <f>IF(A13="","",IF(OR($H$6=0,N13&lt;&gt;$H$6),"n.a.",SUMIFS(Holdings!$D$6:$D$205,Holdings!$A$6:$A$205,A13,Holdings!$H$6:$H$205,"Active",Holdings!$K$6:$K$205,1)/$J$6))</f>
        <v/>
      </c>
      <c r="Q13" s="41" t="str">
        <f>IF(A13="","",IF(OR($G$6=0,M13&lt;&gt;$G$6),"n.a.",SUMIFS(Holdings!$D$6:$D$205,Holdings!$A$6:$A$205,A13,Holdings!$H$6:$H$205,"Passive",Holdings!$K$6:$K$205,1)/Companies!I9))</f>
        <v/>
      </c>
      <c r="R13" s="41" t="str">
        <f>IF(A13="","",IF(OR($H$6=0,N13&lt;&gt;$H$6),"n.a.",SUMIFS(Holdings!$D$6:$D$205,Holdings!$A$6:$A$205,A13,Holdings!$H$6:$H$205,"Active",Holdings!$K$6:$K$205,1)/Companies!I9))</f>
        <v/>
      </c>
      <c r="S13" s="15" t="str">
        <f t="shared" si="4"/>
        <v/>
      </c>
      <c r="T13" s="46" t="str">
        <f t="array" ref="T13">IF(A13="","",IFNA(INDEX(Network!$L$14:$L$63,MATCH(A13,Network!$A$14:$A$63,0)),"n.a."))</f>
        <v/>
      </c>
      <c r="U13" s="46" t="str">
        <f>IF(A13="","",IF(OR(OR(COUNT(Rules!$B$45:$B$46)&lt;&gt;2,MIN(Rules!$B$45:$B$46)&lt;0,ABS(SUM(Rules!$B$45:$B$46)-1)&gt;0.000001),AND(Rules!$B$45&gt;0,NOT(ISNUMBER(I13))),AND(Rules!$B$46&gt;0,NOT(ISNUMBER(T13)))),"n.a.",IF(Rules!$B$45=0,0,Rules!$B$45*I13)+IF(Rules!$B$46=0,0,Rules!$B$46*T13)))</f>
        <v/>
      </c>
      <c r="V13" s="15" t="str">
        <f>IF(A13="","",IF(OR(COUNT(Rules!$B$45:$B$46)&lt;&gt;2,MIN(Rules!$B$45:$B$46)&lt;0,ABS(SUM(Rules!$B$45:$B$46)-1)&gt;0.000001),"Check combined weights",IF(AND(Rules!$B$45&gt;0,NOT(ISNUMBER(I13))),"Scale score unavailable",IF(AND(Rules!$B$46&gt;0,NOT(ISNUMBER(T13))),"Network review/score unavailable","Ready"))))</f>
        <v/>
      </c>
    </row>
    <row r="14" ht="24.0" customHeight="1">
      <c r="A14" s="15" t="str">
        <f>IF(Companies!R10=1,Companies!A10,"")</f>
        <v/>
      </c>
      <c r="B14" s="15" t="str">
        <f>IF(A14="","",Companies!C10)</f>
        <v/>
      </c>
      <c r="C14" s="15" t="str">
        <f>IF(A14="","",1+COUNTIFS(Companies!$R$6:$R$55,1,Companies!$I$6:$I$55,"&gt;"&amp;Companies!I10))</f>
        <v/>
      </c>
      <c r="D14" s="41" t="str">
        <f>IF(A14="","",Companies!I10/$D$6)</f>
        <v/>
      </c>
      <c r="E14" s="41" t="str">
        <f>IF(A14="","",IF($A$6&lt;&gt;"Ready","n.a.",Companies!K10/$E$6))</f>
        <v/>
      </c>
      <c r="F14" s="45" t="str">
        <f t="shared" si="1"/>
        <v/>
      </c>
      <c r="G14" s="46" t="str">
        <f>IF(A14="","",IF($B$6&lt;Rules!$B$12,"n.a.",100*(COUNTIFS(Companies!$R$6:$R$55,1,Companies!$I$6:$I$55,"&lt;"&amp;Companies!I10)+0.5*(COUNTIFS(Companies!$R$6:$R$55,1,Companies!$I$6:$I$55,Companies!I10)-1))/($B$6-1)))</f>
        <v/>
      </c>
      <c r="H14" s="46" t="str">
        <f>IF(A14="","",IF($A$6&lt;&gt;"Ready","n.a.",100*(COUNTIFS(Companies!$S$6:$S$55,1,Companies!$K$6:$K$55,"&lt;"&amp;Companies!K10)+0.5*(COUNTIFS(Companies!$S$6:$S$55,1,Companies!$K$6:$K$55,Companies!K10)-1))/($C$6-1)))</f>
        <v/>
      </c>
      <c r="I14" s="46" t="str">
        <f>IF(A14="","",IF($A$6&lt;&gt;"Ready","n.a.",Rules!$B$13*H14+Rules!$B$14*G14))</f>
        <v/>
      </c>
      <c r="J14" s="15" t="str">
        <f t="shared" si="2"/>
        <v/>
      </c>
      <c r="K14" s="15" t="str">
        <f t="shared" si="3"/>
        <v/>
      </c>
      <c r="L14" s="45" t="str">
        <f>IF(A14="","",IF(OR($B$6&lt;2,$D$6&lt;=Companies!I10),"n.a.",Companies!I10/(($D$6-Companies!I10)/($B$6-1))))</f>
        <v/>
      </c>
      <c r="M14" s="15" t="str">
        <f>IF(A14="","",COUNTIFS(Holdings!$A$6:$A$205,A14,Holdings!$H$6:$H$205,"Passive",Holdings!$K$6:$K$205,1))</f>
        <v/>
      </c>
      <c r="N14" s="15" t="str">
        <f>IF(A14="","",COUNTIFS(Holdings!$A$6:$A$205,A14,Holdings!$H$6:$H$205,"Active",Holdings!$K$6:$K$205,1))</f>
        <v/>
      </c>
      <c r="O14" s="41" t="str">
        <f>IF(A14="","",IF(OR($G$6=0,M14&lt;&gt;$G$6),"n.a.",SUMIFS(Holdings!$D$6:$D$205,Holdings!$A$6:$A$205,A14,Holdings!$H$6:$H$205,"Passive",Holdings!$K$6:$K$205,1)/$I$6))</f>
        <v/>
      </c>
      <c r="P14" s="41" t="str">
        <f>IF(A14="","",IF(OR($H$6=0,N14&lt;&gt;$H$6),"n.a.",SUMIFS(Holdings!$D$6:$D$205,Holdings!$A$6:$A$205,A14,Holdings!$H$6:$H$205,"Active",Holdings!$K$6:$K$205,1)/$J$6))</f>
        <v/>
      </c>
      <c r="Q14" s="41" t="str">
        <f>IF(A14="","",IF(OR($G$6=0,M14&lt;&gt;$G$6),"n.a.",SUMIFS(Holdings!$D$6:$D$205,Holdings!$A$6:$A$205,A14,Holdings!$H$6:$H$205,"Passive",Holdings!$K$6:$K$205,1)/Companies!I10))</f>
        <v/>
      </c>
      <c r="R14" s="41" t="str">
        <f>IF(A14="","",IF(OR($H$6=0,N14&lt;&gt;$H$6),"n.a.",SUMIFS(Holdings!$D$6:$D$205,Holdings!$A$6:$A$205,A14,Holdings!$H$6:$H$205,"Active",Holdings!$K$6:$K$205,1)/Companies!I10))</f>
        <v/>
      </c>
      <c r="S14" s="15" t="str">
        <f t="shared" si="4"/>
        <v/>
      </c>
      <c r="T14" s="46" t="str">
        <f t="array" ref="T14">IF(A14="","",IFNA(INDEX(Network!$L$14:$L$63,MATCH(A14,Network!$A$14:$A$63,0)),"n.a."))</f>
        <v/>
      </c>
      <c r="U14" s="46" t="str">
        <f>IF(A14="","",IF(OR(OR(COUNT(Rules!$B$45:$B$46)&lt;&gt;2,MIN(Rules!$B$45:$B$46)&lt;0,ABS(SUM(Rules!$B$45:$B$46)-1)&gt;0.000001),AND(Rules!$B$45&gt;0,NOT(ISNUMBER(I14))),AND(Rules!$B$46&gt;0,NOT(ISNUMBER(T14)))),"n.a.",IF(Rules!$B$45=0,0,Rules!$B$45*I14)+IF(Rules!$B$46=0,0,Rules!$B$46*T14)))</f>
        <v/>
      </c>
      <c r="V14" s="15" t="str">
        <f>IF(A14="","",IF(OR(COUNT(Rules!$B$45:$B$46)&lt;&gt;2,MIN(Rules!$B$45:$B$46)&lt;0,ABS(SUM(Rules!$B$45:$B$46)-1)&gt;0.000001),"Check combined weights",IF(AND(Rules!$B$45&gt;0,NOT(ISNUMBER(I14))),"Scale score unavailable",IF(AND(Rules!$B$46&gt;0,NOT(ISNUMBER(T14))),"Network review/score unavailable","Ready"))))</f>
        <v/>
      </c>
    </row>
    <row r="15" ht="24.0" customHeight="1">
      <c r="A15" s="15" t="str">
        <f>IF(Companies!R11=1,Companies!A11,"")</f>
        <v/>
      </c>
      <c r="B15" s="15" t="str">
        <f>IF(A15="","",Companies!C11)</f>
        <v/>
      </c>
      <c r="C15" s="15" t="str">
        <f>IF(A15="","",1+COUNTIFS(Companies!$R$6:$R$55,1,Companies!$I$6:$I$55,"&gt;"&amp;Companies!I11))</f>
        <v/>
      </c>
      <c r="D15" s="41" t="str">
        <f>IF(A15="","",Companies!I11/$D$6)</f>
        <v/>
      </c>
      <c r="E15" s="41" t="str">
        <f>IF(A15="","",IF($A$6&lt;&gt;"Ready","n.a.",Companies!K11/$E$6))</f>
        <v/>
      </c>
      <c r="F15" s="45" t="str">
        <f t="shared" si="1"/>
        <v/>
      </c>
      <c r="G15" s="46" t="str">
        <f>IF(A15="","",IF($B$6&lt;Rules!$B$12,"n.a.",100*(COUNTIFS(Companies!$R$6:$R$55,1,Companies!$I$6:$I$55,"&lt;"&amp;Companies!I11)+0.5*(COUNTIFS(Companies!$R$6:$R$55,1,Companies!$I$6:$I$55,Companies!I11)-1))/($B$6-1)))</f>
        <v/>
      </c>
      <c r="H15" s="46" t="str">
        <f>IF(A15="","",IF($A$6&lt;&gt;"Ready","n.a.",100*(COUNTIFS(Companies!$S$6:$S$55,1,Companies!$K$6:$K$55,"&lt;"&amp;Companies!K11)+0.5*(COUNTIFS(Companies!$S$6:$S$55,1,Companies!$K$6:$K$55,Companies!K11)-1))/($C$6-1)))</f>
        <v/>
      </c>
      <c r="I15" s="46" t="str">
        <f>IF(A15="","",IF($A$6&lt;&gt;"Ready","n.a.",Rules!$B$13*H15+Rules!$B$14*G15))</f>
        <v/>
      </c>
      <c r="J15" s="15" t="str">
        <f t="shared" si="2"/>
        <v/>
      </c>
      <c r="K15" s="15" t="str">
        <f t="shared" si="3"/>
        <v/>
      </c>
      <c r="L15" s="45" t="str">
        <f>IF(A15="","",IF(OR($B$6&lt;2,$D$6&lt;=Companies!I11),"n.a.",Companies!I11/(($D$6-Companies!I11)/($B$6-1))))</f>
        <v/>
      </c>
      <c r="M15" s="15" t="str">
        <f>IF(A15="","",COUNTIFS(Holdings!$A$6:$A$205,A15,Holdings!$H$6:$H$205,"Passive",Holdings!$K$6:$K$205,1))</f>
        <v/>
      </c>
      <c r="N15" s="15" t="str">
        <f>IF(A15="","",COUNTIFS(Holdings!$A$6:$A$205,A15,Holdings!$H$6:$H$205,"Active",Holdings!$K$6:$K$205,1))</f>
        <v/>
      </c>
      <c r="O15" s="41" t="str">
        <f>IF(A15="","",IF(OR($G$6=0,M15&lt;&gt;$G$6),"n.a.",SUMIFS(Holdings!$D$6:$D$205,Holdings!$A$6:$A$205,A15,Holdings!$H$6:$H$205,"Passive",Holdings!$K$6:$K$205,1)/$I$6))</f>
        <v/>
      </c>
      <c r="P15" s="41" t="str">
        <f>IF(A15="","",IF(OR($H$6=0,N15&lt;&gt;$H$6),"n.a.",SUMIFS(Holdings!$D$6:$D$205,Holdings!$A$6:$A$205,A15,Holdings!$H$6:$H$205,"Active",Holdings!$K$6:$K$205,1)/$J$6))</f>
        <v/>
      </c>
      <c r="Q15" s="41" t="str">
        <f>IF(A15="","",IF(OR($G$6=0,M15&lt;&gt;$G$6),"n.a.",SUMIFS(Holdings!$D$6:$D$205,Holdings!$A$6:$A$205,A15,Holdings!$H$6:$H$205,"Passive",Holdings!$K$6:$K$205,1)/Companies!I11))</f>
        <v/>
      </c>
      <c r="R15" s="41" t="str">
        <f>IF(A15="","",IF(OR($H$6=0,N15&lt;&gt;$H$6),"n.a.",SUMIFS(Holdings!$D$6:$D$205,Holdings!$A$6:$A$205,A15,Holdings!$H$6:$H$205,"Active",Holdings!$K$6:$K$205,1)/Companies!I11))</f>
        <v/>
      </c>
      <c r="S15" s="15" t="str">
        <f t="shared" si="4"/>
        <v/>
      </c>
      <c r="T15" s="46" t="str">
        <f t="array" ref="T15">IF(A15="","",IFNA(INDEX(Network!$L$14:$L$63,MATCH(A15,Network!$A$14:$A$63,0)),"n.a."))</f>
        <v/>
      </c>
      <c r="U15" s="46" t="str">
        <f>IF(A15="","",IF(OR(OR(COUNT(Rules!$B$45:$B$46)&lt;&gt;2,MIN(Rules!$B$45:$B$46)&lt;0,ABS(SUM(Rules!$B$45:$B$46)-1)&gt;0.000001),AND(Rules!$B$45&gt;0,NOT(ISNUMBER(I15))),AND(Rules!$B$46&gt;0,NOT(ISNUMBER(T15)))),"n.a.",IF(Rules!$B$45=0,0,Rules!$B$45*I15)+IF(Rules!$B$46=0,0,Rules!$B$46*T15)))</f>
        <v/>
      </c>
      <c r="V15" s="15" t="str">
        <f>IF(A15="","",IF(OR(COUNT(Rules!$B$45:$B$46)&lt;&gt;2,MIN(Rules!$B$45:$B$46)&lt;0,ABS(SUM(Rules!$B$45:$B$46)-1)&gt;0.000001),"Check combined weights",IF(AND(Rules!$B$45&gt;0,NOT(ISNUMBER(I15))),"Scale score unavailable",IF(AND(Rules!$B$46&gt;0,NOT(ISNUMBER(T15))),"Network review/score unavailable","Ready"))))</f>
        <v/>
      </c>
    </row>
    <row r="16" ht="24.0" customHeight="1">
      <c r="A16" s="15" t="str">
        <f>IF(Companies!R12=1,Companies!A12,"")</f>
        <v/>
      </c>
      <c r="B16" s="15" t="str">
        <f>IF(A16="","",Companies!C12)</f>
        <v/>
      </c>
      <c r="C16" s="15" t="str">
        <f>IF(A16="","",1+COUNTIFS(Companies!$R$6:$R$55,1,Companies!$I$6:$I$55,"&gt;"&amp;Companies!I12))</f>
        <v/>
      </c>
      <c r="D16" s="41" t="str">
        <f>IF(A16="","",Companies!I12/$D$6)</f>
        <v/>
      </c>
      <c r="E16" s="41" t="str">
        <f>IF(A16="","",IF($A$6&lt;&gt;"Ready","n.a.",Companies!K12/$E$6))</f>
        <v/>
      </c>
      <c r="F16" s="45" t="str">
        <f t="shared" si="1"/>
        <v/>
      </c>
      <c r="G16" s="46" t="str">
        <f>IF(A16="","",IF($B$6&lt;Rules!$B$12,"n.a.",100*(COUNTIFS(Companies!$R$6:$R$55,1,Companies!$I$6:$I$55,"&lt;"&amp;Companies!I12)+0.5*(COUNTIFS(Companies!$R$6:$R$55,1,Companies!$I$6:$I$55,Companies!I12)-1))/($B$6-1)))</f>
        <v/>
      </c>
      <c r="H16" s="46" t="str">
        <f>IF(A16="","",IF($A$6&lt;&gt;"Ready","n.a.",100*(COUNTIFS(Companies!$S$6:$S$55,1,Companies!$K$6:$K$55,"&lt;"&amp;Companies!K12)+0.5*(COUNTIFS(Companies!$S$6:$S$55,1,Companies!$K$6:$K$55,Companies!K12)-1))/($C$6-1)))</f>
        <v/>
      </c>
      <c r="I16" s="46" t="str">
        <f>IF(A16="","",IF($A$6&lt;&gt;"Ready","n.a.",Rules!$B$13*H16+Rules!$B$14*G16))</f>
        <v/>
      </c>
      <c r="J16" s="15" t="str">
        <f t="shared" si="2"/>
        <v/>
      </c>
      <c r="K16" s="15" t="str">
        <f t="shared" si="3"/>
        <v/>
      </c>
      <c r="L16" s="45" t="str">
        <f>IF(A16="","",IF(OR($B$6&lt;2,$D$6&lt;=Companies!I12),"n.a.",Companies!I12/(($D$6-Companies!I12)/($B$6-1))))</f>
        <v/>
      </c>
      <c r="M16" s="15" t="str">
        <f>IF(A16="","",COUNTIFS(Holdings!$A$6:$A$205,A16,Holdings!$H$6:$H$205,"Passive",Holdings!$K$6:$K$205,1))</f>
        <v/>
      </c>
      <c r="N16" s="15" t="str">
        <f>IF(A16="","",COUNTIFS(Holdings!$A$6:$A$205,A16,Holdings!$H$6:$H$205,"Active",Holdings!$K$6:$K$205,1))</f>
        <v/>
      </c>
      <c r="O16" s="41" t="str">
        <f>IF(A16="","",IF(OR($G$6=0,M16&lt;&gt;$G$6),"n.a.",SUMIFS(Holdings!$D$6:$D$205,Holdings!$A$6:$A$205,A16,Holdings!$H$6:$H$205,"Passive",Holdings!$K$6:$K$205,1)/$I$6))</f>
        <v/>
      </c>
      <c r="P16" s="41" t="str">
        <f>IF(A16="","",IF(OR($H$6=0,N16&lt;&gt;$H$6),"n.a.",SUMIFS(Holdings!$D$6:$D$205,Holdings!$A$6:$A$205,A16,Holdings!$H$6:$H$205,"Active",Holdings!$K$6:$K$205,1)/$J$6))</f>
        <v/>
      </c>
      <c r="Q16" s="41" t="str">
        <f>IF(A16="","",IF(OR($G$6=0,M16&lt;&gt;$G$6),"n.a.",SUMIFS(Holdings!$D$6:$D$205,Holdings!$A$6:$A$205,A16,Holdings!$H$6:$H$205,"Passive",Holdings!$K$6:$K$205,1)/Companies!I12))</f>
        <v/>
      </c>
      <c r="R16" s="41" t="str">
        <f>IF(A16="","",IF(OR($H$6=0,N16&lt;&gt;$H$6),"n.a.",SUMIFS(Holdings!$D$6:$D$205,Holdings!$A$6:$A$205,A16,Holdings!$H$6:$H$205,"Active",Holdings!$K$6:$K$205,1)/Companies!I12))</f>
        <v/>
      </c>
      <c r="S16" s="15" t="str">
        <f t="shared" si="4"/>
        <v/>
      </c>
      <c r="T16" s="46" t="str">
        <f t="array" ref="T16">IF(A16="","",IFNA(INDEX(Network!$L$14:$L$63,MATCH(A16,Network!$A$14:$A$63,0)),"n.a."))</f>
        <v/>
      </c>
      <c r="U16" s="46" t="str">
        <f>IF(A16="","",IF(OR(OR(COUNT(Rules!$B$45:$B$46)&lt;&gt;2,MIN(Rules!$B$45:$B$46)&lt;0,ABS(SUM(Rules!$B$45:$B$46)-1)&gt;0.000001),AND(Rules!$B$45&gt;0,NOT(ISNUMBER(I16))),AND(Rules!$B$46&gt;0,NOT(ISNUMBER(T16)))),"n.a.",IF(Rules!$B$45=0,0,Rules!$B$45*I16)+IF(Rules!$B$46=0,0,Rules!$B$46*T16)))</f>
        <v/>
      </c>
      <c r="V16" s="15" t="str">
        <f>IF(A16="","",IF(OR(COUNT(Rules!$B$45:$B$46)&lt;&gt;2,MIN(Rules!$B$45:$B$46)&lt;0,ABS(SUM(Rules!$B$45:$B$46)-1)&gt;0.000001),"Check combined weights",IF(AND(Rules!$B$45&gt;0,NOT(ISNUMBER(I16))),"Scale score unavailable",IF(AND(Rules!$B$46&gt;0,NOT(ISNUMBER(T16))),"Network review/score unavailable","Ready"))))</f>
        <v/>
      </c>
    </row>
    <row r="17" ht="24.0" customHeight="1">
      <c r="A17" s="15" t="str">
        <f>IF(Companies!R13=1,Companies!A13,"")</f>
        <v/>
      </c>
      <c r="B17" s="15" t="str">
        <f>IF(A17="","",Companies!C13)</f>
        <v/>
      </c>
      <c r="C17" s="15" t="str">
        <f>IF(A17="","",1+COUNTIFS(Companies!$R$6:$R$55,1,Companies!$I$6:$I$55,"&gt;"&amp;Companies!I13))</f>
        <v/>
      </c>
      <c r="D17" s="41" t="str">
        <f>IF(A17="","",Companies!I13/$D$6)</f>
        <v/>
      </c>
      <c r="E17" s="41" t="str">
        <f>IF(A17="","",IF($A$6&lt;&gt;"Ready","n.a.",Companies!K13/$E$6))</f>
        <v/>
      </c>
      <c r="F17" s="45" t="str">
        <f t="shared" si="1"/>
        <v/>
      </c>
      <c r="G17" s="46" t="str">
        <f>IF(A17="","",IF($B$6&lt;Rules!$B$12,"n.a.",100*(COUNTIFS(Companies!$R$6:$R$55,1,Companies!$I$6:$I$55,"&lt;"&amp;Companies!I13)+0.5*(COUNTIFS(Companies!$R$6:$R$55,1,Companies!$I$6:$I$55,Companies!I13)-1))/($B$6-1)))</f>
        <v/>
      </c>
      <c r="H17" s="46" t="str">
        <f>IF(A17="","",IF($A$6&lt;&gt;"Ready","n.a.",100*(COUNTIFS(Companies!$S$6:$S$55,1,Companies!$K$6:$K$55,"&lt;"&amp;Companies!K13)+0.5*(COUNTIFS(Companies!$S$6:$S$55,1,Companies!$K$6:$K$55,Companies!K13)-1))/($C$6-1)))</f>
        <v/>
      </c>
      <c r="I17" s="46" t="str">
        <f>IF(A17="","",IF($A$6&lt;&gt;"Ready","n.a.",Rules!$B$13*H17+Rules!$B$14*G17))</f>
        <v/>
      </c>
      <c r="J17" s="15" t="str">
        <f t="shared" si="2"/>
        <v/>
      </c>
      <c r="K17" s="15" t="str">
        <f t="shared" si="3"/>
        <v/>
      </c>
      <c r="L17" s="45" t="str">
        <f>IF(A17="","",IF(OR($B$6&lt;2,$D$6&lt;=Companies!I13),"n.a.",Companies!I13/(($D$6-Companies!I13)/($B$6-1))))</f>
        <v/>
      </c>
      <c r="M17" s="15" t="str">
        <f>IF(A17="","",COUNTIFS(Holdings!$A$6:$A$205,A17,Holdings!$H$6:$H$205,"Passive",Holdings!$K$6:$K$205,1))</f>
        <v/>
      </c>
      <c r="N17" s="15" t="str">
        <f>IF(A17="","",COUNTIFS(Holdings!$A$6:$A$205,A17,Holdings!$H$6:$H$205,"Active",Holdings!$K$6:$K$205,1))</f>
        <v/>
      </c>
      <c r="O17" s="41" t="str">
        <f>IF(A17="","",IF(OR($G$6=0,M17&lt;&gt;$G$6),"n.a.",SUMIFS(Holdings!$D$6:$D$205,Holdings!$A$6:$A$205,A17,Holdings!$H$6:$H$205,"Passive",Holdings!$K$6:$K$205,1)/$I$6))</f>
        <v/>
      </c>
      <c r="P17" s="41" t="str">
        <f>IF(A17="","",IF(OR($H$6=0,N17&lt;&gt;$H$6),"n.a.",SUMIFS(Holdings!$D$6:$D$205,Holdings!$A$6:$A$205,A17,Holdings!$H$6:$H$205,"Active",Holdings!$K$6:$K$205,1)/$J$6))</f>
        <v/>
      </c>
      <c r="Q17" s="41" t="str">
        <f>IF(A17="","",IF(OR($G$6=0,M17&lt;&gt;$G$6),"n.a.",SUMIFS(Holdings!$D$6:$D$205,Holdings!$A$6:$A$205,A17,Holdings!$H$6:$H$205,"Passive",Holdings!$K$6:$K$205,1)/Companies!I13))</f>
        <v/>
      </c>
      <c r="R17" s="41" t="str">
        <f>IF(A17="","",IF(OR($H$6=0,N17&lt;&gt;$H$6),"n.a.",SUMIFS(Holdings!$D$6:$D$205,Holdings!$A$6:$A$205,A17,Holdings!$H$6:$H$205,"Active",Holdings!$K$6:$K$205,1)/Companies!I13))</f>
        <v/>
      </c>
      <c r="S17" s="15" t="str">
        <f t="shared" si="4"/>
        <v/>
      </c>
      <c r="T17" s="46" t="str">
        <f t="array" ref="T17">IF(A17="","",IFNA(INDEX(Network!$L$14:$L$63,MATCH(A17,Network!$A$14:$A$63,0)),"n.a."))</f>
        <v/>
      </c>
      <c r="U17" s="46" t="str">
        <f>IF(A17="","",IF(OR(OR(COUNT(Rules!$B$45:$B$46)&lt;&gt;2,MIN(Rules!$B$45:$B$46)&lt;0,ABS(SUM(Rules!$B$45:$B$46)-1)&gt;0.000001),AND(Rules!$B$45&gt;0,NOT(ISNUMBER(I17))),AND(Rules!$B$46&gt;0,NOT(ISNUMBER(T17)))),"n.a.",IF(Rules!$B$45=0,0,Rules!$B$45*I17)+IF(Rules!$B$46=0,0,Rules!$B$46*T17)))</f>
        <v/>
      </c>
      <c r="V17" s="15" t="str">
        <f>IF(A17="","",IF(OR(COUNT(Rules!$B$45:$B$46)&lt;&gt;2,MIN(Rules!$B$45:$B$46)&lt;0,ABS(SUM(Rules!$B$45:$B$46)-1)&gt;0.000001),"Check combined weights",IF(AND(Rules!$B$45&gt;0,NOT(ISNUMBER(I17))),"Scale score unavailable",IF(AND(Rules!$B$46&gt;0,NOT(ISNUMBER(T17))),"Network review/score unavailable","Ready"))))</f>
        <v/>
      </c>
    </row>
    <row r="18" ht="24.0" customHeight="1">
      <c r="A18" s="15" t="str">
        <f>IF(Companies!R14=1,Companies!A14,"")</f>
        <v/>
      </c>
      <c r="B18" s="15" t="str">
        <f>IF(A18="","",Companies!C14)</f>
        <v/>
      </c>
      <c r="C18" s="15" t="str">
        <f>IF(A18="","",1+COUNTIFS(Companies!$R$6:$R$55,1,Companies!$I$6:$I$55,"&gt;"&amp;Companies!I14))</f>
        <v/>
      </c>
      <c r="D18" s="41" t="str">
        <f>IF(A18="","",Companies!I14/$D$6)</f>
        <v/>
      </c>
      <c r="E18" s="41" t="str">
        <f>IF(A18="","",IF($A$6&lt;&gt;"Ready","n.a.",Companies!K14/$E$6))</f>
        <v/>
      </c>
      <c r="F18" s="45" t="str">
        <f t="shared" si="1"/>
        <v/>
      </c>
      <c r="G18" s="46" t="str">
        <f>IF(A18="","",IF($B$6&lt;Rules!$B$12,"n.a.",100*(COUNTIFS(Companies!$R$6:$R$55,1,Companies!$I$6:$I$55,"&lt;"&amp;Companies!I14)+0.5*(COUNTIFS(Companies!$R$6:$R$55,1,Companies!$I$6:$I$55,Companies!I14)-1))/($B$6-1)))</f>
        <v/>
      </c>
      <c r="H18" s="46" t="str">
        <f>IF(A18="","",IF($A$6&lt;&gt;"Ready","n.a.",100*(COUNTIFS(Companies!$S$6:$S$55,1,Companies!$K$6:$K$55,"&lt;"&amp;Companies!K14)+0.5*(COUNTIFS(Companies!$S$6:$S$55,1,Companies!$K$6:$K$55,Companies!K14)-1))/($C$6-1)))</f>
        <v/>
      </c>
      <c r="I18" s="46" t="str">
        <f>IF(A18="","",IF($A$6&lt;&gt;"Ready","n.a.",Rules!$B$13*H18+Rules!$B$14*G18))</f>
        <v/>
      </c>
      <c r="J18" s="15" t="str">
        <f t="shared" si="2"/>
        <v/>
      </c>
      <c r="K18" s="15" t="str">
        <f t="shared" si="3"/>
        <v/>
      </c>
      <c r="L18" s="45" t="str">
        <f>IF(A18="","",IF(OR($B$6&lt;2,$D$6&lt;=Companies!I14),"n.a.",Companies!I14/(($D$6-Companies!I14)/($B$6-1))))</f>
        <v/>
      </c>
      <c r="M18" s="15" t="str">
        <f>IF(A18="","",COUNTIFS(Holdings!$A$6:$A$205,A18,Holdings!$H$6:$H$205,"Passive",Holdings!$K$6:$K$205,1))</f>
        <v/>
      </c>
      <c r="N18" s="15" t="str">
        <f>IF(A18="","",COUNTIFS(Holdings!$A$6:$A$205,A18,Holdings!$H$6:$H$205,"Active",Holdings!$K$6:$K$205,1))</f>
        <v/>
      </c>
      <c r="O18" s="41" t="str">
        <f>IF(A18="","",IF(OR($G$6=0,M18&lt;&gt;$G$6),"n.a.",SUMIFS(Holdings!$D$6:$D$205,Holdings!$A$6:$A$205,A18,Holdings!$H$6:$H$205,"Passive",Holdings!$K$6:$K$205,1)/$I$6))</f>
        <v/>
      </c>
      <c r="P18" s="41" t="str">
        <f>IF(A18="","",IF(OR($H$6=0,N18&lt;&gt;$H$6),"n.a.",SUMIFS(Holdings!$D$6:$D$205,Holdings!$A$6:$A$205,A18,Holdings!$H$6:$H$205,"Active",Holdings!$K$6:$K$205,1)/$J$6))</f>
        <v/>
      </c>
      <c r="Q18" s="41" t="str">
        <f>IF(A18="","",IF(OR($G$6=0,M18&lt;&gt;$G$6),"n.a.",SUMIFS(Holdings!$D$6:$D$205,Holdings!$A$6:$A$205,A18,Holdings!$H$6:$H$205,"Passive",Holdings!$K$6:$K$205,1)/Companies!I14))</f>
        <v/>
      </c>
      <c r="R18" s="41" t="str">
        <f>IF(A18="","",IF(OR($H$6=0,N18&lt;&gt;$H$6),"n.a.",SUMIFS(Holdings!$D$6:$D$205,Holdings!$A$6:$A$205,A18,Holdings!$H$6:$H$205,"Active",Holdings!$K$6:$K$205,1)/Companies!I14))</f>
        <v/>
      </c>
      <c r="S18" s="15" t="str">
        <f t="shared" si="4"/>
        <v/>
      </c>
      <c r="T18" s="46" t="str">
        <f t="array" ref="T18">IF(A18="","",IFNA(INDEX(Network!$L$14:$L$63,MATCH(A18,Network!$A$14:$A$63,0)),"n.a."))</f>
        <v/>
      </c>
      <c r="U18" s="46" t="str">
        <f>IF(A18="","",IF(OR(OR(COUNT(Rules!$B$45:$B$46)&lt;&gt;2,MIN(Rules!$B$45:$B$46)&lt;0,ABS(SUM(Rules!$B$45:$B$46)-1)&gt;0.000001),AND(Rules!$B$45&gt;0,NOT(ISNUMBER(I18))),AND(Rules!$B$46&gt;0,NOT(ISNUMBER(T18)))),"n.a.",IF(Rules!$B$45=0,0,Rules!$B$45*I18)+IF(Rules!$B$46=0,0,Rules!$B$46*T18)))</f>
        <v/>
      </c>
      <c r="V18" s="15" t="str">
        <f>IF(A18="","",IF(OR(COUNT(Rules!$B$45:$B$46)&lt;&gt;2,MIN(Rules!$B$45:$B$46)&lt;0,ABS(SUM(Rules!$B$45:$B$46)-1)&gt;0.000001),"Check combined weights",IF(AND(Rules!$B$45&gt;0,NOT(ISNUMBER(I18))),"Scale score unavailable",IF(AND(Rules!$B$46&gt;0,NOT(ISNUMBER(T18))),"Network review/score unavailable","Ready"))))</f>
        <v/>
      </c>
    </row>
    <row r="19" ht="24.0" customHeight="1">
      <c r="A19" s="15" t="str">
        <f>IF(Companies!R15=1,Companies!A15,"")</f>
        <v/>
      </c>
      <c r="B19" s="15" t="str">
        <f>IF(A19="","",Companies!C15)</f>
        <v/>
      </c>
      <c r="C19" s="15" t="str">
        <f>IF(A19="","",1+COUNTIFS(Companies!$R$6:$R$55,1,Companies!$I$6:$I$55,"&gt;"&amp;Companies!I15))</f>
        <v/>
      </c>
      <c r="D19" s="41" t="str">
        <f>IF(A19="","",Companies!I15/$D$6)</f>
        <v/>
      </c>
      <c r="E19" s="41" t="str">
        <f>IF(A19="","",IF($A$6&lt;&gt;"Ready","n.a.",Companies!K15/$E$6))</f>
        <v/>
      </c>
      <c r="F19" s="45" t="str">
        <f t="shared" si="1"/>
        <v/>
      </c>
      <c r="G19" s="46" t="str">
        <f>IF(A19="","",IF($B$6&lt;Rules!$B$12,"n.a.",100*(COUNTIFS(Companies!$R$6:$R$55,1,Companies!$I$6:$I$55,"&lt;"&amp;Companies!I15)+0.5*(COUNTIFS(Companies!$R$6:$R$55,1,Companies!$I$6:$I$55,Companies!I15)-1))/($B$6-1)))</f>
        <v/>
      </c>
      <c r="H19" s="46" t="str">
        <f>IF(A19="","",IF($A$6&lt;&gt;"Ready","n.a.",100*(COUNTIFS(Companies!$S$6:$S$55,1,Companies!$K$6:$K$55,"&lt;"&amp;Companies!K15)+0.5*(COUNTIFS(Companies!$S$6:$S$55,1,Companies!$K$6:$K$55,Companies!K15)-1))/($C$6-1)))</f>
        <v/>
      </c>
      <c r="I19" s="46" t="str">
        <f>IF(A19="","",IF($A$6&lt;&gt;"Ready","n.a.",Rules!$B$13*H19+Rules!$B$14*G19))</f>
        <v/>
      </c>
      <c r="J19" s="15" t="str">
        <f t="shared" si="2"/>
        <v/>
      </c>
      <c r="K19" s="15" t="str">
        <f t="shared" si="3"/>
        <v/>
      </c>
      <c r="L19" s="45" t="str">
        <f>IF(A19="","",IF(OR($B$6&lt;2,$D$6&lt;=Companies!I15),"n.a.",Companies!I15/(($D$6-Companies!I15)/($B$6-1))))</f>
        <v/>
      </c>
      <c r="M19" s="15" t="str">
        <f>IF(A19="","",COUNTIFS(Holdings!$A$6:$A$205,A19,Holdings!$H$6:$H$205,"Passive",Holdings!$K$6:$K$205,1))</f>
        <v/>
      </c>
      <c r="N19" s="15" t="str">
        <f>IF(A19="","",COUNTIFS(Holdings!$A$6:$A$205,A19,Holdings!$H$6:$H$205,"Active",Holdings!$K$6:$K$205,1))</f>
        <v/>
      </c>
      <c r="O19" s="41" t="str">
        <f>IF(A19="","",IF(OR($G$6=0,M19&lt;&gt;$G$6),"n.a.",SUMIFS(Holdings!$D$6:$D$205,Holdings!$A$6:$A$205,A19,Holdings!$H$6:$H$205,"Passive",Holdings!$K$6:$K$205,1)/$I$6))</f>
        <v/>
      </c>
      <c r="P19" s="41" t="str">
        <f>IF(A19="","",IF(OR($H$6=0,N19&lt;&gt;$H$6),"n.a.",SUMIFS(Holdings!$D$6:$D$205,Holdings!$A$6:$A$205,A19,Holdings!$H$6:$H$205,"Active",Holdings!$K$6:$K$205,1)/$J$6))</f>
        <v/>
      </c>
      <c r="Q19" s="41" t="str">
        <f>IF(A19="","",IF(OR($G$6=0,M19&lt;&gt;$G$6),"n.a.",SUMIFS(Holdings!$D$6:$D$205,Holdings!$A$6:$A$205,A19,Holdings!$H$6:$H$205,"Passive",Holdings!$K$6:$K$205,1)/Companies!I15))</f>
        <v/>
      </c>
      <c r="R19" s="41" t="str">
        <f>IF(A19="","",IF(OR($H$6=0,N19&lt;&gt;$H$6),"n.a.",SUMIFS(Holdings!$D$6:$D$205,Holdings!$A$6:$A$205,A19,Holdings!$H$6:$H$205,"Active",Holdings!$K$6:$K$205,1)/Companies!I15))</f>
        <v/>
      </c>
      <c r="S19" s="15" t="str">
        <f t="shared" si="4"/>
        <v/>
      </c>
      <c r="T19" s="46" t="str">
        <f t="array" ref="T19">IF(A19="","",IFNA(INDEX(Network!$L$14:$L$63,MATCH(A19,Network!$A$14:$A$63,0)),"n.a."))</f>
        <v/>
      </c>
      <c r="U19" s="46" t="str">
        <f>IF(A19="","",IF(OR(OR(COUNT(Rules!$B$45:$B$46)&lt;&gt;2,MIN(Rules!$B$45:$B$46)&lt;0,ABS(SUM(Rules!$B$45:$B$46)-1)&gt;0.000001),AND(Rules!$B$45&gt;0,NOT(ISNUMBER(I19))),AND(Rules!$B$46&gt;0,NOT(ISNUMBER(T19)))),"n.a.",IF(Rules!$B$45=0,0,Rules!$B$45*I19)+IF(Rules!$B$46=0,0,Rules!$B$46*T19)))</f>
        <v/>
      </c>
      <c r="V19" s="15" t="str">
        <f>IF(A19="","",IF(OR(COUNT(Rules!$B$45:$B$46)&lt;&gt;2,MIN(Rules!$B$45:$B$46)&lt;0,ABS(SUM(Rules!$B$45:$B$46)-1)&gt;0.000001),"Check combined weights",IF(AND(Rules!$B$45&gt;0,NOT(ISNUMBER(I19))),"Scale score unavailable",IF(AND(Rules!$B$46&gt;0,NOT(ISNUMBER(T19))),"Network review/score unavailable","Ready"))))</f>
        <v/>
      </c>
    </row>
    <row r="20" ht="24.0" customHeight="1">
      <c r="A20" s="15" t="str">
        <f>IF(Companies!R16=1,Companies!A16,"")</f>
        <v/>
      </c>
      <c r="B20" s="15" t="str">
        <f>IF(A20="","",Companies!C16)</f>
        <v/>
      </c>
      <c r="C20" s="15" t="str">
        <f>IF(A20="","",1+COUNTIFS(Companies!$R$6:$R$55,1,Companies!$I$6:$I$55,"&gt;"&amp;Companies!I16))</f>
        <v/>
      </c>
      <c r="D20" s="41" t="str">
        <f>IF(A20="","",Companies!I16/$D$6)</f>
        <v/>
      </c>
      <c r="E20" s="41" t="str">
        <f>IF(A20="","",IF($A$6&lt;&gt;"Ready","n.a.",Companies!K16/$E$6))</f>
        <v/>
      </c>
      <c r="F20" s="45" t="str">
        <f t="shared" si="1"/>
        <v/>
      </c>
      <c r="G20" s="46" t="str">
        <f>IF(A20="","",IF($B$6&lt;Rules!$B$12,"n.a.",100*(COUNTIFS(Companies!$R$6:$R$55,1,Companies!$I$6:$I$55,"&lt;"&amp;Companies!I16)+0.5*(COUNTIFS(Companies!$R$6:$R$55,1,Companies!$I$6:$I$55,Companies!I16)-1))/($B$6-1)))</f>
        <v/>
      </c>
      <c r="H20" s="46" t="str">
        <f>IF(A20="","",IF($A$6&lt;&gt;"Ready","n.a.",100*(COUNTIFS(Companies!$S$6:$S$55,1,Companies!$K$6:$K$55,"&lt;"&amp;Companies!K16)+0.5*(COUNTIFS(Companies!$S$6:$S$55,1,Companies!$K$6:$K$55,Companies!K16)-1))/($C$6-1)))</f>
        <v/>
      </c>
      <c r="I20" s="46" t="str">
        <f>IF(A20="","",IF($A$6&lt;&gt;"Ready","n.a.",Rules!$B$13*H20+Rules!$B$14*G20))</f>
        <v/>
      </c>
      <c r="J20" s="15" t="str">
        <f t="shared" si="2"/>
        <v/>
      </c>
      <c r="K20" s="15" t="str">
        <f t="shared" si="3"/>
        <v/>
      </c>
      <c r="L20" s="45" t="str">
        <f>IF(A20="","",IF(OR($B$6&lt;2,$D$6&lt;=Companies!I16),"n.a.",Companies!I16/(($D$6-Companies!I16)/($B$6-1))))</f>
        <v/>
      </c>
      <c r="M20" s="15" t="str">
        <f>IF(A20="","",COUNTIFS(Holdings!$A$6:$A$205,A20,Holdings!$H$6:$H$205,"Passive",Holdings!$K$6:$K$205,1))</f>
        <v/>
      </c>
      <c r="N20" s="15" t="str">
        <f>IF(A20="","",COUNTIFS(Holdings!$A$6:$A$205,A20,Holdings!$H$6:$H$205,"Active",Holdings!$K$6:$K$205,1))</f>
        <v/>
      </c>
      <c r="O20" s="41" t="str">
        <f>IF(A20="","",IF(OR($G$6=0,M20&lt;&gt;$G$6),"n.a.",SUMIFS(Holdings!$D$6:$D$205,Holdings!$A$6:$A$205,A20,Holdings!$H$6:$H$205,"Passive",Holdings!$K$6:$K$205,1)/$I$6))</f>
        <v/>
      </c>
      <c r="P20" s="41" t="str">
        <f>IF(A20="","",IF(OR($H$6=0,N20&lt;&gt;$H$6),"n.a.",SUMIFS(Holdings!$D$6:$D$205,Holdings!$A$6:$A$205,A20,Holdings!$H$6:$H$205,"Active",Holdings!$K$6:$K$205,1)/$J$6))</f>
        <v/>
      </c>
      <c r="Q20" s="41" t="str">
        <f>IF(A20="","",IF(OR($G$6=0,M20&lt;&gt;$G$6),"n.a.",SUMIFS(Holdings!$D$6:$D$205,Holdings!$A$6:$A$205,A20,Holdings!$H$6:$H$205,"Passive",Holdings!$K$6:$K$205,1)/Companies!I16))</f>
        <v/>
      </c>
      <c r="R20" s="41" t="str">
        <f>IF(A20="","",IF(OR($H$6=0,N20&lt;&gt;$H$6),"n.a.",SUMIFS(Holdings!$D$6:$D$205,Holdings!$A$6:$A$205,A20,Holdings!$H$6:$H$205,"Active",Holdings!$K$6:$K$205,1)/Companies!I16))</f>
        <v/>
      </c>
      <c r="S20" s="15" t="str">
        <f t="shared" si="4"/>
        <v/>
      </c>
      <c r="T20" s="46" t="str">
        <f t="array" ref="T20">IF(A20="","",IFNA(INDEX(Network!$L$14:$L$63,MATCH(A20,Network!$A$14:$A$63,0)),"n.a."))</f>
        <v/>
      </c>
      <c r="U20" s="46" t="str">
        <f>IF(A20="","",IF(OR(OR(COUNT(Rules!$B$45:$B$46)&lt;&gt;2,MIN(Rules!$B$45:$B$46)&lt;0,ABS(SUM(Rules!$B$45:$B$46)-1)&gt;0.000001),AND(Rules!$B$45&gt;0,NOT(ISNUMBER(I20))),AND(Rules!$B$46&gt;0,NOT(ISNUMBER(T20)))),"n.a.",IF(Rules!$B$45=0,0,Rules!$B$45*I20)+IF(Rules!$B$46=0,0,Rules!$B$46*T20)))</f>
        <v/>
      </c>
      <c r="V20" s="15" t="str">
        <f>IF(A20="","",IF(OR(COUNT(Rules!$B$45:$B$46)&lt;&gt;2,MIN(Rules!$B$45:$B$46)&lt;0,ABS(SUM(Rules!$B$45:$B$46)-1)&gt;0.000001),"Check combined weights",IF(AND(Rules!$B$45&gt;0,NOT(ISNUMBER(I20))),"Scale score unavailable",IF(AND(Rules!$B$46&gt;0,NOT(ISNUMBER(T20))),"Network review/score unavailable","Ready"))))</f>
        <v/>
      </c>
    </row>
    <row r="21" ht="24.0" customHeight="1">
      <c r="A21" s="15" t="str">
        <f>IF(Companies!R17=1,Companies!A17,"")</f>
        <v/>
      </c>
      <c r="B21" s="15" t="str">
        <f>IF(A21="","",Companies!C17)</f>
        <v/>
      </c>
      <c r="C21" s="15" t="str">
        <f>IF(A21="","",1+COUNTIFS(Companies!$R$6:$R$55,1,Companies!$I$6:$I$55,"&gt;"&amp;Companies!I17))</f>
        <v/>
      </c>
      <c r="D21" s="41" t="str">
        <f>IF(A21="","",Companies!I17/$D$6)</f>
        <v/>
      </c>
      <c r="E21" s="41" t="str">
        <f>IF(A21="","",IF($A$6&lt;&gt;"Ready","n.a.",Companies!K17/$E$6))</f>
        <v/>
      </c>
      <c r="F21" s="45" t="str">
        <f t="shared" si="1"/>
        <v/>
      </c>
      <c r="G21" s="46" t="str">
        <f>IF(A21="","",IF($B$6&lt;Rules!$B$12,"n.a.",100*(COUNTIFS(Companies!$R$6:$R$55,1,Companies!$I$6:$I$55,"&lt;"&amp;Companies!I17)+0.5*(COUNTIFS(Companies!$R$6:$R$55,1,Companies!$I$6:$I$55,Companies!I17)-1))/($B$6-1)))</f>
        <v/>
      </c>
      <c r="H21" s="46" t="str">
        <f>IF(A21="","",IF($A$6&lt;&gt;"Ready","n.a.",100*(COUNTIFS(Companies!$S$6:$S$55,1,Companies!$K$6:$K$55,"&lt;"&amp;Companies!K17)+0.5*(COUNTIFS(Companies!$S$6:$S$55,1,Companies!$K$6:$K$55,Companies!K17)-1))/($C$6-1)))</f>
        <v/>
      </c>
      <c r="I21" s="46" t="str">
        <f>IF(A21="","",IF($A$6&lt;&gt;"Ready","n.a.",Rules!$B$13*H21+Rules!$B$14*G21))</f>
        <v/>
      </c>
      <c r="J21" s="15" t="str">
        <f t="shared" si="2"/>
        <v/>
      </c>
      <c r="K21" s="15" t="str">
        <f t="shared" si="3"/>
        <v/>
      </c>
      <c r="L21" s="45" t="str">
        <f>IF(A21="","",IF(OR($B$6&lt;2,$D$6&lt;=Companies!I17),"n.a.",Companies!I17/(($D$6-Companies!I17)/($B$6-1))))</f>
        <v/>
      </c>
      <c r="M21" s="15" t="str">
        <f>IF(A21="","",COUNTIFS(Holdings!$A$6:$A$205,A21,Holdings!$H$6:$H$205,"Passive",Holdings!$K$6:$K$205,1))</f>
        <v/>
      </c>
      <c r="N21" s="15" t="str">
        <f>IF(A21="","",COUNTIFS(Holdings!$A$6:$A$205,A21,Holdings!$H$6:$H$205,"Active",Holdings!$K$6:$K$205,1))</f>
        <v/>
      </c>
      <c r="O21" s="41" t="str">
        <f>IF(A21="","",IF(OR($G$6=0,M21&lt;&gt;$G$6),"n.a.",SUMIFS(Holdings!$D$6:$D$205,Holdings!$A$6:$A$205,A21,Holdings!$H$6:$H$205,"Passive",Holdings!$K$6:$K$205,1)/$I$6))</f>
        <v/>
      </c>
      <c r="P21" s="41" t="str">
        <f>IF(A21="","",IF(OR($H$6=0,N21&lt;&gt;$H$6),"n.a.",SUMIFS(Holdings!$D$6:$D$205,Holdings!$A$6:$A$205,A21,Holdings!$H$6:$H$205,"Active",Holdings!$K$6:$K$205,1)/$J$6))</f>
        <v/>
      </c>
      <c r="Q21" s="41" t="str">
        <f>IF(A21="","",IF(OR($G$6=0,M21&lt;&gt;$G$6),"n.a.",SUMIFS(Holdings!$D$6:$D$205,Holdings!$A$6:$A$205,A21,Holdings!$H$6:$H$205,"Passive",Holdings!$K$6:$K$205,1)/Companies!I17))</f>
        <v/>
      </c>
      <c r="R21" s="41" t="str">
        <f>IF(A21="","",IF(OR($H$6=0,N21&lt;&gt;$H$6),"n.a.",SUMIFS(Holdings!$D$6:$D$205,Holdings!$A$6:$A$205,A21,Holdings!$H$6:$H$205,"Active",Holdings!$K$6:$K$205,1)/Companies!I17))</f>
        <v/>
      </c>
      <c r="S21" s="15" t="str">
        <f t="shared" si="4"/>
        <v/>
      </c>
      <c r="T21" s="46" t="str">
        <f t="array" ref="T21">IF(A21="","",IFNA(INDEX(Network!$L$14:$L$63,MATCH(A21,Network!$A$14:$A$63,0)),"n.a."))</f>
        <v/>
      </c>
      <c r="U21" s="46" t="str">
        <f>IF(A21="","",IF(OR(OR(COUNT(Rules!$B$45:$B$46)&lt;&gt;2,MIN(Rules!$B$45:$B$46)&lt;0,ABS(SUM(Rules!$B$45:$B$46)-1)&gt;0.000001),AND(Rules!$B$45&gt;0,NOT(ISNUMBER(I21))),AND(Rules!$B$46&gt;0,NOT(ISNUMBER(T21)))),"n.a.",IF(Rules!$B$45=0,0,Rules!$B$45*I21)+IF(Rules!$B$46=0,0,Rules!$B$46*T21)))</f>
        <v/>
      </c>
      <c r="V21" s="15" t="str">
        <f>IF(A21="","",IF(OR(COUNT(Rules!$B$45:$B$46)&lt;&gt;2,MIN(Rules!$B$45:$B$46)&lt;0,ABS(SUM(Rules!$B$45:$B$46)-1)&gt;0.000001),"Check combined weights",IF(AND(Rules!$B$45&gt;0,NOT(ISNUMBER(I21))),"Scale score unavailable",IF(AND(Rules!$B$46&gt;0,NOT(ISNUMBER(T21))),"Network review/score unavailable","Ready"))))</f>
        <v/>
      </c>
    </row>
    <row r="22" ht="24.0" customHeight="1">
      <c r="A22" s="15" t="str">
        <f>IF(Companies!R18=1,Companies!A18,"")</f>
        <v/>
      </c>
      <c r="B22" s="15" t="str">
        <f>IF(A22="","",Companies!C18)</f>
        <v/>
      </c>
      <c r="C22" s="15" t="str">
        <f>IF(A22="","",1+COUNTIFS(Companies!$R$6:$R$55,1,Companies!$I$6:$I$55,"&gt;"&amp;Companies!I18))</f>
        <v/>
      </c>
      <c r="D22" s="41" t="str">
        <f>IF(A22="","",Companies!I18/$D$6)</f>
        <v/>
      </c>
      <c r="E22" s="41" t="str">
        <f>IF(A22="","",IF($A$6&lt;&gt;"Ready","n.a.",Companies!K18/$E$6))</f>
        <v/>
      </c>
      <c r="F22" s="45" t="str">
        <f t="shared" si="1"/>
        <v/>
      </c>
      <c r="G22" s="46" t="str">
        <f>IF(A22="","",IF($B$6&lt;Rules!$B$12,"n.a.",100*(COUNTIFS(Companies!$R$6:$R$55,1,Companies!$I$6:$I$55,"&lt;"&amp;Companies!I18)+0.5*(COUNTIFS(Companies!$R$6:$R$55,1,Companies!$I$6:$I$55,Companies!I18)-1))/($B$6-1)))</f>
        <v/>
      </c>
      <c r="H22" s="46" t="str">
        <f>IF(A22="","",IF($A$6&lt;&gt;"Ready","n.a.",100*(COUNTIFS(Companies!$S$6:$S$55,1,Companies!$K$6:$K$55,"&lt;"&amp;Companies!K18)+0.5*(COUNTIFS(Companies!$S$6:$S$55,1,Companies!$K$6:$K$55,Companies!K18)-1))/($C$6-1)))</f>
        <v/>
      </c>
      <c r="I22" s="46" t="str">
        <f>IF(A22="","",IF($A$6&lt;&gt;"Ready","n.a.",Rules!$B$13*H22+Rules!$B$14*G22))</f>
        <v/>
      </c>
      <c r="J22" s="15" t="str">
        <f t="shared" si="2"/>
        <v/>
      </c>
      <c r="K22" s="15" t="str">
        <f t="shared" si="3"/>
        <v/>
      </c>
      <c r="L22" s="45" t="str">
        <f>IF(A22="","",IF(OR($B$6&lt;2,$D$6&lt;=Companies!I18),"n.a.",Companies!I18/(($D$6-Companies!I18)/($B$6-1))))</f>
        <v/>
      </c>
      <c r="M22" s="15" t="str">
        <f>IF(A22="","",COUNTIFS(Holdings!$A$6:$A$205,A22,Holdings!$H$6:$H$205,"Passive",Holdings!$K$6:$K$205,1))</f>
        <v/>
      </c>
      <c r="N22" s="15" t="str">
        <f>IF(A22="","",COUNTIFS(Holdings!$A$6:$A$205,A22,Holdings!$H$6:$H$205,"Active",Holdings!$K$6:$K$205,1))</f>
        <v/>
      </c>
      <c r="O22" s="41" t="str">
        <f>IF(A22="","",IF(OR($G$6=0,M22&lt;&gt;$G$6),"n.a.",SUMIFS(Holdings!$D$6:$D$205,Holdings!$A$6:$A$205,A22,Holdings!$H$6:$H$205,"Passive",Holdings!$K$6:$K$205,1)/$I$6))</f>
        <v/>
      </c>
      <c r="P22" s="41" t="str">
        <f>IF(A22="","",IF(OR($H$6=0,N22&lt;&gt;$H$6),"n.a.",SUMIFS(Holdings!$D$6:$D$205,Holdings!$A$6:$A$205,A22,Holdings!$H$6:$H$205,"Active",Holdings!$K$6:$K$205,1)/$J$6))</f>
        <v/>
      </c>
      <c r="Q22" s="41" t="str">
        <f>IF(A22="","",IF(OR($G$6=0,M22&lt;&gt;$G$6),"n.a.",SUMIFS(Holdings!$D$6:$D$205,Holdings!$A$6:$A$205,A22,Holdings!$H$6:$H$205,"Passive",Holdings!$K$6:$K$205,1)/Companies!I18))</f>
        <v/>
      </c>
      <c r="R22" s="41" t="str">
        <f>IF(A22="","",IF(OR($H$6=0,N22&lt;&gt;$H$6),"n.a.",SUMIFS(Holdings!$D$6:$D$205,Holdings!$A$6:$A$205,A22,Holdings!$H$6:$H$205,"Active",Holdings!$K$6:$K$205,1)/Companies!I18))</f>
        <v/>
      </c>
      <c r="S22" s="15" t="str">
        <f t="shared" si="4"/>
        <v/>
      </c>
      <c r="T22" s="46" t="str">
        <f t="array" ref="T22">IF(A22="","",IFNA(INDEX(Network!$L$14:$L$63,MATCH(A22,Network!$A$14:$A$63,0)),"n.a."))</f>
        <v/>
      </c>
      <c r="U22" s="46" t="str">
        <f>IF(A22="","",IF(OR(OR(COUNT(Rules!$B$45:$B$46)&lt;&gt;2,MIN(Rules!$B$45:$B$46)&lt;0,ABS(SUM(Rules!$B$45:$B$46)-1)&gt;0.000001),AND(Rules!$B$45&gt;0,NOT(ISNUMBER(I22))),AND(Rules!$B$46&gt;0,NOT(ISNUMBER(T22)))),"n.a.",IF(Rules!$B$45=0,0,Rules!$B$45*I22)+IF(Rules!$B$46=0,0,Rules!$B$46*T22)))</f>
        <v/>
      </c>
      <c r="V22" s="15" t="str">
        <f>IF(A22="","",IF(OR(COUNT(Rules!$B$45:$B$46)&lt;&gt;2,MIN(Rules!$B$45:$B$46)&lt;0,ABS(SUM(Rules!$B$45:$B$46)-1)&gt;0.000001),"Check combined weights",IF(AND(Rules!$B$45&gt;0,NOT(ISNUMBER(I22))),"Scale score unavailable",IF(AND(Rules!$B$46&gt;0,NOT(ISNUMBER(T22))),"Network review/score unavailable","Ready"))))</f>
        <v/>
      </c>
    </row>
    <row r="23" ht="24.0" customHeight="1">
      <c r="A23" s="15" t="str">
        <f>IF(Companies!R19=1,Companies!A19,"")</f>
        <v/>
      </c>
      <c r="B23" s="15" t="str">
        <f>IF(A23="","",Companies!C19)</f>
        <v/>
      </c>
      <c r="C23" s="15" t="str">
        <f>IF(A23="","",1+COUNTIFS(Companies!$R$6:$R$55,1,Companies!$I$6:$I$55,"&gt;"&amp;Companies!I19))</f>
        <v/>
      </c>
      <c r="D23" s="41" t="str">
        <f>IF(A23="","",Companies!I19/$D$6)</f>
        <v/>
      </c>
      <c r="E23" s="41" t="str">
        <f>IF(A23="","",IF($A$6&lt;&gt;"Ready","n.a.",Companies!K19/$E$6))</f>
        <v/>
      </c>
      <c r="F23" s="45" t="str">
        <f t="shared" si="1"/>
        <v/>
      </c>
      <c r="G23" s="46" t="str">
        <f>IF(A23="","",IF($B$6&lt;Rules!$B$12,"n.a.",100*(COUNTIFS(Companies!$R$6:$R$55,1,Companies!$I$6:$I$55,"&lt;"&amp;Companies!I19)+0.5*(COUNTIFS(Companies!$R$6:$R$55,1,Companies!$I$6:$I$55,Companies!I19)-1))/($B$6-1)))</f>
        <v/>
      </c>
      <c r="H23" s="46" t="str">
        <f>IF(A23="","",IF($A$6&lt;&gt;"Ready","n.a.",100*(COUNTIFS(Companies!$S$6:$S$55,1,Companies!$K$6:$K$55,"&lt;"&amp;Companies!K19)+0.5*(COUNTIFS(Companies!$S$6:$S$55,1,Companies!$K$6:$K$55,Companies!K19)-1))/($C$6-1)))</f>
        <v/>
      </c>
      <c r="I23" s="46" t="str">
        <f>IF(A23="","",IF($A$6&lt;&gt;"Ready","n.a.",Rules!$B$13*H23+Rules!$B$14*G23))</f>
        <v/>
      </c>
      <c r="J23" s="15" t="str">
        <f t="shared" si="2"/>
        <v/>
      </c>
      <c r="K23" s="15" t="str">
        <f t="shared" si="3"/>
        <v/>
      </c>
      <c r="L23" s="45" t="str">
        <f>IF(A23="","",IF(OR($B$6&lt;2,$D$6&lt;=Companies!I19),"n.a.",Companies!I19/(($D$6-Companies!I19)/($B$6-1))))</f>
        <v/>
      </c>
      <c r="M23" s="15" t="str">
        <f>IF(A23="","",COUNTIFS(Holdings!$A$6:$A$205,A23,Holdings!$H$6:$H$205,"Passive",Holdings!$K$6:$K$205,1))</f>
        <v/>
      </c>
      <c r="N23" s="15" t="str">
        <f>IF(A23="","",COUNTIFS(Holdings!$A$6:$A$205,A23,Holdings!$H$6:$H$205,"Active",Holdings!$K$6:$K$205,1))</f>
        <v/>
      </c>
      <c r="O23" s="41" t="str">
        <f>IF(A23="","",IF(OR($G$6=0,M23&lt;&gt;$G$6),"n.a.",SUMIFS(Holdings!$D$6:$D$205,Holdings!$A$6:$A$205,A23,Holdings!$H$6:$H$205,"Passive",Holdings!$K$6:$K$205,1)/$I$6))</f>
        <v/>
      </c>
      <c r="P23" s="41" t="str">
        <f>IF(A23="","",IF(OR($H$6=0,N23&lt;&gt;$H$6),"n.a.",SUMIFS(Holdings!$D$6:$D$205,Holdings!$A$6:$A$205,A23,Holdings!$H$6:$H$205,"Active",Holdings!$K$6:$K$205,1)/$J$6))</f>
        <v/>
      </c>
      <c r="Q23" s="41" t="str">
        <f>IF(A23="","",IF(OR($G$6=0,M23&lt;&gt;$G$6),"n.a.",SUMIFS(Holdings!$D$6:$D$205,Holdings!$A$6:$A$205,A23,Holdings!$H$6:$H$205,"Passive",Holdings!$K$6:$K$205,1)/Companies!I19))</f>
        <v/>
      </c>
      <c r="R23" s="41" t="str">
        <f>IF(A23="","",IF(OR($H$6=0,N23&lt;&gt;$H$6),"n.a.",SUMIFS(Holdings!$D$6:$D$205,Holdings!$A$6:$A$205,A23,Holdings!$H$6:$H$205,"Active",Holdings!$K$6:$K$205,1)/Companies!I19))</f>
        <v/>
      </c>
      <c r="S23" s="15" t="str">
        <f t="shared" si="4"/>
        <v/>
      </c>
      <c r="T23" s="46" t="str">
        <f t="array" ref="T23">IF(A23="","",IFNA(INDEX(Network!$L$14:$L$63,MATCH(A23,Network!$A$14:$A$63,0)),"n.a."))</f>
        <v/>
      </c>
      <c r="U23" s="46" t="str">
        <f>IF(A23="","",IF(OR(OR(COUNT(Rules!$B$45:$B$46)&lt;&gt;2,MIN(Rules!$B$45:$B$46)&lt;0,ABS(SUM(Rules!$B$45:$B$46)-1)&gt;0.000001),AND(Rules!$B$45&gt;0,NOT(ISNUMBER(I23))),AND(Rules!$B$46&gt;0,NOT(ISNUMBER(T23)))),"n.a.",IF(Rules!$B$45=0,0,Rules!$B$45*I23)+IF(Rules!$B$46=0,0,Rules!$B$46*T23)))</f>
        <v/>
      </c>
      <c r="V23" s="15" t="str">
        <f>IF(A23="","",IF(OR(COUNT(Rules!$B$45:$B$46)&lt;&gt;2,MIN(Rules!$B$45:$B$46)&lt;0,ABS(SUM(Rules!$B$45:$B$46)-1)&gt;0.000001),"Check combined weights",IF(AND(Rules!$B$45&gt;0,NOT(ISNUMBER(I23))),"Scale score unavailable",IF(AND(Rules!$B$46&gt;0,NOT(ISNUMBER(T23))),"Network review/score unavailable","Ready"))))</f>
        <v/>
      </c>
    </row>
    <row r="24" ht="24.0" customHeight="1">
      <c r="A24" s="15" t="str">
        <f>IF(Companies!R20=1,Companies!A20,"")</f>
        <v/>
      </c>
      <c r="B24" s="15" t="str">
        <f>IF(A24="","",Companies!C20)</f>
        <v/>
      </c>
      <c r="C24" s="15" t="str">
        <f>IF(A24="","",1+COUNTIFS(Companies!$R$6:$R$55,1,Companies!$I$6:$I$55,"&gt;"&amp;Companies!I20))</f>
        <v/>
      </c>
      <c r="D24" s="41" t="str">
        <f>IF(A24="","",Companies!I20/$D$6)</f>
        <v/>
      </c>
      <c r="E24" s="41" t="str">
        <f>IF(A24="","",IF($A$6&lt;&gt;"Ready","n.a.",Companies!K20/$E$6))</f>
        <v/>
      </c>
      <c r="F24" s="45" t="str">
        <f t="shared" si="1"/>
        <v/>
      </c>
      <c r="G24" s="46" t="str">
        <f>IF(A24="","",IF($B$6&lt;Rules!$B$12,"n.a.",100*(COUNTIFS(Companies!$R$6:$R$55,1,Companies!$I$6:$I$55,"&lt;"&amp;Companies!I20)+0.5*(COUNTIFS(Companies!$R$6:$R$55,1,Companies!$I$6:$I$55,Companies!I20)-1))/($B$6-1)))</f>
        <v/>
      </c>
      <c r="H24" s="46" t="str">
        <f>IF(A24="","",IF($A$6&lt;&gt;"Ready","n.a.",100*(COUNTIFS(Companies!$S$6:$S$55,1,Companies!$K$6:$K$55,"&lt;"&amp;Companies!K20)+0.5*(COUNTIFS(Companies!$S$6:$S$55,1,Companies!$K$6:$K$55,Companies!K20)-1))/($C$6-1)))</f>
        <v/>
      </c>
      <c r="I24" s="46" t="str">
        <f>IF(A24="","",IF($A$6&lt;&gt;"Ready","n.a.",Rules!$B$13*H24+Rules!$B$14*G24))</f>
        <v/>
      </c>
      <c r="J24" s="15" t="str">
        <f t="shared" si="2"/>
        <v/>
      </c>
      <c r="K24" s="15" t="str">
        <f t="shared" si="3"/>
        <v/>
      </c>
      <c r="L24" s="45" t="str">
        <f>IF(A24="","",IF(OR($B$6&lt;2,$D$6&lt;=Companies!I20),"n.a.",Companies!I20/(($D$6-Companies!I20)/($B$6-1))))</f>
        <v/>
      </c>
      <c r="M24" s="15" t="str">
        <f>IF(A24="","",COUNTIFS(Holdings!$A$6:$A$205,A24,Holdings!$H$6:$H$205,"Passive",Holdings!$K$6:$K$205,1))</f>
        <v/>
      </c>
      <c r="N24" s="15" t="str">
        <f>IF(A24="","",COUNTIFS(Holdings!$A$6:$A$205,A24,Holdings!$H$6:$H$205,"Active",Holdings!$K$6:$K$205,1))</f>
        <v/>
      </c>
      <c r="O24" s="41" t="str">
        <f>IF(A24="","",IF(OR($G$6=0,M24&lt;&gt;$G$6),"n.a.",SUMIFS(Holdings!$D$6:$D$205,Holdings!$A$6:$A$205,A24,Holdings!$H$6:$H$205,"Passive",Holdings!$K$6:$K$205,1)/$I$6))</f>
        <v/>
      </c>
      <c r="P24" s="41" t="str">
        <f>IF(A24="","",IF(OR($H$6=0,N24&lt;&gt;$H$6),"n.a.",SUMIFS(Holdings!$D$6:$D$205,Holdings!$A$6:$A$205,A24,Holdings!$H$6:$H$205,"Active",Holdings!$K$6:$K$205,1)/$J$6))</f>
        <v/>
      </c>
      <c r="Q24" s="41" t="str">
        <f>IF(A24="","",IF(OR($G$6=0,M24&lt;&gt;$G$6),"n.a.",SUMIFS(Holdings!$D$6:$D$205,Holdings!$A$6:$A$205,A24,Holdings!$H$6:$H$205,"Passive",Holdings!$K$6:$K$205,1)/Companies!I20))</f>
        <v/>
      </c>
      <c r="R24" s="41" t="str">
        <f>IF(A24="","",IF(OR($H$6=0,N24&lt;&gt;$H$6),"n.a.",SUMIFS(Holdings!$D$6:$D$205,Holdings!$A$6:$A$205,A24,Holdings!$H$6:$H$205,"Active",Holdings!$K$6:$K$205,1)/Companies!I20))</f>
        <v/>
      </c>
      <c r="S24" s="15" t="str">
        <f t="shared" si="4"/>
        <v/>
      </c>
      <c r="T24" s="46" t="str">
        <f t="array" ref="T24">IF(A24="","",IFNA(INDEX(Network!$L$14:$L$63,MATCH(A24,Network!$A$14:$A$63,0)),"n.a."))</f>
        <v/>
      </c>
      <c r="U24" s="46" t="str">
        <f>IF(A24="","",IF(OR(OR(COUNT(Rules!$B$45:$B$46)&lt;&gt;2,MIN(Rules!$B$45:$B$46)&lt;0,ABS(SUM(Rules!$B$45:$B$46)-1)&gt;0.000001),AND(Rules!$B$45&gt;0,NOT(ISNUMBER(I24))),AND(Rules!$B$46&gt;0,NOT(ISNUMBER(T24)))),"n.a.",IF(Rules!$B$45=0,0,Rules!$B$45*I24)+IF(Rules!$B$46=0,0,Rules!$B$46*T24)))</f>
        <v/>
      </c>
      <c r="V24" s="15" t="str">
        <f>IF(A24="","",IF(OR(COUNT(Rules!$B$45:$B$46)&lt;&gt;2,MIN(Rules!$B$45:$B$46)&lt;0,ABS(SUM(Rules!$B$45:$B$46)-1)&gt;0.000001),"Check combined weights",IF(AND(Rules!$B$45&gt;0,NOT(ISNUMBER(I24))),"Scale score unavailable",IF(AND(Rules!$B$46&gt;0,NOT(ISNUMBER(T24))),"Network review/score unavailable","Ready"))))</f>
        <v/>
      </c>
    </row>
    <row r="25" ht="24.0" customHeight="1">
      <c r="A25" s="15" t="str">
        <f>IF(Companies!R21=1,Companies!A21,"")</f>
        <v/>
      </c>
      <c r="B25" s="15" t="str">
        <f>IF(A25="","",Companies!C21)</f>
        <v/>
      </c>
      <c r="C25" s="15" t="str">
        <f>IF(A25="","",1+COUNTIFS(Companies!$R$6:$R$55,1,Companies!$I$6:$I$55,"&gt;"&amp;Companies!I21))</f>
        <v/>
      </c>
      <c r="D25" s="41" t="str">
        <f>IF(A25="","",Companies!I21/$D$6)</f>
        <v/>
      </c>
      <c r="E25" s="41" t="str">
        <f>IF(A25="","",IF($A$6&lt;&gt;"Ready","n.a.",Companies!K21/$E$6))</f>
        <v/>
      </c>
      <c r="F25" s="45" t="str">
        <f t="shared" si="1"/>
        <v/>
      </c>
      <c r="G25" s="46" t="str">
        <f>IF(A25="","",IF($B$6&lt;Rules!$B$12,"n.a.",100*(COUNTIFS(Companies!$R$6:$R$55,1,Companies!$I$6:$I$55,"&lt;"&amp;Companies!I21)+0.5*(COUNTIFS(Companies!$R$6:$R$55,1,Companies!$I$6:$I$55,Companies!I21)-1))/($B$6-1)))</f>
        <v/>
      </c>
      <c r="H25" s="46" t="str">
        <f>IF(A25="","",IF($A$6&lt;&gt;"Ready","n.a.",100*(COUNTIFS(Companies!$S$6:$S$55,1,Companies!$K$6:$K$55,"&lt;"&amp;Companies!K21)+0.5*(COUNTIFS(Companies!$S$6:$S$55,1,Companies!$K$6:$K$55,Companies!K21)-1))/($C$6-1)))</f>
        <v/>
      </c>
      <c r="I25" s="46" t="str">
        <f>IF(A25="","",IF($A$6&lt;&gt;"Ready","n.a.",Rules!$B$13*H25+Rules!$B$14*G25))</f>
        <v/>
      </c>
      <c r="J25" s="15" t="str">
        <f t="shared" si="2"/>
        <v/>
      </c>
      <c r="K25" s="15" t="str">
        <f t="shared" si="3"/>
        <v/>
      </c>
      <c r="L25" s="45" t="str">
        <f>IF(A25="","",IF(OR($B$6&lt;2,$D$6&lt;=Companies!I21),"n.a.",Companies!I21/(($D$6-Companies!I21)/($B$6-1))))</f>
        <v/>
      </c>
      <c r="M25" s="15" t="str">
        <f>IF(A25="","",COUNTIFS(Holdings!$A$6:$A$205,A25,Holdings!$H$6:$H$205,"Passive",Holdings!$K$6:$K$205,1))</f>
        <v/>
      </c>
      <c r="N25" s="15" t="str">
        <f>IF(A25="","",COUNTIFS(Holdings!$A$6:$A$205,A25,Holdings!$H$6:$H$205,"Active",Holdings!$K$6:$K$205,1))</f>
        <v/>
      </c>
      <c r="O25" s="41" t="str">
        <f>IF(A25="","",IF(OR($G$6=0,M25&lt;&gt;$G$6),"n.a.",SUMIFS(Holdings!$D$6:$D$205,Holdings!$A$6:$A$205,A25,Holdings!$H$6:$H$205,"Passive",Holdings!$K$6:$K$205,1)/$I$6))</f>
        <v/>
      </c>
      <c r="P25" s="41" t="str">
        <f>IF(A25="","",IF(OR($H$6=0,N25&lt;&gt;$H$6),"n.a.",SUMIFS(Holdings!$D$6:$D$205,Holdings!$A$6:$A$205,A25,Holdings!$H$6:$H$205,"Active",Holdings!$K$6:$K$205,1)/$J$6))</f>
        <v/>
      </c>
      <c r="Q25" s="41" t="str">
        <f>IF(A25="","",IF(OR($G$6=0,M25&lt;&gt;$G$6),"n.a.",SUMIFS(Holdings!$D$6:$D$205,Holdings!$A$6:$A$205,A25,Holdings!$H$6:$H$205,"Passive",Holdings!$K$6:$K$205,1)/Companies!I21))</f>
        <v/>
      </c>
      <c r="R25" s="41" t="str">
        <f>IF(A25="","",IF(OR($H$6=0,N25&lt;&gt;$H$6),"n.a.",SUMIFS(Holdings!$D$6:$D$205,Holdings!$A$6:$A$205,A25,Holdings!$H$6:$H$205,"Active",Holdings!$K$6:$K$205,1)/Companies!I21))</f>
        <v/>
      </c>
      <c r="S25" s="15" t="str">
        <f t="shared" si="4"/>
        <v/>
      </c>
      <c r="T25" s="46" t="str">
        <f t="array" ref="T25">IF(A25="","",IFNA(INDEX(Network!$L$14:$L$63,MATCH(A25,Network!$A$14:$A$63,0)),"n.a."))</f>
        <v/>
      </c>
      <c r="U25" s="46" t="str">
        <f>IF(A25="","",IF(OR(OR(COUNT(Rules!$B$45:$B$46)&lt;&gt;2,MIN(Rules!$B$45:$B$46)&lt;0,ABS(SUM(Rules!$B$45:$B$46)-1)&gt;0.000001),AND(Rules!$B$45&gt;0,NOT(ISNUMBER(I25))),AND(Rules!$B$46&gt;0,NOT(ISNUMBER(T25)))),"n.a.",IF(Rules!$B$45=0,0,Rules!$B$45*I25)+IF(Rules!$B$46=0,0,Rules!$B$46*T25)))</f>
        <v/>
      </c>
      <c r="V25" s="15" t="str">
        <f>IF(A25="","",IF(OR(COUNT(Rules!$B$45:$B$46)&lt;&gt;2,MIN(Rules!$B$45:$B$46)&lt;0,ABS(SUM(Rules!$B$45:$B$46)-1)&gt;0.000001),"Check combined weights",IF(AND(Rules!$B$45&gt;0,NOT(ISNUMBER(I25))),"Scale score unavailable",IF(AND(Rules!$B$46&gt;0,NOT(ISNUMBER(T25))),"Network review/score unavailable","Ready"))))</f>
        <v/>
      </c>
    </row>
    <row r="26" ht="24.0" customHeight="1">
      <c r="A26" s="15" t="str">
        <f>IF(Companies!R22=1,Companies!A22,"")</f>
        <v/>
      </c>
      <c r="B26" s="15" t="str">
        <f>IF(A26="","",Companies!C22)</f>
        <v/>
      </c>
      <c r="C26" s="15" t="str">
        <f>IF(A26="","",1+COUNTIFS(Companies!$R$6:$R$55,1,Companies!$I$6:$I$55,"&gt;"&amp;Companies!I22))</f>
        <v/>
      </c>
      <c r="D26" s="41" t="str">
        <f>IF(A26="","",Companies!I22/$D$6)</f>
        <v/>
      </c>
      <c r="E26" s="41" t="str">
        <f>IF(A26="","",IF($A$6&lt;&gt;"Ready","n.a.",Companies!K22/$E$6))</f>
        <v/>
      </c>
      <c r="F26" s="45" t="str">
        <f t="shared" si="1"/>
        <v/>
      </c>
      <c r="G26" s="46" t="str">
        <f>IF(A26="","",IF($B$6&lt;Rules!$B$12,"n.a.",100*(COUNTIFS(Companies!$R$6:$R$55,1,Companies!$I$6:$I$55,"&lt;"&amp;Companies!I22)+0.5*(COUNTIFS(Companies!$R$6:$R$55,1,Companies!$I$6:$I$55,Companies!I22)-1))/($B$6-1)))</f>
        <v/>
      </c>
      <c r="H26" s="46" t="str">
        <f>IF(A26="","",IF($A$6&lt;&gt;"Ready","n.a.",100*(COUNTIFS(Companies!$S$6:$S$55,1,Companies!$K$6:$K$55,"&lt;"&amp;Companies!K22)+0.5*(COUNTIFS(Companies!$S$6:$S$55,1,Companies!$K$6:$K$55,Companies!K22)-1))/($C$6-1)))</f>
        <v/>
      </c>
      <c r="I26" s="46" t="str">
        <f>IF(A26="","",IF($A$6&lt;&gt;"Ready","n.a.",Rules!$B$13*H26+Rules!$B$14*G26))</f>
        <v/>
      </c>
      <c r="J26" s="15" t="str">
        <f t="shared" si="2"/>
        <v/>
      </c>
      <c r="K26" s="15" t="str">
        <f t="shared" si="3"/>
        <v/>
      </c>
      <c r="L26" s="45" t="str">
        <f>IF(A26="","",IF(OR($B$6&lt;2,$D$6&lt;=Companies!I22),"n.a.",Companies!I22/(($D$6-Companies!I22)/($B$6-1))))</f>
        <v/>
      </c>
      <c r="M26" s="15" t="str">
        <f>IF(A26="","",COUNTIFS(Holdings!$A$6:$A$205,A26,Holdings!$H$6:$H$205,"Passive",Holdings!$K$6:$K$205,1))</f>
        <v/>
      </c>
      <c r="N26" s="15" t="str">
        <f>IF(A26="","",COUNTIFS(Holdings!$A$6:$A$205,A26,Holdings!$H$6:$H$205,"Active",Holdings!$K$6:$K$205,1))</f>
        <v/>
      </c>
      <c r="O26" s="41" t="str">
        <f>IF(A26="","",IF(OR($G$6=0,M26&lt;&gt;$G$6),"n.a.",SUMIFS(Holdings!$D$6:$D$205,Holdings!$A$6:$A$205,A26,Holdings!$H$6:$H$205,"Passive",Holdings!$K$6:$K$205,1)/$I$6))</f>
        <v/>
      </c>
      <c r="P26" s="41" t="str">
        <f>IF(A26="","",IF(OR($H$6=0,N26&lt;&gt;$H$6),"n.a.",SUMIFS(Holdings!$D$6:$D$205,Holdings!$A$6:$A$205,A26,Holdings!$H$6:$H$205,"Active",Holdings!$K$6:$K$205,1)/$J$6))</f>
        <v/>
      </c>
      <c r="Q26" s="41" t="str">
        <f>IF(A26="","",IF(OR($G$6=0,M26&lt;&gt;$G$6),"n.a.",SUMIFS(Holdings!$D$6:$D$205,Holdings!$A$6:$A$205,A26,Holdings!$H$6:$H$205,"Passive",Holdings!$K$6:$K$205,1)/Companies!I22))</f>
        <v/>
      </c>
      <c r="R26" s="41" t="str">
        <f>IF(A26="","",IF(OR($H$6=0,N26&lt;&gt;$H$6),"n.a.",SUMIFS(Holdings!$D$6:$D$205,Holdings!$A$6:$A$205,A26,Holdings!$H$6:$H$205,"Active",Holdings!$K$6:$K$205,1)/Companies!I22))</f>
        <v/>
      </c>
      <c r="S26" s="15" t="str">
        <f t="shared" si="4"/>
        <v/>
      </c>
      <c r="T26" s="46" t="str">
        <f t="array" ref="T26">IF(A26="","",IFNA(INDEX(Network!$L$14:$L$63,MATCH(A26,Network!$A$14:$A$63,0)),"n.a."))</f>
        <v/>
      </c>
      <c r="U26" s="46" t="str">
        <f>IF(A26="","",IF(OR(OR(COUNT(Rules!$B$45:$B$46)&lt;&gt;2,MIN(Rules!$B$45:$B$46)&lt;0,ABS(SUM(Rules!$B$45:$B$46)-1)&gt;0.000001),AND(Rules!$B$45&gt;0,NOT(ISNUMBER(I26))),AND(Rules!$B$46&gt;0,NOT(ISNUMBER(T26)))),"n.a.",IF(Rules!$B$45=0,0,Rules!$B$45*I26)+IF(Rules!$B$46=0,0,Rules!$B$46*T26)))</f>
        <v/>
      </c>
      <c r="V26" s="15" t="str">
        <f>IF(A26="","",IF(OR(COUNT(Rules!$B$45:$B$46)&lt;&gt;2,MIN(Rules!$B$45:$B$46)&lt;0,ABS(SUM(Rules!$B$45:$B$46)-1)&gt;0.000001),"Check combined weights",IF(AND(Rules!$B$45&gt;0,NOT(ISNUMBER(I26))),"Scale score unavailable",IF(AND(Rules!$B$46&gt;0,NOT(ISNUMBER(T26))),"Network review/score unavailable","Ready"))))</f>
        <v/>
      </c>
    </row>
    <row r="27" ht="24.0" customHeight="1">
      <c r="A27" s="15" t="str">
        <f>IF(Companies!R23=1,Companies!A23,"")</f>
        <v/>
      </c>
      <c r="B27" s="15" t="str">
        <f>IF(A27="","",Companies!C23)</f>
        <v/>
      </c>
      <c r="C27" s="15" t="str">
        <f>IF(A27="","",1+COUNTIFS(Companies!$R$6:$R$55,1,Companies!$I$6:$I$55,"&gt;"&amp;Companies!I23))</f>
        <v/>
      </c>
      <c r="D27" s="41" t="str">
        <f>IF(A27="","",Companies!I23/$D$6)</f>
        <v/>
      </c>
      <c r="E27" s="41" t="str">
        <f>IF(A27="","",IF($A$6&lt;&gt;"Ready","n.a.",Companies!K23/$E$6))</f>
        <v/>
      </c>
      <c r="F27" s="45" t="str">
        <f t="shared" si="1"/>
        <v/>
      </c>
      <c r="G27" s="46" t="str">
        <f>IF(A27="","",IF($B$6&lt;Rules!$B$12,"n.a.",100*(COUNTIFS(Companies!$R$6:$R$55,1,Companies!$I$6:$I$55,"&lt;"&amp;Companies!I23)+0.5*(COUNTIFS(Companies!$R$6:$R$55,1,Companies!$I$6:$I$55,Companies!I23)-1))/($B$6-1)))</f>
        <v/>
      </c>
      <c r="H27" s="46" t="str">
        <f>IF(A27="","",IF($A$6&lt;&gt;"Ready","n.a.",100*(COUNTIFS(Companies!$S$6:$S$55,1,Companies!$K$6:$K$55,"&lt;"&amp;Companies!K23)+0.5*(COUNTIFS(Companies!$S$6:$S$55,1,Companies!$K$6:$K$55,Companies!K23)-1))/($C$6-1)))</f>
        <v/>
      </c>
      <c r="I27" s="46" t="str">
        <f>IF(A27="","",IF($A$6&lt;&gt;"Ready","n.a.",Rules!$B$13*H27+Rules!$B$14*G27))</f>
        <v/>
      </c>
      <c r="J27" s="15" t="str">
        <f t="shared" si="2"/>
        <v/>
      </c>
      <c r="K27" s="15" t="str">
        <f t="shared" si="3"/>
        <v/>
      </c>
      <c r="L27" s="45" t="str">
        <f>IF(A27="","",IF(OR($B$6&lt;2,$D$6&lt;=Companies!I23),"n.a.",Companies!I23/(($D$6-Companies!I23)/($B$6-1))))</f>
        <v/>
      </c>
      <c r="M27" s="15" t="str">
        <f>IF(A27="","",COUNTIFS(Holdings!$A$6:$A$205,A27,Holdings!$H$6:$H$205,"Passive",Holdings!$K$6:$K$205,1))</f>
        <v/>
      </c>
      <c r="N27" s="15" t="str">
        <f>IF(A27="","",COUNTIFS(Holdings!$A$6:$A$205,A27,Holdings!$H$6:$H$205,"Active",Holdings!$K$6:$K$205,1))</f>
        <v/>
      </c>
      <c r="O27" s="41" t="str">
        <f>IF(A27="","",IF(OR($G$6=0,M27&lt;&gt;$G$6),"n.a.",SUMIFS(Holdings!$D$6:$D$205,Holdings!$A$6:$A$205,A27,Holdings!$H$6:$H$205,"Passive",Holdings!$K$6:$K$205,1)/$I$6))</f>
        <v/>
      </c>
      <c r="P27" s="41" t="str">
        <f>IF(A27="","",IF(OR($H$6=0,N27&lt;&gt;$H$6),"n.a.",SUMIFS(Holdings!$D$6:$D$205,Holdings!$A$6:$A$205,A27,Holdings!$H$6:$H$205,"Active",Holdings!$K$6:$K$205,1)/$J$6))</f>
        <v/>
      </c>
      <c r="Q27" s="41" t="str">
        <f>IF(A27="","",IF(OR($G$6=0,M27&lt;&gt;$G$6),"n.a.",SUMIFS(Holdings!$D$6:$D$205,Holdings!$A$6:$A$205,A27,Holdings!$H$6:$H$205,"Passive",Holdings!$K$6:$K$205,1)/Companies!I23))</f>
        <v/>
      </c>
      <c r="R27" s="41" t="str">
        <f>IF(A27="","",IF(OR($H$6=0,N27&lt;&gt;$H$6),"n.a.",SUMIFS(Holdings!$D$6:$D$205,Holdings!$A$6:$A$205,A27,Holdings!$H$6:$H$205,"Active",Holdings!$K$6:$K$205,1)/Companies!I23))</f>
        <v/>
      </c>
      <c r="S27" s="15" t="str">
        <f t="shared" si="4"/>
        <v/>
      </c>
      <c r="T27" s="46" t="str">
        <f t="array" ref="T27">IF(A27="","",IFNA(INDEX(Network!$L$14:$L$63,MATCH(A27,Network!$A$14:$A$63,0)),"n.a."))</f>
        <v/>
      </c>
      <c r="U27" s="46" t="str">
        <f>IF(A27="","",IF(OR(OR(COUNT(Rules!$B$45:$B$46)&lt;&gt;2,MIN(Rules!$B$45:$B$46)&lt;0,ABS(SUM(Rules!$B$45:$B$46)-1)&gt;0.000001),AND(Rules!$B$45&gt;0,NOT(ISNUMBER(I27))),AND(Rules!$B$46&gt;0,NOT(ISNUMBER(T27)))),"n.a.",IF(Rules!$B$45=0,0,Rules!$B$45*I27)+IF(Rules!$B$46=0,0,Rules!$B$46*T27)))</f>
        <v/>
      </c>
      <c r="V27" s="15" t="str">
        <f>IF(A27="","",IF(OR(COUNT(Rules!$B$45:$B$46)&lt;&gt;2,MIN(Rules!$B$45:$B$46)&lt;0,ABS(SUM(Rules!$B$45:$B$46)-1)&gt;0.000001),"Check combined weights",IF(AND(Rules!$B$45&gt;0,NOT(ISNUMBER(I27))),"Scale score unavailable",IF(AND(Rules!$B$46&gt;0,NOT(ISNUMBER(T27))),"Network review/score unavailable","Ready"))))</f>
        <v/>
      </c>
    </row>
    <row r="28" ht="24.0" customHeight="1">
      <c r="A28" s="15" t="str">
        <f>IF(Companies!R24=1,Companies!A24,"")</f>
        <v/>
      </c>
      <c r="B28" s="15" t="str">
        <f>IF(A28="","",Companies!C24)</f>
        <v/>
      </c>
      <c r="C28" s="15" t="str">
        <f>IF(A28="","",1+COUNTIFS(Companies!$R$6:$R$55,1,Companies!$I$6:$I$55,"&gt;"&amp;Companies!I24))</f>
        <v/>
      </c>
      <c r="D28" s="41" t="str">
        <f>IF(A28="","",Companies!I24/$D$6)</f>
        <v/>
      </c>
      <c r="E28" s="41" t="str">
        <f>IF(A28="","",IF($A$6&lt;&gt;"Ready","n.a.",Companies!K24/$E$6))</f>
        <v/>
      </c>
      <c r="F28" s="45" t="str">
        <f t="shared" si="1"/>
        <v/>
      </c>
      <c r="G28" s="46" t="str">
        <f>IF(A28="","",IF($B$6&lt;Rules!$B$12,"n.a.",100*(COUNTIFS(Companies!$R$6:$R$55,1,Companies!$I$6:$I$55,"&lt;"&amp;Companies!I24)+0.5*(COUNTIFS(Companies!$R$6:$R$55,1,Companies!$I$6:$I$55,Companies!I24)-1))/($B$6-1)))</f>
        <v/>
      </c>
      <c r="H28" s="46" t="str">
        <f>IF(A28="","",IF($A$6&lt;&gt;"Ready","n.a.",100*(COUNTIFS(Companies!$S$6:$S$55,1,Companies!$K$6:$K$55,"&lt;"&amp;Companies!K24)+0.5*(COUNTIFS(Companies!$S$6:$S$55,1,Companies!$K$6:$K$55,Companies!K24)-1))/($C$6-1)))</f>
        <v/>
      </c>
      <c r="I28" s="46" t="str">
        <f>IF(A28="","",IF($A$6&lt;&gt;"Ready","n.a.",Rules!$B$13*H28+Rules!$B$14*G28))</f>
        <v/>
      </c>
      <c r="J28" s="15" t="str">
        <f t="shared" si="2"/>
        <v/>
      </c>
      <c r="K28" s="15" t="str">
        <f t="shared" si="3"/>
        <v/>
      </c>
      <c r="L28" s="45" t="str">
        <f>IF(A28="","",IF(OR($B$6&lt;2,$D$6&lt;=Companies!I24),"n.a.",Companies!I24/(($D$6-Companies!I24)/($B$6-1))))</f>
        <v/>
      </c>
      <c r="M28" s="15" t="str">
        <f>IF(A28="","",COUNTIFS(Holdings!$A$6:$A$205,A28,Holdings!$H$6:$H$205,"Passive",Holdings!$K$6:$K$205,1))</f>
        <v/>
      </c>
      <c r="N28" s="15" t="str">
        <f>IF(A28="","",COUNTIFS(Holdings!$A$6:$A$205,A28,Holdings!$H$6:$H$205,"Active",Holdings!$K$6:$K$205,1))</f>
        <v/>
      </c>
      <c r="O28" s="41" t="str">
        <f>IF(A28="","",IF(OR($G$6=0,M28&lt;&gt;$G$6),"n.a.",SUMIFS(Holdings!$D$6:$D$205,Holdings!$A$6:$A$205,A28,Holdings!$H$6:$H$205,"Passive",Holdings!$K$6:$K$205,1)/$I$6))</f>
        <v/>
      </c>
      <c r="P28" s="41" t="str">
        <f>IF(A28="","",IF(OR($H$6=0,N28&lt;&gt;$H$6),"n.a.",SUMIFS(Holdings!$D$6:$D$205,Holdings!$A$6:$A$205,A28,Holdings!$H$6:$H$205,"Active",Holdings!$K$6:$K$205,1)/$J$6))</f>
        <v/>
      </c>
      <c r="Q28" s="41" t="str">
        <f>IF(A28="","",IF(OR($G$6=0,M28&lt;&gt;$G$6),"n.a.",SUMIFS(Holdings!$D$6:$D$205,Holdings!$A$6:$A$205,A28,Holdings!$H$6:$H$205,"Passive",Holdings!$K$6:$K$205,1)/Companies!I24))</f>
        <v/>
      </c>
      <c r="R28" s="41" t="str">
        <f>IF(A28="","",IF(OR($H$6=0,N28&lt;&gt;$H$6),"n.a.",SUMIFS(Holdings!$D$6:$D$205,Holdings!$A$6:$A$205,A28,Holdings!$H$6:$H$205,"Active",Holdings!$K$6:$K$205,1)/Companies!I24))</f>
        <v/>
      </c>
      <c r="S28" s="15" t="str">
        <f t="shared" si="4"/>
        <v/>
      </c>
      <c r="T28" s="46" t="str">
        <f t="array" ref="T28">IF(A28="","",IFNA(INDEX(Network!$L$14:$L$63,MATCH(A28,Network!$A$14:$A$63,0)),"n.a."))</f>
        <v/>
      </c>
      <c r="U28" s="46" t="str">
        <f>IF(A28="","",IF(OR(OR(COUNT(Rules!$B$45:$B$46)&lt;&gt;2,MIN(Rules!$B$45:$B$46)&lt;0,ABS(SUM(Rules!$B$45:$B$46)-1)&gt;0.000001),AND(Rules!$B$45&gt;0,NOT(ISNUMBER(I28))),AND(Rules!$B$46&gt;0,NOT(ISNUMBER(T28)))),"n.a.",IF(Rules!$B$45=0,0,Rules!$B$45*I28)+IF(Rules!$B$46=0,0,Rules!$B$46*T28)))</f>
        <v/>
      </c>
      <c r="V28" s="15" t="str">
        <f>IF(A28="","",IF(OR(COUNT(Rules!$B$45:$B$46)&lt;&gt;2,MIN(Rules!$B$45:$B$46)&lt;0,ABS(SUM(Rules!$B$45:$B$46)-1)&gt;0.000001),"Check combined weights",IF(AND(Rules!$B$45&gt;0,NOT(ISNUMBER(I28))),"Scale score unavailable",IF(AND(Rules!$B$46&gt;0,NOT(ISNUMBER(T28))),"Network review/score unavailable","Ready"))))</f>
        <v/>
      </c>
    </row>
    <row r="29" ht="24.0" customHeight="1">
      <c r="A29" s="15" t="str">
        <f>IF(Companies!R25=1,Companies!A25,"")</f>
        <v/>
      </c>
      <c r="B29" s="15" t="str">
        <f>IF(A29="","",Companies!C25)</f>
        <v/>
      </c>
      <c r="C29" s="15" t="str">
        <f>IF(A29="","",1+COUNTIFS(Companies!$R$6:$R$55,1,Companies!$I$6:$I$55,"&gt;"&amp;Companies!I25))</f>
        <v/>
      </c>
      <c r="D29" s="41" t="str">
        <f>IF(A29="","",Companies!I25/$D$6)</f>
        <v/>
      </c>
      <c r="E29" s="41" t="str">
        <f>IF(A29="","",IF($A$6&lt;&gt;"Ready","n.a.",Companies!K25/$E$6))</f>
        <v/>
      </c>
      <c r="F29" s="45" t="str">
        <f t="shared" si="1"/>
        <v/>
      </c>
      <c r="G29" s="46" t="str">
        <f>IF(A29="","",IF($B$6&lt;Rules!$B$12,"n.a.",100*(COUNTIFS(Companies!$R$6:$R$55,1,Companies!$I$6:$I$55,"&lt;"&amp;Companies!I25)+0.5*(COUNTIFS(Companies!$R$6:$R$55,1,Companies!$I$6:$I$55,Companies!I25)-1))/($B$6-1)))</f>
        <v/>
      </c>
      <c r="H29" s="46" t="str">
        <f>IF(A29="","",IF($A$6&lt;&gt;"Ready","n.a.",100*(COUNTIFS(Companies!$S$6:$S$55,1,Companies!$K$6:$K$55,"&lt;"&amp;Companies!K25)+0.5*(COUNTIFS(Companies!$S$6:$S$55,1,Companies!$K$6:$K$55,Companies!K25)-1))/($C$6-1)))</f>
        <v/>
      </c>
      <c r="I29" s="46" t="str">
        <f>IF(A29="","",IF($A$6&lt;&gt;"Ready","n.a.",Rules!$B$13*H29+Rules!$B$14*G29))</f>
        <v/>
      </c>
      <c r="J29" s="15" t="str">
        <f t="shared" si="2"/>
        <v/>
      </c>
      <c r="K29" s="15" t="str">
        <f t="shared" si="3"/>
        <v/>
      </c>
      <c r="L29" s="45" t="str">
        <f>IF(A29="","",IF(OR($B$6&lt;2,$D$6&lt;=Companies!I25),"n.a.",Companies!I25/(($D$6-Companies!I25)/($B$6-1))))</f>
        <v/>
      </c>
      <c r="M29" s="15" t="str">
        <f>IF(A29="","",COUNTIFS(Holdings!$A$6:$A$205,A29,Holdings!$H$6:$H$205,"Passive",Holdings!$K$6:$K$205,1))</f>
        <v/>
      </c>
      <c r="N29" s="15" t="str">
        <f>IF(A29="","",COUNTIFS(Holdings!$A$6:$A$205,A29,Holdings!$H$6:$H$205,"Active",Holdings!$K$6:$K$205,1))</f>
        <v/>
      </c>
      <c r="O29" s="41" t="str">
        <f>IF(A29="","",IF(OR($G$6=0,M29&lt;&gt;$G$6),"n.a.",SUMIFS(Holdings!$D$6:$D$205,Holdings!$A$6:$A$205,A29,Holdings!$H$6:$H$205,"Passive",Holdings!$K$6:$K$205,1)/$I$6))</f>
        <v/>
      </c>
      <c r="P29" s="41" t="str">
        <f>IF(A29="","",IF(OR($H$6=0,N29&lt;&gt;$H$6),"n.a.",SUMIFS(Holdings!$D$6:$D$205,Holdings!$A$6:$A$205,A29,Holdings!$H$6:$H$205,"Active",Holdings!$K$6:$K$205,1)/$J$6))</f>
        <v/>
      </c>
      <c r="Q29" s="41" t="str">
        <f>IF(A29="","",IF(OR($G$6=0,M29&lt;&gt;$G$6),"n.a.",SUMIFS(Holdings!$D$6:$D$205,Holdings!$A$6:$A$205,A29,Holdings!$H$6:$H$205,"Passive",Holdings!$K$6:$K$205,1)/Companies!I25))</f>
        <v/>
      </c>
      <c r="R29" s="41" t="str">
        <f>IF(A29="","",IF(OR($H$6=0,N29&lt;&gt;$H$6),"n.a.",SUMIFS(Holdings!$D$6:$D$205,Holdings!$A$6:$A$205,A29,Holdings!$H$6:$H$205,"Active",Holdings!$K$6:$K$205,1)/Companies!I25))</f>
        <v/>
      </c>
      <c r="S29" s="15" t="str">
        <f t="shared" si="4"/>
        <v/>
      </c>
      <c r="T29" s="46" t="str">
        <f t="array" ref="T29">IF(A29="","",IFNA(INDEX(Network!$L$14:$L$63,MATCH(A29,Network!$A$14:$A$63,0)),"n.a."))</f>
        <v/>
      </c>
      <c r="U29" s="46" t="str">
        <f>IF(A29="","",IF(OR(OR(COUNT(Rules!$B$45:$B$46)&lt;&gt;2,MIN(Rules!$B$45:$B$46)&lt;0,ABS(SUM(Rules!$B$45:$B$46)-1)&gt;0.000001),AND(Rules!$B$45&gt;0,NOT(ISNUMBER(I29))),AND(Rules!$B$46&gt;0,NOT(ISNUMBER(T29)))),"n.a.",IF(Rules!$B$45=0,0,Rules!$B$45*I29)+IF(Rules!$B$46=0,0,Rules!$B$46*T29)))</f>
        <v/>
      </c>
      <c r="V29" s="15" t="str">
        <f>IF(A29="","",IF(OR(COUNT(Rules!$B$45:$B$46)&lt;&gt;2,MIN(Rules!$B$45:$B$46)&lt;0,ABS(SUM(Rules!$B$45:$B$46)-1)&gt;0.000001),"Check combined weights",IF(AND(Rules!$B$45&gt;0,NOT(ISNUMBER(I29))),"Scale score unavailable",IF(AND(Rules!$B$46&gt;0,NOT(ISNUMBER(T29))),"Network review/score unavailable","Ready"))))</f>
        <v/>
      </c>
    </row>
    <row r="30" ht="24.0" customHeight="1">
      <c r="A30" s="15" t="str">
        <f>IF(Companies!R26=1,Companies!A26,"")</f>
        <v/>
      </c>
      <c r="B30" s="15" t="str">
        <f>IF(A30="","",Companies!C26)</f>
        <v/>
      </c>
      <c r="C30" s="15" t="str">
        <f>IF(A30="","",1+COUNTIFS(Companies!$R$6:$R$55,1,Companies!$I$6:$I$55,"&gt;"&amp;Companies!I26))</f>
        <v/>
      </c>
      <c r="D30" s="41" t="str">
        <f>IF(A30="","",Companies!I26/$D$6)</f>
        <v/>
      </c>
      <c r="E30" s="41" t="str">
        <f>IF(A30="","",IF($A$6&lt;&gt;"Ready","n.a.",Companies!K26/$E$6))</f>
        <v/>
      </c>
      <c r="F30" s="45" t="str">
        <f t="shared" si="1"/>
        <v/>
      </c>
      <c r="G30" s="46" t="str">
        <f>IF(A30="","",IF($B$6&lt;Rules!$B$12,"n.a.",100*(COUNTIFS(Companies!$R$6:$R$55,1,Companies!$I$6:$I$55,"&lt;"&amp;Companies!I26)+0.5*(COUNTIFS(Companies!$R$6:$R$55,1,Companies!$I$6:$I$55,Companies!I26)-1))/($B$6-1)))</f>
        <v/>
      </c>
      <c r="H30" s="46" t="str">
        <f>IF(A30="","",IF($A$6&lt;&gt;"Ready","n.a.",100*(COUNTIFS(Companies!$S$6:$S$55,1,Companies!$K$6:$K$55,"&lt;"&amp;Companies!K26)+0.5*(COUNTIFS(Companies!$S$6:$S$55,1,Companies!$K$6:$K$55,Companies!K26)-1))/($C$6-1)))</f>
        <v/>
      </c>
      <c r="I30" s="46" t="str">
        <f>IF(A30="","",IF($A$6&lt;&gt;"Ready","n.a.",Rules!$B$13*H30+Rules!$B$14*G30))</f>
        <v/>
      </c>
      <c r="J30" s="15" t="str">
        <f t="shared" si="2"/>
        <v/>
      </c>
      <c r="K30" s="15" t="str">
        <f t="shared" si="3"/>
        <v/>
      </c>
      <c r="L30" s="45" t="str">
        <f>IF(A30="","",IF(OR($B$6&lt;2,$D$6&lt;=Companies!I26),"n.a.",Companies!I26/(($D$6-Companies!I26)/($B$6-1))))</f>
        <v/>
      </c>
      <c r="M30" s="15" t="str">
        <f>IF(A30="","",COUNTIFS(Holdings!$A$6:$A$205,A30,Holdings!$H$6:$H$205,"Passive",Holdings!$K$6:$K$205,1))</f>
        <v/>
      </c>
      <c r="N30" s="15" t="str">
        <f>IF(A30="","",COUNTIFS(Holdings!$A$6:$A$205,A30,Holdings!$H$6:$H$205,"Active",Holdings!$K$6:$K$205,1))</f>
        <v/>
      </c>
      <c r="O30" s="41" t="str">
        <f>IF(A30="","",IF(OR($G$6=0,M30&lt;&gt;$G$6),"n.a.",SUMIFS(Holdings!$D$6:$D$205,Holdings!$A$6:$A$205,A30,Holdings!$H$6:$H$205,"Passive",Holdings!$K$6:$K$205,1)/$I$6))</f>
        <v/>
      </c>
      <c r="P30" s="41" t="str">
        <f>IF(A30="","",IF(OR($H$6=0,N30&lt;&gt;$H$6),"n.a.",SUMIFS(Holdings!$D$6:$D$205,Holdings!$A$6:$A$205,A30,Holdings!$H$6:$H$205,"Active",Holdings!$K$6:$K$205,1)/$J$6))</f>
        <v/>
      </c>
      <c r="Q30" s="41" t="str">
        <f>IF(A30="","",IF(OR($G$6=0,M30&lt;&gt;$G$6),"n.a.",SUMIFS(Holdings!$D$6:$D$205,Holdings!$A$6:$A$205,A30,Holdings!$H$6:$H$205,"Passive",Holdings!$K$6:$K$205,1)/Companies!I26))</f>
        <v/>
      </c>
      <c r="R30" s="41" t="str">
        <f>IF(A30="","",IF(OR($H$6=0,N30&lt;&gt;$H$6),"n.a.",SUMIFS(Holdings!$D$6:$D$205,Holdings!$A$6:$A$205,A30,Holdings!$H$6:$H$205,"Active",Holdings!$K$6:$K$205,1)/Companies!I26))</f>
        <v/>
      </c>
      <c r="S30" s="15" t="str">
        <f t="shared" si="4"/>
        <v/>
      </c>
      <c r="T30" s="46" t="str">
        <f t="array" ref="T30">IF(A30="","",IFNA(INDEX(Network!$L$14:$L$63,MATCH(A30,Network!$A$14:$A$63,0)),"n.a."))</f>
        <v/>
      </c>
      <c r="U30" s="46" t="str">
        <f>IF(A30="","",IF(OR(OR(COUNT(Rules!$B$45:$B$46)&lt;&gt;2,MIN(Rules!$B$45:$B$46)&lt;0,ABS(SUM(Rules!$B$45:$B$46)-1)&gt;0.000001),AND(Rules!$B$45&gt;0,NOT(ISNUMBER(I30))),AND(Rules!$B$46&gt;0,NOT(ISNUMBER(T30)))),"n.a.",IF(Rules!$B$45=0,0,Rules!$B$45*I30)+IF(Rules!$B$46=0,0,Rules!$B$46*T30)))</f>
        <v/>
      </c>
      <c r="V30" s="15" t="str">
        <f>IF(A30="","",IF(OR(COUNT(Rules!$B$45:$B$46)&lt;&gt;2,MIN(Rules!$B$45:$B$46)&lt;0,ABS(SUM(Rules!$B$45:$B$46)-1)&gt;0.000001),"Check combined weights",IF(AND(Rules!$B$45&gt;0,NOT(ISNUMBER(I30))),"Scale score unavailable",IF(AND(Rules!$B$46&gt;0,NOT(ISNUMBER(T30))),"Network review/score unavailable","Ready"))))</f>
        <v/>
      </c>
    </row>
    <row r="31" ht="24.0" customHeight="1">
      <c r="A31" s="15" t="str">
        <f>IF(Companies!R27=1,Companies!A27,"")</f>
        <v/>
      </c>
      <c r="B31" s="15" t="str">
        <f>IF(A31="","",Companies!C27)</f>
        <v/>
      </c>
      <c r="C31" s="15" t="str">
        <f>IF(A31="","",1+COUNTIFS(Companies!$R$6:$R$55,1,Companies!$I$6:$I$55,"&gt;"&amp;Companies!I27))</f>
        <v/>
      </c>
      <c r="D31" s="41" t="str">
        <f>IF(A31="","",Companies!I27/$D$6)</f>
        <v/>
      </c>
      <c r="E31" s="41" t="str">
        <f>IF(A31="","",IF($A$6&lt;&gt;"Ready","n.a.",Companies!K27/$E$6))</f>
        <v/>
      </c>
      <c r="F31" s="45" t="str">
        <f t="shared" si="1"/>
        <v/>
      </c>
      <c r="G31" s="46" t="str">
        <f>IF(A31="","",IF($B$6&lt;Rules!$B$12,"n.a.",100*(COUNTIFS(Companies!$R$6:$R$55,1,Companies!$I$6:$I$55,"&lt;"&amp;Companies!I27)+0.5*(COUNTIFS(Companies!$R$6:$R$55,1,Companies!$I$6:$I$55,Companies!I27)-1))/($B$6-1)))</f>
        <v/>
      </c>
      <c r="H31" s="46" t="str">
        <f>IF(A31="","",IF($A$6&lt;&gt;"Ready","n.a.",100*(COUNTIFS(Companies!$S$6:$S$55,1,Companies!$K$6:$K$55,"&lt;"&amp;Companies!K27)+0.5*(COUNTIFS(Companies!$S$6:$S$55,1,Companies!$K$6:$K$55,Companies!K27)-1))/($C$6-1)))</f>
        <v/>
      </c>
      <c r="I31" s="46" t="str">
        <f>IF(A31="","",IF($A$6&lt;&gt;"Ready","n.a.",Rules!$B$13*H31+Rules!$B$14*G31))</f>
        <v/>
      </c>
      <c r="J31" s="15" t="str">
        <f t="shared" si="2"/>
        <v/>
      </c>
      <c r="K31" s="15" t="str">
        <f t="shared" si="3"/>
        <v/>
      </c>
      <c r="L31" s="45" t="str">
        <f>IF(A31="","",IF(OR($B$6&lt;2,$D$6&lt;=Companies!I27),"n.a.",Companies!I27/(($D$6-Companies!I27)/($B$6-1))))</f>
        <v/>
      </c>
      <c r="M31" s="15" t="str">
        <f>IF(A31="","",COUNTIFS(Holdings!$A$6:$A$205,A31,Holdings!$H$6:$H$205,"Passive",Holdings!$K$6:$K$205,1))</f>
        <v/>
      </c>
      <c r="N31" s="15" t="str">
        <f>IF(A31="","",COUNTIFS(Holdings!$A$6:$A$205,A31,Holdings!$H$6:$H$205,"Active",Holdings!$K$6:$K$205,1))</f>
        <v/>
      </c>
      <c r="O31" s="41" t="str">
        <f>IF(A31="","",IF(OR($G$6=0,M31&lt;&gt;$G$6),"n.a.",SUMIFS(Holdings!$D$6:$D$205,Holdings!$A$6:$A$205,A31,Holdings!$H$6:$H$205,"Passive",Holdings!$K$6:$K$205,1)/$I$6))</f>
        <v/>
      </c>
      <c r="P31" s="41" t="str">
        <f>IF(A31="","",IF(OR($H$6=0,N31&lt;&gt;$H$6),"n.a.",SUMIFS(Holdings!$D$6:$D$205,Holdings!$A$6:$A$205,A31,Holdings!$H$6:$H$205,"Active",Holdings!$K$6:$K$205,1)/$J$6))</f>
        <v/>
      </c>
      <c r="Q31" s="41" t="str">
        <f>IF(A31="","",IF(OR($G$6=0,M31&lt;&gt;$G$6),"n.a.",SUMIFS(Holdings!$D$6:$D$205,Holdings!$A$6:$A$205,A31,Holdings!$H$6:$H$205,"Passive",Holdings!$K$6:$K$205,1)/Companies!I27))</f>
        <v/>
      </c>
      <c r="R31" s="41" t="str">
        <f>IF(A31="","",IF(OR($H$6=0,N31&lt;&gt;$H$6),"n.a.",SUMIFS(Holdings!$D$6:$D$205,Holdings!$A$6:$A$205,A31,Holdings!$H$6:$H$205,"Active",Holdings!$K$6:$K$205,1)/Companies!I27))</f>
        <v/>
      </c>
      <c r="S31" s="15" t="str">
        <f t="shared" si="4"/>
        <v/>
      </c>
      <c r="T31" s="46" t="str">
        <f t="array" ref="T31">IF(A31="","",IFNA(INDEX(Network!$L$14:$L$63,MATCH(A31,Network!$A$14:$A$63,0)),"n.a."))</f>
        <v/>
      </c>
      <c r="U31" s="46" t="str">
        <f>IF(A31="","",IF(OR(OR(COUNT(Rules!$B$45:$B$46)&lt;&gt;2,MIN(Rules!$B$45:$B$46)&lt;0,ABS(SUM(Rules!$B$45:$B$46)-1)&gt;0.000001),AND(Rules!$B$45&gt;0,NOT(ISNUMBER(I31))),AND(Rules!$B$46&gt;0,NOT(ISNUMBER(T31)))),"n.a.",IF(Rules!$B$45=0,0,Rules!$B$45*I31)+IF(Rules!$B$46=0,0,Rules!$B$46*T31)))</f>
        <v/>
      </c>
      <c r="V31" s="15" t="str">
        <f>IF(A31="","",IF(OR(COUNT(Rules!$B$45:$B$46)&lt;&gt;2,MIN(Rules!$B$45:$B$46)&lt;0,ABS(SUM(Rules!$B$45:$B$46)-1)&gt;0.000001),"Check combined weights",IF(AND(Rules!$B$45&gt;0,NOT(ISNUMBER(I31))),"Scale score unavailable",IF(AND(Rules!$B$46&gt;0,NOT(ISNUMBER(T31))),"Network review/score unavailable","Ready"))))</f>
        <v/>
      </c>
    </row>
    <row r="32" ht="24.0" customHeight="1">
      <c r="A32" s="15" t="str">
        <f>IF(Companies!R28=1,Companies!A28,"")</f>
        <v/>
      </c>
      <c r="B32" s="15" t="str">
        <f>IF(A32="","",Companies!C28)</f>
        <v/>
      </c>
      <c r="C32" s="15" t="str">
        <f>IF(A32="","",1+COUNTIFS(Companies!$R$6:$R$55,1,Companies!$I$6:$I$55,"&gt;"&amp;Companies!I28))</f>
        <v/>
      </c>
      <c r="D32" s="41" t="str">
        <f>IF(A32="","",Companies!I28/$D$6)</f>
        <v/>
      </c>
      <c r="E32" s="41" t="str">
        <f>IF(A32="","",IF($A$6&lt;&gt;"Ready","n.a.",Companies!K28/$E$6))</f>
        <v/>
      </c>
      <c r="F32" s="45" t="str">
        <f t="shared" si="1"/>
        <v/>
      </c>
      <c r="G32" s="46" t="str">
        <f>IF(A32="","",IF($B$6&lt;Rules!$B$12,"n.a.",100*(COUNTIFS(Companies!$R$6:$R$55,1,Companies!$I$6:$I$55,"&lt;"&amp;Companies!I28)+0.5*(COUNTIFS(Companies!$R$6:$R$55,1,Companies!$I$6:$I$55,Companies!I28)-1))/($B$6-1)))</f>
        <v/>
      </c>
      <c r="H32" s="46" t="str">
        <f>IF(A32="","",IF($A$6&lt;&gt;"Ready","n.a.",100*(COUNTIFS(Companies!$S$6:$S$55,1,Companies!$K$6:$K$55,"&lt;"&amp;Companies!K28)+0.5*(COUNTIFS(Companies!$S$6:$S$55,1,Companies!$K$6:$K$55,Companies!K28)-1))/($C$6-1)))</f>
        <v/>
      </c>
      <c r="I32" s="46" t="str">
        <f>IF(A32="","",IF($A$6&lt;&gt;"Ready","n.a.",Rules!$B$13*H32+Rules!$B$14*G32))</f>
        <v/>
      </c>
      <c r="J32" s="15" t="str">
        <f t="shared" si="2"/>
        <v/>
      </c>
      <c r="K32" s="15" t="str">
        <f t="shared" si="3"/>
        <v/>
      </c>
      <c r="L32" s="45" t="str">
        <f>IF(A32="","",IF(OR($B$6&lt;2,$D$6&lt;=Companies!I28),"n.a.",Companies!I28/(($D$6-Companies!I28)/($B$6-1))))</f>
        <v/>
      </c>
      <c r="M32" s="15" t="str">
        <f>IF(A32="","",COUNTIFS(Holdings!$A$6:$A$205,A32,Holdings!$H$6:$H$205,"Passive",Holdings!$K$6:$K$205,1))</f>
        <v/>
      </c>
      <c r="N32" s="15" t="str">
        <f>IF(A32="","",COUNTIFS(Holdings!$A$6:$A$205,A32,Holdings!$H$6:$H$205,"Active",Holdings!$K$6:$K$205,1))</f>
        <v/>
      </c>
      <c r="O32" s="41" t="str">
        <f>IF(A32="","",IF(OR($G$6=0,M32&lt;&gt;$G$6),"n.a.",SUMIFS(Holdings!$D$6:$D$205,Holdings!$A$6:$A$205,A32,Holdings!$H$6:$H$205,"Passive",Holdings!$K$6:$K$205,1)/$I$6))</f>
        <v/>
      </c>
      <c r="P32" s="41" t="str">
        <f>IF(A32="","",IF(OR($H$6=0,N32&lt;&gt;$H$6),"n.a.",SUMIFS(Holdings!$D$6:$D$205,Holdings!$A$6:$A$205,A32,Holdings!$H$6:$H$205,"Active",Holdings!$K$6:$K$205,1)/$J$6))</f>
        <v/>
      </c>
      <c r="Q32" s="41" t="str">
        <f>IF(A32="","",IF(OR($G$6=0,M32&lt;&gt;$G$6),"n.a.",SUMIFS(Holdings!$D$6:$D$205,Holdings!$A$6:$A$205,A32,Holdings!$H$6:$H$205,"Passive",Holdings!$K$6:$K$205,1)/Companies!I28))</f>
        <v/>
      </c>
      <c r="R32" s="41" t="str">
        <f>IF(A32="","",IF(OR($H$6=0,N32&lt;&gt;$H$6),"n.a.",SUMIFS(Holdings!$D$6:$D$205,Holdings!$A$6:$A$205,A32,Holdings!$H$6:$H$205,"Active",Holdings!$K$6:$K$205,1)/Companies!I28))</f>
        <v/>
      </c>
      <c r="S32" s="15" t="str">
        <f t="shared" si="4"/>
        <v/>
      </c>
      <c r="T32" s="46" t="str">
        <f t="array" ref="T32">IF(A32="","",IFNA(INDEX(Network!$L$14:$L$63,MATCH(A32,Network!$A$14:$A$63,0)),"n.a."))</f>
        <v/>
      </c>
      <c r="U32" s="46" t="str">
        <f>IF(A32="","",IF(OR(OR(COUNT(Rules!$B$45:$B$46)&lt;&gt;2,MIN(Rules!$B$45:$B$46)&lt;0,ABS(SUM(Rules!$B$45:$B$46)-1)&gt;0.000001),AND(Rules!$B$45&gt;0,NOT(ISNUMBER(I32))),AND(Rules!$B$46&gt;0,NOT(ISNUMBER(T32)))),"n.a.",IF(Rules!$B$45=0,0,Rules!$B$45*I32)+IF(Rules!$B$46=0,0,Rules!$B$46*T32)))</f>
        <v/>
      </c>
      <c r="V32" s="15" t="str">
        <f>IF(A32="","",IF(OR(COUNT(Rules!$B$45:$B$46)&lt;&gt;2,MIN(Rules!$B$45:$B$46)&lt;0,ABS(SUM(Rules!$B$45:$B$46)-1)&gt;0.000001),"Check combined weights",IF(AND(Rules!$B$45&gt;0,NOT(ISNUMBER(I32))),"Scale score unavailable",IF(AND(Rules!$B$46&gt;0,NOT(ISNUMBER(T32))),"Network review/score unavailable","Ready"))))</f>
        <v/>
      </c>
    </row>
    <row r="33" ht="24.0" customHeight="1">
      <c r="A33" s="15" t="str">
        <f>IF(Companies!R29=1,Companies!A29,"")</f>
        <v/>
      </c>
      <c r="B33" s="15" t="str">
        <f>IF(A33="","",Companies!C29)</f>
        <v/>
      </c>
      <c r="C33" s="15" t="str">
        <f>IF(A33="","",1+COUNTIFS(Companies!$R$6:$R$55,1,Companies!$I$6:$I$55,"&gt;"&amp;Companies!I29))</f>
        <v/>
      </c>
      <c r="D33" s="41" t="str">
        <f>IF(A33="","",Companies!I29/$D$6)</f>
        <v/>
      </c>
      <c r="E33" s="41" t="str">
        <f>IF(A33="","",IF($A$6&lt;&gt;"Ready","n.a.",Companies!K29/$E$6))</f>
        <v/>
      </c>
      <c r="F33" s="45" t="str">
        <f t="shared" si="1"/>
        <v/>
      </c>
      <c r="G33" s="46" t="str">
        <f>IF(A33="","",IF($B$6&lt;Rules!$B$12,"n.a.",100*(COUNTIFS(Companies!$R$6:$R$55,1,Companies!$I$6:$I$55,"&lt;"&amp;Companies!I29)+0.5*(COUNTIFS(Companies!$R$6:$R$55,1,Companies!$I$6:$I$55,Companies!I29)-1))/($B$6-1)))</f>
        <v/>
      </c>
      <c r="H33" s="46" t="str">
        <f>IF(A33="","",IF($A$6&lt;&gt;"Ready","n.a.",100*(COUNTIFS(Companies!$S$6:$S$55,1,Companies!$K$6:$K$55,"&lt;"&amp;Companies!K29)+0.5*(COUNTIFS(Companies!$S$6:$S$55,1,Companies!$K$6:$K$55,Companies!K29)-1))/($C$6-1)))</f>
        <v/>
      </c>
      <c r="I33" s="46" t="str">
        <f>IF(A33="","",IF($A$6&lt;&gt;"Ready","n.a.",Rules!$B$13*H33+Rules!$B$14*G33))</f>
        <v/>
      </c>
      <c r="J33" s="15" t="str">
        <f t="shared" si="2"/>
        <v/>
      </c>
      <c r="K33" s="15" t="str">
        <f t="shared" si="3"/>
        <v/>
      </c>
      <c r="L33" s="45" t="str">
        <f>IF(A33="","",IF(OR($B$6&lt;2,$D$6&lt;=Companies!I29),"n.a.",Companies!I29/(($D$6-Companies!I29)/($B$6-1))))</f>
        <v/>
      </c>
      <c r="M33" s="15" t="str">
        <f>IF(A33="","",COUNTIFS(Holdings!$A$6:$A$205,A33,Holdings!$H$6:$H$205,"Passive",Holdings!$K$6:$K$205,1))</f>
        <v/>
      </c>
      <c r="N33" s="15" t="str">
        <f>IF(A33="","",COUNTIFS(Holdings!$A$6:$A$205,A33,Holdings!$H$6:$H$205,"Active",Holdings!$K$6:$K$205,1))</f>
        <v/>
      </c>
      <c r="O33" s="41" t="str">
        <f>IF(A33="","",IF(OR($G$6=0,M33&lt;&gt;$G$6),"n.a.",SUMIFS(Holdings!$D$6:$D$205,Holdings!$A$6:$A$205,A33,Holdings!$H$6:$H$205,"Passive",Holdings!$K$6:$K$205,1)/$I$6))</f>
        <v/>
      </c>
      <c r="P33" s="41" t="str">
        <f>IF(A33="","",IF(OR($H$6=0,N33&lt;&gt;$H$6),"n.a.",SUMIFS(Holdings!$D$6:$D$205,Holdings!$A$6:$A$205,A33,Holdings!$H$6:$H$205,"Active",Holdings!$K$6:$K$205,1)/$J$6))</f>
        <v/>
      </c>
      <c r="Q33" s="41" t="str">
        <f>IF(A33="","",IF(OR($G$6=0,M33&lt;&gt;$G$6),"n.a.",SUMIFS(Holdings!$D$6:$D$205,Holdings!$A$6:$A$205,A33,Holdings!$H$6:$H$205,"Passive",Holdings!$K$6:$K$205,1)/Companies!I29))</f>
        <v/>
      </c>
      <c r="R33" s="41" t="str">
        <f>IF(A33="","",IF(OR($H$6=0,N33&lt;&gt;$H$6),"n.a.",SUMIFS(Holdings!$D$6:$D$205,Holdings!$A$6:$A$205,A33,Holdings!$H$6:$H$205,"Active",Holdings!$K$6:$K$205,1)/Companies!I29))</f>
        <v/>
      </c>
      <c r="S33" s="15" t="str">
        <f t="shared" si="4"/>
        <v/>
      </c>
      <c r="T33" s="46" t="str">
        <f t="array" ref="T33">IF(A33="","",IFNA(INDEX(Network!$L$14:$L$63,MATCH(A33,Network!$A$14:$A$63,0)),"n.a."))</f>
        <v/>
      </c>
      <c r="U33" s="46" t="str">
        <f>IF(A33="","",IF(OR(OR(COUNT(Rules!$B$45:$B$46)&lt;&gt;2,MIN(Rules!$B$45:$B$46)&lt;0,ABS(SUM(Rules!$B$45:$B$46)-1)&gt;0.000001),AND(Rules!$B$45&gt;0,NOT(ISNUMBER(I33))),AND(Rules!$B$46&gt;0,NOT(ISNUMBER(T33)))),"n.a.",IF(Rules!$B$45=0,0,Rules!$B$45*I33)+IF(Rules!$B$46=0,0,Rules!$B$46*T33)))</f>
        <v/>
      </c>
      <c r="V33" s="15" t="str">
        <f>IF(A33="","",IF(OR(COUNT(Rules!$B$45:$B$46)&lt;&gt;2,MIN(Rules!$B$45:$B$46)&lt;0,ABS(SUM(Rules!$B$45:$B$46)-1)&gt;0.000001),"Check combined weights",IF(AND(Rules!$B$45&gt;0,NOT(ISNUMBER(I33))),"Scale score unavailable",IF(AND(Rules!$B$46&gt;0,NOT(ISNUMBER(T33))),"Network review/score unavailable","Ready"))))</f>
        <v/>
      </c>
    </row>
    <row r="34" ht="24.0" customHeight="1">
      <c r="A34" s="15" t="str">
        <f>IF(Companies!R30=1,Companies!A30,"")</f>
        <v/>
      </c>
      <c r="B34" s="15" t="str">
        <f>IF(A34="","",Companies!C30)</f>
        <v/>
      </c>
      <c r="C34" s="15" t="str">
        <f>IF(A34="","",1+COUNTIFS(Companies!$R$6:$R$55,1,Companies!$I$6:$I$55,"&gt;"&amp;Companies!I30))</f>
        <v/>
      </c>
      <c r="D34" s="41" t="str">
        <f>IF(A34="","",Companies!I30/$D$6)</f>
        <v/>
      </c>
      <c r="E34" s="41" t="str">
        <f>IF(A34="","",IF($A$6&lt;&gt;"Ready","n.a.",Companies!K30/$E$6))</f>
        <v/>
      </c>
      <c r="F34" s="45" t="str">
        <f t="shared" si="1"/>
        <v/>
      </c>
      <c r="G34" s="46" t="str">
        <f>IF(A34="","",IF($B$6&lt;Rules!$B$12,"n.a.",100*(COUNTIFS(Companies!$R$6:$R$55,1,Companies!$I$6:$I$55,"&lt;"&amp;Companies!I30)+0.5*(COUNTIFS(Companies!$R$6:$R$55,1,Companies!$I$6:$I$55,Companies!I30)-1))/($B$6-1)))</f>
        <v/>
      </c>
      <c r="H34" s="46" t="str">
        <f>IF(A34="","",IF($A$6&lt;&gt;"Ready","n.a.",100*(COUNTIFS(Companies!$S$6:$S$55,1,Companies!$K$6:$K$55,"&lt;"&amp;Companies!K30)+0.5*(COUNTIFS(Companies!$S$6:$S$55,1,Companies!$K$6:$K$55,Companies!K30)-1))/($C$6-1)))</f>
        <v/>
      </c>
      <c r="I34" s="46" t="str">
        <f>IF(A34="","",IF($A$6&lt;&gt;"Ready","n.a.",Rules!$B$13*H34+Rules!$B$14*G34))</f>
        <v/>
      </c>
      <c r="J34" s="15" t="str">
        <f t="shared" si="2"/>
        <v/>
      </c>
      <c r="K34" s="15" t="str">
        <f t="shared" si="3"/>
        <v/>
      </c>
      <c r="L34" s="45" t="str">
        <f>IF(A34="","",IF(OR($B$6&lt;2,$D$6&lt;=Companies!I30),"n.a.",Companies!I30/(($D$6-Companies!I30)/($B$6-1))))</f>
        <v/>
      </c>
      <c r="M34" s="15" t="str">
        <f>IF(A34="","",COUNTIFS(Holdings!$A$6:$A$205,A34,Holdings!$H$6:$H$205,"Passive",Holdings!$K$6:$K$205,1))</f>
        <v/>
      </c>
      <c r="N34" s="15" t="str">
        <f>IF(A34="","",COUNTIFS(Holdings!$A$6:$A$205,A34,Holdings!$H$6:$H$205,"Active",Holdings!$K$6:$K$205,1))</f>
        <v/>
      </c>
      <c r="O34" s="41" t="str">
        <f>IF(A34="","",IF(OR($G$6=0,M34&lt;&gt;$G$6),"n.a.",SUMIFS(Holdings!$D$6:$D$205,Holdings!$A$6:$A$205,A34,Holdings!$H$6:$H$205,"Passive",Holdings!$K$6:$K$205,1)/$I$6))</f>
        <v/>
      </c>
      <c r="P34" s="41" t="str">
        <f>IF(A34="","",IF(OR($H$6=0,N34&lt;&gt;$H$6),"n.a.",SUMIFS(Holdings!$D$6:$D$205,Holdings!$A$6:$A$205,A34,Holdings!$H$6:$H$205,"Active",Holdings!$K$6:$K$205,1)/$J$6))</f>
        <v/>
      </c>
      <c r="Q34" s="41" t="str">
        <f>IF(A34="","",IF(OR($G$6=0,M34&lt;&gt;$G$6),"n.a.",SUMIFS(Holdings!$D$6:$D$205,Holdings!$A$6:$A$205,A34,Holdings!$H$6:$H$205,"Passive",Holdings!$K$6:$K$205,1)/Companies!I30))</f>
        <v/>
      </c>
      <c r="R34" s="41" t="str">
        <f>IF(A34="","",IF(OR($H$6=0,N34&lt;&gt;$H$6),"n.a.",SUMIFS(Holdings!$D$6:$D$205,Holdings!$A$6:$A$205,A34,Holdings!$H$6:$H$205,"Active",Holdings!$K$6:$K$205,1)/Companies!I30))</f>
        <v/>
      </c>
      <c r="S34" s="15" t="str">
        <f t="shared" si="4"/>
        <v/>
      </c>
      <c r="T34" s="46" t="str">
        <f t="array" ref="T34">IF(A34="","",IFNA(INDEX(Network!$L$14:$L$63,MATCH(A34,Network!$A$14:$A$63,0)),"n.a."))</f>
        <v/>
      </c>
      <c r="U34" s="46" t="str">
        <f>IF(A34="","",IF(OR(OR(COUNT(Rules!$B$45:$B$46)&lt;&gt;2,MIN(Rules!$B$45:$B$46)&lt;0,ABS(SUM(Rules!$B$45:$B$46)-1)&gt;0.000001),AND(Rules!$B$45&gt;0,NOT(ISNUMBER(I34))),AND(Rules!$B$46&gt;0,NOT(ISNUMBER(T34)))),"n.a.",IF(Rules!$B$45=0,0,Rules!$B$45*I34)+IF(Rules!$B$46=0,0,Rules!$B$46*T34)))</f>
        <v/>
      </c>
      <c r="V34" s="15" t="str">
        <f>IF(A34="","",IF(OR(COUNT(Rules!$B$45:$B$46)&lt;&gt;2,MIN(Rules!$B$45:$B$46)&lt;0,ABS(SUM(Rules!$B$45:$B$46)-1)&gt;0.000001),"Check combined weights",IF(AND(Rules!$B$45&gt;0,NOT(ISNUMBER(I34))),"Scale score unavailable",IF(AND(Rules!$B$46&gt;0,NOT(ISNUMBER(T34))),"Network review/score unavailable","Ready"))))</f>
        <v/>
      </c>
    </row>
    <row r="35" ht="24.0" customHeight="1">
      <c r="A35" s="15" t="str">
        <f>IF(Companies!R31=1,Companies!A31,"")</f>
        <v/>
      </c>
      <c r="B35" s="15" t="str">
        <f>IF(A35="","",Companies!C31)</f>
        <v/>
      </c>
      <c r="C35" s="15" t="str">
        <f>IF(A35="","",1+COUNTIFS(Companies!$R$6:$R$55,1,Companies!$I$6:$I$55,"&gt;"&amp;Companies!I31))</f>
        <v/>
      </c>
      <c r="D35" s="41" t="str">
        <f>IF(A35="","",Companies!I31/$D$6)</f>
        <v/>
      </c>
      <c r="E35" s="41" t="str">
        <f>IF(A35="","",IF($A$6&lt;&gt;"Ready","n.a.",Companies!K31/$E$6))</f>
        <v/>
      </c>
      <c r="F35" s="45" t="str">
        <f t="shared" si="1"/>
        <v/>
      </c>
      <c r="G35" s="46" t="str">
        <f>IF(A35="","",IF($B$6&lt;Rules!$B$12,"n.a.",100*(COUNTIFS(Companies!$R$6:$R$55,1,Companies!$I$6:$I$55,"&lt;"&amp;Companies!I31)+0.5*(COUNTIFS(Companies!$R$6:$R$55,1,Companies!$I$6:$I$55,Companies!I31)-1))/($B$6-1)))</f>
        <v/>
      </c>
      <c r="H35" s="46" t="str">
        <f>IF(A35="","",IF($A$6&lt;&gt;"Ready","n.a.",100*(COUNTIFS(Companies!$S$6:$S$55,1,Companies!$K$6:$K$55,"&lt;"&amp;Companies!K31)+0.5*(COUNTIFS(Companies!$S$6:$S$55,1,Companies!$K$6:$K$55,Companies!K31)-1))/($C$6-1)))</f>
        <v/>
      </c>
      <c r="I35" s="46" t="str">
        <f>IF(A35="","",IF($A$6&lt;&gt;"Ready","n.a.",Rules!$B$13*H35+Rules!$B$14*G35))</f>
        <v/>
      </c>
      <c r="J35" s="15" t="str">
        <f t="shared" si="2"/>
        <v/>
      </c>
      <c r="K35" s="15" t="str">
        <f t="shared" si="3"/>
        <v/>
      </c>
      <c r="L35" s="45" t="str">
        <f>IF(A35="","",IF(OR($B$6&lt;2,$D$6&lt;=Companies!I31),"n.a.",Companies!I31/(($D$6-Companies!I31)/($B$6-1))))</f>
        <v/>
      </c>
      <c r="M35" s="15" t="str">
        <f>IF(A35="","",COUNTIFS(Holdings!$A$6:$A$205,A35,Holdings!$H$6:$H$205,"Passive",Holdings!$K$6:$K$205,1))</f>
        <v/>
      </c>
      <c r="N35" s="15" t="str">
        <f>IF(A35="","",COUNTIFS(Holdings!$A$6:$A$205,A35,Holdings!$H$6:$H$205,"Active",Holdings!$K$6:$K$205,1))</f>
        <v/>
      </c>
      <c r="O35" s="41" t="str">
        <f>IF(A35="","",IF(OR($G$6=0,M35&lt;&gt;$G$6),"n.a.",SUMIFS(Holdings!$D$6:$D$205,Holdings!$A$6:$A$205,A35,Holdings!$H$6:$H$205,"Passive",Holdings!$K$6:$K$205,1)/$I$6))</f>
        <v/>
      </c>
      <c r="P35" s="41" t="str">
        <f>IF(A35="","",IF(OR($H$6=0,N35&lt;&gt;$H$6),"n.a.",SUMIFS(Holdings!$D$6:$D$205,Holdings!$A$6:$A$205,A35,Holdings!$H$6:$H$205,"Active",Holdings!$K$6:$K$205,1)/$J$6))</f>
        <v/>
      </c>
      <c r="Q35" s="41" t="str">
        <f>IF(A35="","",IF(OR($G$6=0,M35&lt;&gt;$G$6),"n.a.",SUMIFS(Holdings!$D$6:$D$205,Holdings!$A$6:$A$205,A35,Holdings!$H$6:$H$205,"Passive",Holdings!$K$6:$K$205,1)/Companies!I31))</f>
        <v/>
      </c>
      <c r="R35" s="41" t="str">
        <f>IF(A35="","",IF(OR($H$6=0,N35&lt;&gt;$H$6),"n.a.",SUMIFS(Holdings!$D$6:$D$205,Holdings!$A$6:$A$205,A35,Holdings!$H$6:$H$205,"Active",Holdings!$K$6:$K$205,1)/Companies!I31))</f>
        <v/>
      </c>
      <c r="S35" s="15" t="str">
        <f t="shared" si="4"/>
        <v/>
      </c>
      <c r="T35" s="46" t="str">
        <f t="array" ref="T35">IF(A35="","",IFNA(INDEX(Network!$L$14:$L$63,MATCH(A35,Network!$A$14:$A$63,0)),"n.a."))</f>
        <v/>
      </c>
      <c r="U35" s="46" t="str">
        <f>IF(A35="","",IF(OR(OR(COUNT(Rules!$B$45:$B$46)&lt;&gt;2,MIN(Rules!$B$45:$B$46)&lt;0,ABS(SUM(Rules!$B$45:$B$46)-1)&gt;0.000001),AND(Rules!$B$45&gt;0,NOT(ISNUMBER(I35))),AND(Rules!$B$46&gt;0,NOT(ISNUMBER(T35)))),"n.a.",IF(Rules!$B$45=0,0,Rules!$B$45*I35)+IF(Rules!$B$46=0,0,Rules!$B$46*T35)))</f>
        <v/>
      </c>
      <c r="V35" s="15" t="str">
        <f>IF(A35="","",IF(OR(COUNT(Rules!$B$45:$B$46)&lt;&gt;2,MIN(Rules!$B$45:$B$46)&lt;0,ABS(SUM(Rules!$B$45:$B$46)-1)&gt;0.000001),"Check combined weights",IF(AND(Rules!$B$45&gt;0,NOT(ISNUMBER(I35))),"Scale score unavailable",IF(AND(Rules!$B$46&gt;0,NOT(ISNUMBER(T35))),"Network review/score unavailable","Ready"))))</f>
        <v/>
      </c>
    </row>
    <row r="36" ht="24.0" customHeight="1">
      <c r="A36" s="15" t="str">
        <f>IF(Companies!R32=1,Companies!A32,"")</f>
        <v/>
      </c>
      <c r="B36" s="15" t="str">
        <f>IF(A36="","",Companies!C32)</f>
        <v/>
      </c>
      <c r="C36" s="15" t="str">
        <f>IF(A36="","",1+COUNTIFS(Companies!$R$6:$R$55,1,Companies!$I$6:$I$55,"&gt;"&amp;Companies!I32))</f>
        <v/>
      </c>
      <c r="D36" s="41" t="str">
        <f>IF(A36="","",Companies!I32/$D$6)</f>
        <v/>
      </c>
      <c r="E36" s="41" t="str">
        <f>IF(A36="","",IF($A$6&lt;&gt;"Ready","n.a.",Companies!K32/$E$6))</f>
        <v/>
      </c>
      <c r="F36" s="45" t="str">
        <f t="shared" si="1"/>
        <v/>
      </c>
      <c r="G36" s="46" t="str">
        <f>IF(A36="","",IF($B$6&lt;Rules!$B$12,"n.a.",100*(COUNTIFS(Companies!$R$6:$R$55,1,Companies!$I$6:$I$55,"&lt;"&amp;Companies!I32)+0.5*(COUNTIFS(Companies!$R$6:$R$55,1,Companies!$I$6:$I$55,Companies!I32)-1))/($B$6-1)))</f>
        <v/>
      </c>
      <c r="H36" s="46" t="str">
        <f>IF(A36="","",IF($A$6&lt;&gt;"Ready","n.a.",100*(COUNTIFS(Companies!$S$6:$S$55,1,Companies!$K$6:$K$55,"&lt;"&amp;Companies!K32)+0.5*(COUNTIFS(Companies!$S$6:$S$55,1,Companies!$K$6:$K$55,Companies!K32)-1))/($C$6-1)))</f>
        <v/>
      </c>
      <c r="I36" s="46" t="str">
        <f>IF(A36="","",IF($A$6&lt;&gt;"Ready","n.a.",Rules!$B$13*H36+Rules!$B$14*G36))</f>
        <v/>
      </c>
      <c r="J36" s="15" t="str">
        <f t="shared" si="2"/>
        <v/>
      </c>
      <c r="K36" s="15" t="str">
        <f t="shared" si="3"/>
        <v/>
      </c>
      <c r="L36" s="45" t="str">
        <f>IF(A36="","",IF(OR($B$6&lt;2,$D$6&lt;=Companies!I32),"n.a.",Companies!I32/(($D$6-Companies!I32)/($B$6-1))))</f>
        <v/>
      </c>
      <c r="M36" s="15" t="str">
        <f>IF(A36="","",COUNTIFS(Holdings!$A$6:$A$205,A36,Holdings!$H$6:$H$205,"Passive",Holdings!$K$6:$K$205,1))</f>
        <v/>
      </c>
      <c r="N36" s="15" t="str">
        <f>IF(A36="","",COUNTIFS(Holdings!$A$6:$A$205,A36,Holdings!$H$6:$H$205,"Active",Holdings!$K$6:$K$205,1))</f>
        <v/>
      </c>
      <c r="O36" s="41" t="str">
        <f>IF(A36="","",IF(OR($G$6=0,M36&lt;&gt;$G$6),"n.a.",SUMIFS(Holdings!$D$6:$D$205,Holdings!$A$6:$A$205,A36,Holdings!$H$6:$H$205,"Passive",Holdings!$K$6:$K$205,1)/$I$6))</f>
        <v/>
      </c>
      <c r="P36" s="41" t="str">
        <f>IF(A36="","",IF(OR($H$6=0,N36&lt;&gt;$H$6),"n.a.",SUMIFS(Holdings!$D$6:$D$205,Holdings!$A$6:$A$205,A36,Holdings!$H$6:$H$205,"Active",Holdings!$K$6:$K$205,1)/$J$6))</f>
        <v/>
      </c>
      <c r="Q36" s="41" t="str">
        <f>IF(A36="","",IF(OR($G$6=0,M36&lt;&gt;$G$6),"n.a.",SUMIFS(Holdings!$D$6:$D$205,Holdings!$A$6:$A$205,A36,Holdings!$H$6:$H$205,"Passive",Holdings!$K$6:$K$205,1)/Companies!I32))</f>
        <v/>
      </c>
      <c r="R36" s="41" t="str">
        <f>IF(A36="","",IF(OR($H$6=0,N36&lt;&gt;$H$6),"n.a.",SUMIFS(Holdings!$D$6:$D$205,Holdings!$A$6:$A$205,A36,Holdings!$H$6:$H$205,"Active",Holdings!$K$6:$K$205,1)/Companies!I32))</f>
        <v/>
      </c>
      <c r="S36" s="15" t="str">
        <f t="shared" si="4"/>
        <v/>
      </c>
      <c r="T36" s="46" t="str">
        <f t="array" ref="T36">IF(A36="","",IFNA(INDEX(Network!$L$14:$L$63,MATCH(A36,Network!$A$14:$A$63,0)),"n.a."))</f>
        <v/>
      </c>
      <c r="U36" s="46" t="str">
        <f>IF(A36="","",IF(OR(OR(COUNT(Rules!$B$45:$B$46)&lt;&gt;2,MIN(Rules!$B$45:$B$46)&lt;0,ABS(SUM(Rules!$B$45:$B$46)-1)&gt;0.000001),AND(Rules!$B$45&gt;0,NOT(ISNUMBER(I36))),AND(Rules!$B$46&gt;0,NOT(ISNUMBER(T36)))),"n.a.",IF(Rules!$B$45=0,0,Rules!$B$45*I36)+IF(Rules!$B$46=0,0,Rules!$B$46*T36)))</f>
        <v/>
      </c>
      <c r="V36" s="15" t="str">
        <f>IF(A36="","",IF(OR(COUNT(Rules!$B$45:$B$46)&lt;&gt;2,MIN(Rules!$B$45:$B$46)&lt;0,ABS(SUM(Rules!$B$45:$B$46)-1)&gt;0.000001),"Check combined weights",IF(AND(Rules!$B$45&gt;0,NOT(ISNUMBER(I36))),"Scale score unavailable",IF(AND(Rules!$B$46&gt;0,NOT(ISNUMBER(T36))),"Network review/score unavailable","Ready"))))</f>
        <v/>
      </c>
    </row>
    <row r="37" ht="24.0" customHeight="1">
      <c r="A37" s="15" t="str">
        <f>IF(Companies!R33=1,Companies!A33,"")</f>
        <v/>
      </c>
      <c r="B37" s="15" t="str">
        <f>IF(A37="","",Companies!C33)</f>
        <v/>
      </c>
      <c r="C37" s="15" t="str">
        <f>IF(A37="","",1+COUNTIFS(Companies!$R$6:$R$55,1,Companies!$I$6:$I$55,"&gt;"&amp;Companies!I33))</f>
        <v/>
      </c>
      <c r="D37" s="41" t="str">
        <f>IF(A37="","",Companies!I33/$D$6)</f>
        <v/>
      </c>
      <c r="E37" s="41" t="str">
        <f>IF(A37="","",IF($A$6&lt;&gt;"Ready","n.a.",Companies!K33/$E$6))</f>
        <v/>
      </c>
      <c r="F37" s="45" t="str">
        <f t="shared" si="1"/>
        <v/>
      </c>
      <c r="G37" s="46" t="str">
        <f>IF(A37="","",IF($B$6&lt;Rules!$B$12,"n.a.",100*(COUNTIFS(Companies!$R$6:$R$55,1,Companies!$I$6:$I$55,"&lt;"&amp;Companies!I33)+0.5*(COUNTIFS(Companies!$R$6:$R$55,1,Companies!$I$6:$I$55,Companies!I33)-1))/($B$6-1)))</f>
        <v/>
      </c>
      <c r="H37" s="46" t="str">
        <f>IF(A37="","",IF($A$6&lt;&gt;"Ready","n.a.",100*(COUNTIFS(Companies!$S$6:$S$55,1,Companies!$K$6:$K$55,"&lt;"&amp;Companies!K33)+0.5*(COUNTIFS(Companies!$S$6:$S$55,1,Companies!$K$6:$K$55,Companies!K33)-1))/($C$6-1)))</f>
        <v/>
      </c>
      <c r="I37" s="46" t="str">
        <f>IF(A37="","",IF($A$6&lt;&gt;"Ready","n.a.",Rules!$B$13*H37+Rules!$B$14*G37))</f>
        <v/>
      </c>
      <c r="J37" s="15" t="str">
        <f t="shared" si="2"/>
        <v/>
      </c>
      <c r="K37" s="15" t="str">
        <f t="shared" si="3"/>
        <v/>
      </c>
      <c r="L37" s="45" t="str">
        <f>IF(A37="","",IF(OR($B$6&lt;2,$D$6&lt;=Companies!I33),"n.a.",Companies!I33/(($D$6-Companies!I33)/($B$6-1))))</f>
        <v/>
      </c>
      <c r="M37" s="15" t="str">
        <f>IF(A37="","",COUNTIFS(Holdings!$A$6:$A$205,A37,Holdings!$H$6:$H$205,"Passive",Holdings!$K$6:$K$205,1))</f>
        <v/>
      </c>
      <c r="N37" s="15" t="str">
        <f>IF(A37="","",COUNTIFS(Holdings!$A$6:$A$205,A37,Holdings!$H$6:$H$205,"Active",Holdings!$K$6:$K$205,1))</f>
        <v/>
      </c>
      <c r="O37" s="41" t="str">
        <f>IF(A37="","",IF(OR($G$6=0,M37&lt;&gt;$G$6),"n.a.",SUMIFS(Holdings!$D$6:$D$205,Holdings!$A$6:$A$205,A37,Holdings!$H$6:$H$205,"Passive",Holdings!$K$6:$K$205,1)/$I$6))</f>
        <v/>
      </c>
      <c r="P37" s="41" t="str">
        <f>IF(A37="","",IF(OR($H$6=0,N37&lt;&gt;$H$6),"n.a.",SUMIFS(Holdings!$D$6:$D$205,Holdings!$A$6:$A$205,A37,Holdings!$H$6:$H$205,"Active",Holdings!$K$6:$K$205,1)/$J$6))</f>
        <v/>
      </c>
      <c r="Q37" s="41" t="str">
        <f>IF(A37="","",IF(OR($G$6=0,M37&lt;&gt;$G$6),"n.a.",SUMIFS(Holdings!$D$6:$D$205,Holdings!$A$6:$A$205,A37,Holdings!$H$6:$H$205,"Passive",Holdings!$K$6:$K$205,1)/Companies!I33))</f>
        <v/>
      </c>
      <c r="R37" s="41" t="str">
        <f>IF(A37="","",IF(OR($H$6=0,N37&lt;&gt;$H$6),"n.a.",SUMIFS(Holdings!$D$6:$D$205,Holdings!$A$6:$A$205,A37,Holdings!$H$6:$H$205,"Active",Holdings!$K$6:$K$205,1)/Companies!I33))</f>
        <v/>
      </c>
      <c r="S37" s="15" t="str">
        <f t="shared" si="4"/>
        <v/>
      </c>
      <c r="T37" s="46" t="str">
        <f t="array" ref="T37">IF(A37="","",IFNA(INDEX(Network!$L$14:$L$63,MATCH(A37,Network!$A$14:$A$63,0)),"n.a."))</f>
        <v/>
      </c>
      <c r="U37" s="46" t="str">
        <f>IF(A37="","",IF(OR(OR(COUNT(Rules!$B$45:$B$46)&lt;&gt;2,MIN(Rules!$B$45:$B$46)&lt;0,ABS(SUM(Rules!$B$45:$B$46)-1)&gt;0.000001),AND(Rules!$B$45&gt;0,NOT(ISNUMBER(I37))),AND(Rules!$B$46&gt;0,NOT(ISNUMBER(T37)))),"n.a.",IF(Rules!$B$45=0,0,Rules!$B$45*I37)+IF(Rules!$B$46=0,0,Rules!$B$46*T37)))</f>
        <v/>
      </c>
      <c r="V37" s="15" t="str">
        <f>IF(A37="","",IF(OR(COUNT(Rules!$B$45:$B$46)&lt;&gt;2,MIN(Rules!$B$45:$B$46)&lt;0,ABS(SUM(Rules!$B$45:$B$46)-1)&gt;0.000001),"Check combined weights",IF(AND(Rules!$B$45&gt;0,NOT(ISNUMBER(I37))),"Scale score unavailable",IF(AND(Rules!$B$46&gt;0,NOT(ISNUMBER(T37))),"Network review/score unavailable","Ready"))))</f>
        <v/>
      </c>
    </row>
    <row r="38" ht="24.0" customHeight="1">
      <c r="A38" s="15" t="str">
        <f>IF(Companies!R34=1,Companies!A34,"")</f>
        <v/>
      </c>
      <c r="B38" s="15" t="str">
        <f>IF(A38="","",Companies!C34)</f>
        <v/>
      </c>
      <c r="C38" s="15" t="str">
        <f>IF(A38="","",1+COUNTIFS(Companies!$R$6:$R$55,1,Companies!$I$6:$I$55,"&gt;"&amp;Companies!I34))</f>
        <v/>
      </c>
      <c r="D38" s="41" t="str">
        <f>IF(A38="","",Companies!I34/$D$6)</f>
        <v/>
      </c>
      <c r="E38" s="41" t="str">
        <f>IF(A38="","",IF($A$6&lt;&gt;"Ready","n.a.",Companies!K34/$E$6))</f>
        <v/>
      </c>
      <c r="F38" s="45" t="str">
        <f t="shared" si="1"/>
        <v/>
      </c>
      <c r="G38" s="46" t="str">
        <f>IF(A38="","",IF($B$6&lt;Rules!$B$12,"n.a.",100*(COUNTIFS(Companies!$R$6:$R$55,1,Companies!$I$6:$I$55,"&lt;"&amp;Companies!I34)+0.5*(COUNTIFS(Companies!$R$6:$R$55,1,Companies!$I$6:$I$55,Companies!I34)-1))/($B$6-1)))</f>
        <v/>
      </c>
      <c r="H38" s="46" t="str">
        <f>IF(A38="","",IF($A$6&lt;&gt;"Ready","n.a.",100*(COUNTIFS(Companies!$S$6:$S$55,1,Companies!$K$6:$K$55,"&lt;"&amp;Companies!K34)+0.5*(COUNTIFS(Companies!$S$6:$S$55,1,Companies!$K$6:$K$55,Companies!K34)-1))/($C$6-1)))</f>
        <v/>
      </c>
      <c r="I38" s="46" t="str">
        <f>IF(A38="","",IF($A$6&lt;&gt;"Ready","n.a.",Rules!$B$13*H38+Rules!$B$14*G38))</f>
        <v/>
      </c>
      <c r="J38" s="15" t="str">
        <f t="shared" si="2"/>
        <v/>
      </c>
      <c r="K38" s="15" t="str">
        <f t="shared" si="3"/>
        <v/>
      </c>
      <c r="L38" s="45" t="str">
        <f>IF(A38="","",IF(OR($B$6&lt;2,$D$6&lt;=Companies!I34),"n.a.",Companies!I34/(($D$6-Companies!I34)/($B$6-1))))</f>
        <v/>
      </c>
      <c r="M38" s="15" t="str">
        <f>IF(A38="","",COUNTIFS(Holdings!$A$6:$A$205,A38,Holdings!$H$6:$H$205,"Passive",Holdings!$K$6:$K$205,1))</f>
        <v/>
      </c>
      <c r="N38" s="15" t="str">
        <f>IF(A38="","",COUNTIFS(Holdings!$A$6:$A$205,A38,Holdings!$H$6:$H$205,"Active",Holdings!$K$6:$K$205,1))</f>
        <v/>
      </c>
      <c r="O38" s="41" t="str">
        <f>IF(A38="","",IF(OR($G$6=0,M38&lt;&gt;$G$6),"n.a.",SUMIFS(Holdings!$D$6:$D$205,Holdings!$A$6:$A$205,A38,Holdings!$H$6:$H$205,"Passive",Holdings!$K$6:$K$205,1)/$I$6))</f>
        <v/>
      </c>
      <c r="P38" s="41" t="str">
        <f>IF(A38="","",IF(OR($H$6=0,N38&lt;&gt;$H$6),"n.a.",SUMIFS(Holdings!$D$6:$D$205,Holdings!$A$6:$A$205,A38,Holdings!$H$6:$H$205,"Active",Holdings!$K$6:$K$205,1)/$J$6))</f>
        <v/>
      </c>
      <c r="Q38" s="41" t="str">
        <f>IF(A38="","",IF(OR($G$6=0,M38&lt;&gt;$G$6),"n.a.",SUMIFS(Holdings!$D$6:$D$205,Holdings!$A$6:$A$205,A38,Holdings!$H$6:$H$205,"Passive",Holdings!$K$6:$K$205,1)/Companies!I34))</f>
        <v/>
      </c>
      <c r="R38" s="41" t="str">
        <f>IF(A38="","",IF(OR($H$6=0,N38&lt;&gt;$H$6),"n.a.",SUMIFS(Holdings!$D$6:$D$205,Holdings!$A$6:$A$205,A38,Holdings!$H$6:$H$205,"Active",Holdings!$K$6:$K$205,1)/Companies!I34))</f>
        <v/>
      </c>
      <c r="S38" s="15" t="str">
        <f t="shared" si="4"/>
        <v/>
      </c>
      <c r="T38" s="46" t="str">
        <f t="array" ref="T38">IF(A38="","",IFNA(INDEX(Network!$L$14:$L$63,MATCH(A38,Network!$A$14:$A$63,0)),"n.a."))</f>
        <v/>
      </c>
      <c r="U38" s="46" t="str">
        <f>IF(A38="","",IF(OR(OR(COUNT(Rules!$B$45:$B$46)&lt;&gt;2,MIN(Rules!$B$45:$B$46)&lt;0,ABS(SUM(Rules!$B$45:$B$46)-1)&gt;0.000001),AND(Rules!$B$45&gt;0,NOT(ISNUMBER(I38))),AND(Rules!$B$46&gt;0,NOT(ISNUMBER(T38)))),"n.a.",IF(Rules!$B$45=0,0,Rules!$B$45*I38)+IF(Rules!$B$46=0,0,Rules!$B$46*T38)))</f>
        <v/>
      </c>
      <c r="V38" s="15" t="str">
        <f>IF(A38="","",IF(OR(COUNT(Rules!$B$45:$B$46)&lt;&gt;2,MIN(Rules!$B$45:$B$46)&lt;0,ABS(SUM(Rules!$B$45:$B$46)-1)&gt;0.000001),"Check combined weights",IF(AND(Rules!$B$45&gt;0,NOT(ISNUMBER(I38))),"Scale score unavailable",IF(AND(Rules!$B$46&gt;0,NOT(ISNUMBER(T38))),"Network review/score unavailable","Ready"))))</f>
        <v/>
      </c>
    </row>
    <row r="39" ht="24.0" customHeight="1">
      <c r="A39" s="15" t="str">
        <f>IF(Companies!R35=1,Companies!A35,"")</f>
        <v/>
      </c>
      <c r="B39" s="15" t="str">
        <f>IF(A39="","",Companies!C35)</f>
        <v/>
      </c>
      <c r="C39" s="15" t="str">
        <f>IF(A39="","",1+COUNTIFS(Companies!$R$6:$R$55,1,Companies!$I$6:$I$55,"&gt;"&amp;Companies!I35))</f>
        <v/>
      </c>
      <c r="D39" s="41" t="str">
        <f>IF(A39="","",Companies!I35/$D$6)</f>
        <v/>
      </c>
      <c r="E39" s="41" t="str">
        <f>IF(A39="","",IF($A$6&lt;&gt;"Ready","n.a.",Companies!K35/$E$6))</f>
        <v/>
      </c>
      <c r="F39" s="45" t="str">
        <f t="shared" si="1"/>
        <v/>
      </c>
      <c r="G39" s="46" t="str">
        <f>IF(A39="","",IF($B$6&lt;Rules!$B$12,"n.a.",100*(COUNTIFS(Companies!$R$6:$R$55,1,Companies!$I$6:$I$55,"&lt;"&amp;Companies!I35)+0.5*(COUNTIFS(Companies!$R$6:$R$55,1,Companies!$I$6:$I$55,Companies!I35)-1))/($B$6-1)))</f>
        <v/>
      </c>
      <c r="H39" s="46" t="str">
        <f>IF(A39="","",IF($A$6&lt;&gt;"Ready","n.a.",100*(COUNTIFS(Companies!$S$6:$S$55,1,Companies!$K$6:$K$55,"&lt;"&amp;Companies!K35)+0.5*(COUNTIFS(Companies!$S$6:$S$55,1,Companies!$K$6:$K$55,Companies!K35)-1))/($C$6-1)))</f>
        <v/>
      </c>
      <c r="I39" s="46" t="str">
        <f>IF(A39="","",IF($A$6&lt;&gt;"Ready","n.a.",Rules!$B$13*H39+Rules!$B$14*G39))</f>
        <v/>
      </c>
      <c r="J39" s="15" t="str">
        <f t="shared" si="2"/>
        <v/>
      </c>
      <c r="K39" s="15" t="str">
        <f t="shared" si="3"/>
        <v/>
      </c>
      <c r="L39" s="45" t="str">
        <f>IF(A39="","",IF(OR($B$6&lt;2,$D$6&lt;=Companies!I35),"n.a.",Companies!I35/(($D$6-Companies!I35)/($B$6-1))))</f>
        <v/>
      </c>
      <c r="M39" s="15" t="str">
        <f>IF(A39="","",COUNTIFS(Holdings!$A$6:$A$205,A39,Holdings!$H$6:$H$205,"Passive",Holdings!$K$6:$K$205,1))</f>
        <v/>
      </c>
      <c r="N39" s="15" t="str">
        <f>IF(A39="","",COUNTIFS(Holdings!$A$6:$A$205,A39,Holdings!$H$6:$H$205,"Active",Holdings!$K$6:$K$205,1))</f>
        <v/>
      </c>
      <c r="O39" s="41" t="str">
        <f>IF(A39="","",IF(OR($G$6=0,M39&lt;&gt;$G$6),"n.a.",SUMIFS(Holdings!$D$6:$D$205,Holdings!$A$6:$A$205,A39,Holdings!$H$6:$H$205,"Passive",Holdings!$K$6:$K$205,1)/$I$6))</f>
        <v/>
      </c>
      <c r="P39" s="41" t="str">
        <f>IF(A39="","",IF(OR($H$6=0,N39&lt;&gt;$H$6),"n.a.",SUMIFS(Holdings!$D$6:$D$205,Holdings!$A$6:$A$205,A39,Holdings!$H$6:$H$205,"Active",Holdings!$K$6:$K$205,1)/$J$6))</f>
        <v/>
      </c>
      <c r="Q39" s="41" t="str">
        <f>IF(A39="","",IF(OR($G$6=0,M39&lt;&gt;$G$6),"n.a.",SUMIFS(Holdings!$D$6:$D$205,Holdings!$A$6:$A$205,A39,Holdings!$H$6:$H$205,"Passive",Holdings!$K$6:$K$205,1)/Companies!I35))</f>
        <v/>
      </c>
      <c r="R39" s="41" t="str">
        <f>IF(A39="","",IF(OR($H$6=0,N39&lt;&gt;$H$6),"n.a.",SUMIFS(Holdings!$D$6:$D$205,Holdings!$A$6:$A$205,A39,Holdings!$H$6:$H$205,"Active",Holdings!$K$6:$K$205,1)/Companies!I35))</f>
        <v/>
      </c>
      <c r="S39" s="15" t="str">
        <f t="shared" si="4"/>
        <v/>
      </c>
      <c r="T39" s="46" t="str">
        <f t="array" ref="T39">IF(A39="","",IFNA(INDEX(Network!$L$14:$L$63,MATCH(A39,Network!$A$14:$A$63,0)),"n.a."))</f>
        <v/>
      </c>
      <c r="U39" s="46" t="str">
        <f>IF(A39="","",IF(OR(OR(COUNT(Rules!$B$45:$B$46)&lt;&gt;2,MIN(Rules!$B$45:$B$46)&lt;0,ABS(SUM(Rules!$B$45:$B$46)-1)&gt;0.000001),AND(Rules!$B$45&gt;0,NOT(ISNUMBER(I39))),AND(Rules!$B$46&gt;0,NOT(ISNUMBER(T39)))),"n.a.",IF(Rules!$B$45=0,0,Rules!$B$45*I39)+IF(Rules!$B$46=0,0,Rules!$B$46*T39)))</f>
        <v/>
      </c>
      <c r="V39" s="15" t="str">
        <f>IF(A39="","",IF(OR(COUNT(Rules!$B$45:$B$46)&lt;&gt;2,MIN(Rules!$B$45:$B$46)&lt;0,ABS(SUM(Rules!$B$45:$B$46)-1)&gt;0.000001),"Check combined weights",IF(AND(Rules!$B$45&gt;0,NOT(ISNUMBER(I39))),"Scale score unavailable",IF(AND(Rules!$B$46&gt;0,NOT(ISNUMBER(T39))),"Network review/score unavailable","Ready"))))</f>
        <v/>
      </c>
    </row>
    <row r="40" ht="24.0" customHeight="1">
      <c r="A40" s="15" t="str">
        <f>IF(Companies!R36=1,Companies!A36,"")</f>
        <v/>
      </c>
      <c r="B40" s="15" t="str">
        <f>IF(A40="","",Companies!C36)</f>
        <v/>
      </c>
      <c r="C40" s="15" t="str">
        <f>IF(A40="","",1+COUNTIFS(Companies!$R$6:$R$55,1,Companies!$I$6:$I$55,"&gt;"&amp;Companies!I36))</f>
        <v/>
      </c>
      <c r="D40" s="41" t="str">
        <f>IF(A40="","",Companies!I36/$D$6)</f>
        <v/>
      </c>
      <c r="E40" s="41" t="str">
        <f>IF(A40="","",IF($A$6&lt;&gt;"Ready","n.a.",Companies!K36/$E$6))</f>
        <v/>
      </c>
      <c r="F40" s="45" t="str">
        <f t="shared" si="1"/>
        <v/>
      </c>
      <c r="G40" s="46" t="str">
        <f>IF(A40="","",IF($B$6&lt;Rules!$B$12,"n.a.",100*(COUNTIFS(Companies!$R$6:$R$55,1,Companies!$I$6:$I$55,"&lt;"&amp;Companies!I36)+0.5*(COUNTIFS(Companies!$R$6:$R$55,1,Companies!$I$6:$I$55,Companies!I36)-1))/($B$6-1)))</f>
        <v/>
      </c>
      <c r="H40" s="46" t="str">
        <f>IF(A40="","",IF($A$6&lt;&gt;"Ready","n.a.",100*(COUNTIFS(Companies!$S$6:$S$55,1,Companies!$K$6:$K$55,"&lt;"&amp;Companies!K36)+0.5*(COUNTIFS(Companies!$S$6:$S$55,1,Companies!$K$6:$K$55,Companies!K36)-1))/($C$6-1)))</f>
        <v/>
      </c>
      <c r="I40" s="46" t="str">
        <f>IF(A40="","",IF($A$6&lt;&gt;"Ready","n.a.",Rules!$B$13*H40+Rules!$B$14*G40))</f>
        <v/>
      </c>
      <c r="J40" s="15" t="str">
        <f t="shared" si="2"/>
        <v/>
      </c>
      <c r="K40" s="15" t="str">
        <f t="shared" si="3"/>
        <v/>
      </c>
      <c r="L40" s="45" t="str">
        <f>IF(A40="","",IF(OR($B$6&lt;2,$D$6&lt;=Companies!I36),"n.a.",Companies!I36/(($D$6-Companies!I36)/($B$6-1))))</f>
        <v/>
      </c>
      <c r="M40" s="15" t="str">
        <f>IF(A40="","",COUNTIFS(Holdings!$A$6:$A$205,A40,Holdings!$H$6:$H$205,"Passive",Holdings!$K$6:$K$205,1))</f>
        <v/>
      </c>
      <c r="N40" s="15" t="str">
        <f>IF(A40="","",COUNTIFS(Holdings!$A$6:$A$205,A40,Holdings!$H$6:$H$205,"Active",Holdings!$K$6:$K$205,1))</f>
        <v/>
      </c>
      <c r="O40" s="41" t="str">
        <f>IF(A40="","",IF(OR($G$6=0,M40&lt;&gt;$G$6),"n.a.",SUMIFS(Holdings!$D$6:$D$205,Holdings!$A$6:$A$205,A40,Holdings!$H$6:$H$205,"Passive",Holdings!$K$6:$K$205,1)/$I$6))</f>
        <v/>
      </c>
      <c r="P40" s="41" t="str">
        <f>IF(A40="","",IF(OR($H$6=0,N40&lt;&gt;$H$6),"n.a.",SUMIFS(Holdings!$D$6:$D$205,Holdings!$A$6:$A$205,A40,Holdings!$H$6:$H$205,"Active",Holdings!$K$6:$K$205,1)/$J$6))</f>
        <v/>
      </c>
      <c r="Q40" s="41" t="str">
        <f>IF(A40="","",IF(OR($G$6=0,M40&lt;&gt;$G$6),"n.a.",SUMIFS(Holdings!$D$6:$D$205,Holdings!$A$6:$A$205,A40,Holdings!$H$6:$H$205,"Passive",Holdings!$K$6:$K$205,1)/Companies!I36))</f>
        <v/>
      </c>
      <c r="R40" s="41" t="str">
        <f>IF(A40="","",IF(OR($H$6=0,N40&lt;&gt;$H$6),"n.a.",SUMIFS(Holdings!$D$6:$D$205,Holdings!$A$6:$A$205,A40,Holdings!$H$6:$H$205,"Active",Holdings!$K$6:$K$205,1)/Companies!I36))</f>
        <v/>
      </c>
      <c r="S40" s="15" t="str">
        <f t="shared" si="4"/>
        <v/>
      </c>
      <c r="T40" s="46" t="str">
        <f t="array" ref="T40">IF(A40="","",IFNA(INDEX(Network!$L$14:$L$63,MATCH(A40,Network!$A$14:$A$63,0)),"n.a."))</f>
        <v/>
      </c>
      <c r="U40" s="46" t="str">
        <f>IF(A40="","",IF(OR(OR(COUNT(Rules!$B$45:$B$46)&lt;&gt;2,MIN(Rules!$B$45:$B$46)&lt;0,ABS(SUM(Rules!$B$45:$B$46)-1)&gt;0.000001),AND(Rules!$B$45&gt;0,NOT(ISNUMBER(I40))),AND(Rules!$B$46&gt;0,NOT(ISNUMBER(T40)))),"n.a.",IF(Rules!$B$45=0,0,Rules!$B$45*I40)+IF(Rules!$B$46=0,0,Rules!$B$46*T40)))</f>
        <v/>
      </c>
      <c r="V40" s="15" t="str">
        <f>IF(A40="","",IF(OR(COUNT(Rules!$B$45:$B$46)&lt;&gt;2,MIN(Rules!$B$45:$B$46)&lt;0,ABS(SUM(Rules!$B$45:$B$46)-1)&gt;0.000001),"Check combined weights",IF(AND(Rules!$B$45&gt;0,NOT(ISNUMBER(I40))),"Scale score unavailable",IF(AND(Rules!$B$46&gt;0,NOT(ISNUMBER(T40))),"Network review/score unavailable","Ready"))))</f>
        <v/>
      </c>
    </row>
    <row r="41" ht="24.0" customHeight="1">
      <c r="A41" s="15" t="str">
        <f>IF(Companies!R37=1,Companies!A37,"")</f>
        <v/>
      </c>
      <c r="B41" s="15" t="str">
        <f>IF(A41="","",Companies!C37)</f>
        <v/>
      </c>
      <c r="C41" s="15" t="str">
        <f>IF(A41="","",1+COUNTIFS(Companies!$R$6:$R$55,1,Companies!$I$6:$I$55,"&gt;"&amp;Companies!I37))</f>
        <v/>
      </c>
      <c r="D41" s="41" t="str">
        <f>IF(A41="","",Companies!I37/$D$6)</f>
        <v/>
      </c>
      <c r="E41" s="41" t="str">
        <f>IF(A41="","",IF($A$6&lt;&gt;"Ready","n.a.",Companies!K37/$E$6))</f>
        <v/>
      </c>
      <c r="F41" s="45" t="str">
        <f t="shared" si="1"/>
        <v/>
      </c>
      <c r="G41" s="46" t="str">
        <f>IF(A41="","",IF($B$6&lt;Rules!$B$12,"n.a.",100*(COUNTIFS(Companies!$R$6:$R$55,1,Companies!$I$6:$I$55,"&lt;"&amp;Companies!I37)+0.5*(COUNTIFS(Companies!$R$6:$R$55,1,Companies!$I$6:$I$55,Companies!I37)-1))/($B$6-1)))</f>
        <v/>
      </c>
      <c r="H41" s="46" t="str">
        <f>IF(A41="","",IF($A$6&lt;&gt;"Ready","n.a.",100*(COUNTIFS(Companies!$S$6:$S$55,1,Companies!$K$6:$K$55,"&lt;"&amp;Companies!K37)+0.5*(COUNTIFS(Companies!$S$6:$S$55,1,Companies!$K$6:$K$55,Companies!K37)-1))/($C$6-1)))</f>
        <v/>
      </c>
      <c r="I41" s="46" t="str">
        <f>IF(A41="","",IF($A$6&lt;&gt;"Ready","n.a.",Rules!$B$13*H41+Rules!$B$14*G41))</f>
        <v/>
      </c>
      <c r="J41" s="15" t="str">
        <f t="shared" si="2"/>
        <v/>
      </c>
      <c r="K41" s="15" t="str">
        <f t="shared" si="3"/>
        <v/>
      </c>
      <c r="L41" s="45" t="str">
        <f>IF(A41="","",IF(OR($B$6&lt;2,$D$6&lt;=Companies!I37),"n.a.",Companies!I37/(($D$6-Companies!I37)/($B$6-1))))</f>
        <v/>
      </c>
      <c r="M41" s="15" t="str">
        <f>IF(A41="","",COUNTIFS(Holdings!$A$6:$A$205,A41,Holdings!$H$6:$H$205,"Passive",Holdings!$K$6:$K$205,1))</f>
        <v/>
      </c>
      <c r="N41" s="15" t="str">
        <f>IF(A41="","",COUNTIFS(Holdings!$A$6:$A$205,A41,Holdings!$H$6:$H$205,"Active",Holdings!$K$6:$K$205,1))</f>
        <v/>
      </c>
      <c r="O41" s="41" t="str">
        <f>IF(A41="","",IF(OR($G$6=0,M41&lt;&gt;$G$6),"n.a.",SUMIFS(Holdings!$D$6:$D$205,Holdings!$A$6:$A$205,A41,Holdings!$H$6:$H$205,"Passive",Holdings!$K$6:$K$205,1)/$I$6))</f>
        <v/>
      </c>
      <c r="P41" s="41" t="str">
        <f>IF(A41="","",IF(OR($H$6=0,N41&lt;&gt;$H$6),"n.a.",SUMIFS(Holdings!$D$6:$D$205,Holdings!$A$6:$A$205,A41,Holdings!$H$6:$H$205,"Active",Holdings!$K$6:$K$205,1)/$J$6))</f>
        <v/>
      </c>
      <c r="Q41" s="41" t="str">
        <f>IF(A41="","",IF(OR($G$6=0,M41&lt;&gt;$G$6),"n.a.",SUMIFS(Holdings!$D$6:$D$205,Holdings!$A$6:$A$205,A41,Holdings!$H$6:$H$205,"Passive",Holdings!$K$6:$K$205,1)/Companies!I37))</f>
        <v/>
      </c>
      <c r="R41" s="41" t="str">
        <f>IF(A41="","",IF(OR($H$6=0,N41&lt;&gt;$H$6),"n.a.",SUMIFS(Holdings!$D$6:$D$205,Holdings!$A$6:$A$205,A41,Holdings!$H$6:$H$205,"Active",Holdings!$K$6:$K$205,1)/Companies!I37))</f>
        <v/>
      </c>
      <c r="S41" s="15" t="str">
        <f t="shared" si="4"/>
        <v/>
      </c>
      <c r="T41" s="46" t="str">
        <f t="array" ref="T41">IF(A41="","",IFNA(INDEX(Network!$L$14:$L$63,MATCH(A41,Network!$A$14:$A$63,0)),"n.a."))</f>
        <v/>
      </c>
      <c r="U41" s="46" t="str">
        <f>IF(A41="","",IF(OR(OR(COUNT(Rules!$B$45:$B$46)&lt;&gt;2,MIN(Rules!$B$45:$B$46)&lt;0,ABS(SUM(Rules!$B$45:$B$46)-1)&gt;0.000001),AND(Rules!$B$45&gt;0,NOT(ISNUMBER(I41))),AND(Rules!$B$46&gt;0,NOT(ISNUMBER(T41)))),"n.a.",IF(Rules!$B$45=0,0,Rules!$B$45*I41)+IF(Rules!$B$46=0,0,Rules!$B$46*T41)))</f>
        <v/>
      </c>
      <c r="V41" s="15" t="str">
        <f>IF(A41="","",IF(OR(COUNT(Rules!$B$45:$B$46)&lt;&gt;2,MIN(Rules!$B$45:$B$46)&lt;0,ABS(SUM(Rules!$B$45:$B$46)-1)&gt;0.000001),"Check combined weights",IF(AND(Rules!$B$45&gt;0,NOT(ISNUMBER(I41))),"Scale score unavailable",IF(AND(Rules!$B$46&gt;0,NOT(ISNUMBER(T41))),"Network review/score unavailable","Ready"))))</f>
        <v/>
      </c>
    </row>
    <row r="42" ht="24.0" customHeight="1">
      <c r="A42" s="15" t="str">
        <f>IF(Companies!R38=1,Companies!A38,"")</f>
        <v/>
      </c>
      <c r="B42" s="15" t="str">
        <f>IF(A42="","",Companies!C38)</f>
        <v/>
      </c>
      <c r="C42" s="15" t="str">
        <f>IF(A42="","",1+COUNTIFS(Companies!$R$6:$R$55,1,Companies!$I$6:$I$55,"&gt;"&amp;Companies!I38))</f>
        <v/>
      </c>
      <c r="D42" s="41" t="str">
        <f>IF(A42="","",Companies!I38/$D$6)</f>
        <v/>
      </c>
      <c r="E42" s="41" t="str">
        <f>IF(A42="","",IF($A$6&lt;&gt;"Ready","n.a.",Companies!K38/$E$6))</f>
        <v/>
      </c>
      <c r="F42" s="45" t="str">
        <f t="shared" si="1"/>
        <v/>
      </c>
      <c r="G42" s="46" t="str">
        <f>IF(A42="","",IF($B$6&lt;Rules!$B$12,"n.a.",100*(COUNTIFS(Companies!$R$6:$R$55,1,Companies!$I$6:$I$55,"&lt;"&amp;Companies!I38)+0.5*(COUNTIFS(Companies!$R$6:$R$55,1,Companies!$I$6:$I$55,Companies!I38)-1))/($B$6-1)))</f>
        <v/>
      </c>
      <c r="H42" s="46" t="str">
        <f>IF(A42="","",IF($A$6&lt;&gt;"Ready","n.a.",100*(COUNTIFS(Companies!$S$6:$S$55,1,Companies!$K$6:$K$55,"&lt;"&amp;Companies!K38)+0.5*(COUNTIFS(Companies!$S$6:$S$55,1,Companies!$K$6:$K$55,Companies!K38)-1))/($C$6-1)))</f>
        <v/>
      </c>
      <c r="I42" s="46" t="str">
        <f>IF(A42="","",IF($A$6&lt;&gt;"Ready","n.a.",Rules!$B$13*H42+Rules!$B$14*G42))</f>
        <v/>
      </c>
      <c r="J42" s="15" t="str">
        <f t="shared" si="2"/>
        <v/>
      </c>
      <c r="K42" s="15" t="str">
        <f t="shared" si="3"/>
        <v/>
      </c>
      <c r="L42" s="45" t="str">
        <f>IF(A42="","",IF(OR($B$6&lt;2,$D$6&lt;=Companies!I38),"n.a.",Companies!I38/(($D$6-Companies!I38)/($B$6-1))))</f>
        <v/>
      </c>
      <c r="M42" s="15" t="str">
        <f>IF(A42="","",COUNTIFS(Holdings!$A$6:$A$205,A42,Holdings!$H$6:$H$205,"Passive",Holdings!$K$6:$K$205,1))</f>
        <v/>
      </c>
      <c r="N42" s="15" t="str">
        <f>IF(A42="","",COUNTIFS(Holdings!$A$6:$A$205,A42,Holdings!$H$6:$H$205,"Active",Holdings!$K$6:$K$205,1))</f>
        <v/>
      </c>
      <c r="O42" s="41" t="str">
        <f>IF(A42="","",IF(OR($G$6=0,M42&lt;&gt;$G$6),"n.a.",SUMIFS(Holdings!$D$6:$D$205,Holdings!$A$6:$A$205,A42,Holdings!$H$6:$H$205,"Passive",Holdings!$K$6:$K$205,1)/$I$6))</f>
        <v/>
      </c>
      <c r="P42" s="41" t="str">
        <f>IF(A42="","",IF(OR($H$6=0,N42&lt;&gt;$H$6),"n.a.",SUMIFS(Holdings!$D$6:$D$205,Holdings!$A$6:$A$205,A42,Holdings!$H$6:$H$205,"Active",Holdings!$K$6:$K$205,1)/$J$6))</f>
        <v/>
      </c>
      <c r="Q42" s="41" t="str">
        <f>IF(A42="","",IF(OR($G$6=0,M42&lt;&gt;$G$6),"n.a.",SUMIFS(Holdings!$D$6:$D$205,Holdings!$A$6:$A$205,A42,Holdings!$H$6:$H$205,"Passive",Holdings!$K$6:$K$205,1)/Companies!I38))</f>
        <v/>
      </c>
      <c r="R42" s="41" t="str">
        <f>IF(A42="","",IF(OR($H$6=0,N42&lt;&gt;$H$6),"n.a.",SUMIFS(Holdings!$D$6:$D$205,Holdings!$A$6:$A$205,A42,Holdings!$H$6:$H$205,"Active",Holdings!$K$6:$K$205,1)/Companies!I38))</f>
        <v/>
      </c>
      <c r="S42" s="15" t="str">
        <f t="shared" si="4"/>
        <v/>
      </c>
      <c r="T42" s="46" t="str">
        <f t="array" ref="T42">IF(A42="","",IFNA(INDEX(Network!$L$14:$L$63,MATCH(A42,Network!$A$14:$A$63,0)),"n.a."))</f>
        <v/>
      </c>
      <c r="U42" s="46" t="str">
        <f>IF(A42="","",IF(OR(OR(COUNT(Rules!$B$45:$B$46)&lt;&gt;2,MIN(Rules!$B$45:$B$46)&lt;0,ABS(SUM(Rules!$B$45:$B$46)-1)&gt;0.000001),AND(Rules!$B$45&gt;0,NOT(ISNUMBER(I42))),AND(Rules!$B$46&gt;0,NOT(ISNUMBER(T42)))),"n.a.",IF(Rules!$B$45=0,0,Rules!$B$45*I42)+IF(Rules!$B$46=0,0,Rules!$B$46*T42)))</f>
        <v/>
      </c>
      <c r="V42" s="15" t="str">
        <f>IF(A42="","",IF(OR(COUNT(Rules!$B$45:$B$46)&lt;&gt;2,MIN(Rules!$B$45:$B$46)&lt;0,ABS(SUM(Rules!$B$45:$B$46)-1)&gt;0.000001),"Check combined weights",IF(AND(Rules!$B$45&gt;0,NOT(ISNUMBER(I42))),"Scale score unavailable",IF(AND(Rules!$B$46&gt;0,NOT(ISNUMBER(T42))),"Network review/score unavailable","Ready"))))</f>
        <v/>
      </c>
    </row>
    <row r="43" ht="24.0" customHeight="1">
      <c r="A43" s="15" t="str">
        <f>IF(Companies!R39=1,Companies!A39,"")</f>
        <v/>
      </c>
      <c r="B43" s="15" t="str">
        <f>IF(A43="","",Companies!C39)</f>
        <v/>
      </c>
      <c r="C43" s="15" t="str">
        <f>IF(A43="","",1+COUNTIFS(Companies!$R$6:$R$55,1,Companies!$I$6:$I$55,"&gt;"&amp;Companies!I39))</f>
        <v/>
      </c>
      <c r="D43" s="41" t="str">
        <f>IF(A43="","",Companies!I39/$D$6)</f>
        <v/>
      </c>
      <c r="E43" s="41" t="str">
        <f>IF(A43="","",IF($A$6&lt;&gt;"Ready","n.a.",Companies!K39/$E$6))</f>
        <v/>
      </c>
      <c r="F43" s="45" t="str">
        <f t="shared" si="1"/>
        <v/>
      </c>
      <c r="G43" s="46" t="str">
        <f>IF(A43="","",IF($B$6&lt;Rules!$B$12,"n.a.",100*(COUNTIFS(Companies!$R$6:$R$55,1,Companies!$I$6:$I$55,"&lt;"&amp;Companies!I39)+0.5*(COUNTIFS(Companies!$R$6:$R$55,1,Companies!$I$6:$I$55,Companies!I39)-1))/($B$6-1)))</f>
        <v/>
      </c>
      <c r="H43" s="46" t="str">
        <f>IF(A43="","",IF($A$6&lt;&gt;"Ready","n.a.",100*(COUNTIFS(Companies!$S$6:$S$55,1,Companies!$K$6:$K$55,"&lt;"&amp;Companies!K39)+0.5*(COUNTIFS(Companies!$S$6:$S$55,1,Companies!$K$6:$K$55,Companies!K39)-1))/($C$6-1)))</f>
        <v/>
      </c>
      <c r="I43" s="46" t="str">
        <f>IF(A43="","",IF($A$6&lt;&gt;"Ready","n.a.",Rules!$B$13*H43+Rules!$B$14*G43))</f>
        <v/>
      </c>
      <c r="J43" s="15" t="str">
        <f t="shared" si="2"/>
        <v/>
      </c>
      <c r="K43" s="15" t="str">
        <f t="shared" si="3"/>
        <v/>
      </c>
      <c r="L43" s="45" t="str">
        <f>IF(A43="","",IF(OR($B$6&lt;2,$D$6&lt;=Companies!I39),"n.a.",Companies!I39/(($D$6-Companies!I39)/($B$6-1))))</f>
        <v/>
      </c>
      <c r="M43" s="15" t="str">
        <f>IF(A43="","",COUNTIFS(Holdings!$A$6:$A$205,A43,Holdings!$H$6:$H$205,"Passive",Holdings!$K$6:$K$205,1))</f>
        <v/>
      </c>
      <c r="N43" s="15" t="str">
        <f>IF(A43="","",COUNTIFS(Holdings!$A$6:$A$205,A43,Holdings!$H$6:$H$205,"Active",Holdings!$K$6:$K$205,1))</f>
        <v/>
      </c>
      <c r="O43" s="41" t="str">
        <f>IF(A43="","",IF(OR($G$6=0,M43&lt;&gt;$G$6),"n.a.",SUMIFS(Holdings!$D$6:$D$205,Holdings!$A$6:$A$205,A43,Holdings!$H$6:$H$205,"Passive",Holdings!$K$6:$K$205,1)/$I$6))</f>
        <v/>
      </c>
      <c r="P43" s="41" t="str">
        <f>IF(A43="","",IF(OR($H$6=0,N43&lt;&gt;$H$6),"n.a.",SUMIFS(Holdings!$D$6:$D$205,Holdings!$A$6:$A$205,A43,Holdings!$H$6:$H$205,"Active",Holdings!$K$6:$K$205,1)/$J$6))</f>
        <v/>
      </c>
      <c r="Q43" s="41" t="str">
        <f>IF(A43="","",IF(OR($G$6=0,M43&lt;&gt;$G$6),"n.a.",SUMIFS(Holdings!$D$6:$D$205,Holdings!$A$6:$A$205,A43,Holdings!$H$6:$H$205,"Passive",Holdings!$K$6:$K$205,1)/Companies!I39))</f>
        <v/>
      </c>
      <c r="R43" s="41" t="str">
        <f>IF(A43="","",IF(OR($H$6=0,N43&lt;&gt;$H$6),"n.a.",SUMIFS(Holdings!$D$6:$D$205,Holdings!$A$6:$A$205,A43,Holdings!$H$6:$H$205,"Active",Holdings!$K$6:$K$205,1)/Companies!I39))</f>
        <v/>
      </c>
      <c r="S43" s="15" t="str">
        <f t="shared" si="4"/>
        <v/>
      </c>
      <c r="T43" s="46" t="str">
        <f t="array" ref="T43">IF(A43="","",IFNA(INDEX(Network!$L$14:$L$63,MATCH(A43,Network!$A$14:$A$63,0)),"n.a."))</f>
        <v/>
      </c>
      <c r="U43" s="46" t="str">
        <f>IF(A43="","",IF(OR(OR(COUNT(Rules!$B$45:$B$46)&lt;&gt;2,MIN(Rules!$B$45:$B$46)&lt;0,ABS(SUM(Rules!$B$45:$B$46)-1)&gt;0.000001),AND(Rules!$B$45&gt;0,NOT(ISNUMBER(I43))),AND(Rules!$B$46&gt;0,NOT(ISNUMBER(T43)))),"n.a.",IF(Rules!$B$45=0,0,Rules!$B$45*I43)+IF(Rules!$B$46=0,0,Rules!$B$46*T43)))</f>
        <v/>
      </c>
      <c r="V43" s="15" t="str">
        <f>IF(A43="","",IF(OR(COUNT(Rules!$B$45:$B$46)&lt;&gt;2,MIN(Rules!$B$45:$B$46)&lt;0,ABS(SUM(Rules!$B$45:$B$46)-1)&gt;0.000001),"Check combined weights",IF(AND(Rules!$B$45&gt;0,NOT(ISNUMBER(I43))),"Scale score unavailable",IF(AND(Rules!$B$46&gt;0,NOT(ISNUMBER(T43))),"Network review/score unavailable","Ready"))))</f>
        <v/>
      </c>
    </row>
    <row r="44" ht="24.0" customHeight="1">
      <c r="A44" s="15" t="str">
        <f>IF(Companies!R40=1,Companies!A40,"")</f>
        <v/>
      </c>
      <c r="B44" s="15" t="str">
        <f>IF(A44="","",Companies!C40)</f>
        <v/>
      </c>
      <c r="C44" s="15" t="str">
        <f>IF(A44="","",1+COUNTIFS(Companies!$R$6:$R$55,1,Companies!$I$6:$I$55,"&gt;"&amp;Companies!I40))</f>
        <v/>
      </c>
      <c r="D44" s="41" t="str">
        <f>IF(A44="","",Companies!I40/$D$6)</f>
        <v/>
      </c>
      <c r="E44" s="41" t="str">
        <f>IF(A44="","",IF($A$6&lt;&gt;"Ready","n.a.",Companies!K40/$E$6))</f>
        <v/>
      </c>
      <c r="F44" s="45" t="str">
        <f t="shared" si="1"/>
        <v/>
      </c>
      <c r="G44" s="46" t="str">
        <f>IF(A44="","",IF($B$6&lt;Rules!$B$12,"n.a.",100*(COUNTIFS(Companies!$R$6:$R$55,1,Companies!$I$6:$I$55,"&lt;"&amp;Companies!I40)+0.5*(COUNTIFS(Companies!$R$6:$R$55,1,Companies!$I$6:$I$55,Companies!I40)-1))/($B$6-1)))</f>
        <v/>
      </c>
      <c r="H44" s="46" t="str">
        <f>IF(A44="","",IF($A$6&lt;&gt;"Ready","n.a.",100*(COUNTIFS(Companies!$S$6:$S$55,1,Companies!$K$6:$K$55,"&lt;"&amp;Companies!K40)+0.5*(COUNTIFS(Companies!$S$6:$S$55,1,Companies!$K$6:$K$55,Companies!K40)-1))/($C$6-1)))</f>
        <v/>
      </c>
      <c r="I44" s="46" t="str">
        <f>IF(A44="","",IF($A$6&lt;&gt;"Ready","n.a.",Rules!$B$13*H44+Rules!$B$14*G44))</f>
        <v/>
      </c>
      <c r="J44" s="15" t="str">
        <f t="shared" si="2"/>
        <v/>
      </c>
      <c r="K44" s="15" t="str">
        <f t="shared" si="3"/>
        <v/>
      </c>
      <c r="L44" s="45" t="str">
        <f>IF(A44="","",IF(OR($B$6&lt;2,$D$6&lt;=Companies!I40),"n.a.",Companies!I40/(($D$6-Companies!I40)/($B$6-1))))</f>
        <v/>
      </c>
      <c r="M44" s="15" t="str">
        <f>IF(A44="","",COUNTIFS(Holdings!$A$6:$A$205,A44,Holdings!$H$6:$H$205,"Passive",Holdings!$K$6:$K$205,1))</f>
        <v/>
      </c>
      <c r="N44" s="15" t="str">
        <f>IF(A44="","",COUNTIFS(Holdings!$A$6:$A$205,A44,Holdings!$H$6:$H$205,"Active",Holdings!$K$6:$K$205,1))</f>
        <v/>
      </c>
      <c r="O44" s="41" t="str">
        <f>IF(A44="","",IF(OR($G$6=0,M44&lt;&gt;$G$6),"n.a.",SUMIFS(Holdings!$D$6:$D$205,Holdings!$A$6:$A$205,A44,Holdings!$H$6:$H$205,"Passive",Holdings!$K$6:$K$205,1)/$I$6))</f>
        <v/>
      </c>
      <c r="P44" s="41" t="str">
        <f>IF(A44="","",IF(OR($H$6=0,N44&lt;&gt;$H$6),"n.a.",SUMIFS(Holdings!$D$6:$D$205,Holdings!$A$6:$A$205,A44,Holdings!$H$6:$H$205,"Active",Holdings!$K$6:$K$205,1)/$J$6))</f>
        <v/>
      </c>
      <c r="Q44" s="41" t="str">
        <f>IF(A44="","",IF(OR($G$6=0,M44&lt;&gt;$G$6),"n.a.",SUMIFS(Holdings!$D$6:$D$205,Holdings!$A$6:$A$205,A44,Holdings!$H$6:$H$205,"Passive",Holdings!$K$6:$K$205,1)/Companies!I40))</f>
        <v/>
      </c>
      <c r="R44" s="41" t="str">
        <f>IF(A44="","",IF(OR($H$6=0,N44&lt;&gt;$H$6),"n.a.",SUMIFS(Holdings!$D$6:$D$205,Holdings!$A$6:$A$205,A44,Holdings!$H$6:$H$205,"Active",Holdings!$K$6:$K$205,1)/Companies!I40))</f>
        <v/>
      </c>
      <c r="S44" s="15" t="str">
        <f t="shared" si="4"/>
        <v/>
      </c>
      <c r="T44" s="46" t="str">
        <f t="array" ref="T44">IF(A44="","",IFNA(INDEX(Network!$L$14:$L$63,MATCH(A44,Network!$A$14:$A$63,0)),"n.a."))</f>
        <v/>
      </c>
      <c r="U44" s="46" t="str">
        <f>IF(A44="","",IF(OR(OR(COUNT(Rules!$B$45:$B$46)&lt;&gt;2,MIN(Rules!$B$45:$B$46)&lt;0,ABS(SUM(Rules!$B$45:$B$46)-1)&gt;0.000001),AND(Rules!$B$45&gt;0,NOT(ISNUMBER(I44))),AND(Rules!$B$46&gt;0,NOT(ISNUMBER(T44)))),"n.a.",IF(Rules!$B$45=0,0,Rules!$B$45*I44)+IF(Rules!$B$46=0,0,Rules!$B$46*T44)))</f>
        <v/>
      </c>
      <c r="V44" s="15" t="str">
        <f>IF(A44="","",IF(OR(COUNT(Rules!$B$45:$B$46)&lt;&gt;2,MIN(Rules!$B$45:$B$46)&lt;0,ABS(SUM(Rules!$B$45:$B$46)-1)&gt;0.000001),"Check combined weights",IF(AND(Rules!$B$45&gt;0,NOT(ISNUMBER(I44))),"Scale score unavailable",IF(AND(Rules!$B$46&gt;0,NOT(ISNUMBER(T44))),"Network review/score unavailable","Ready"))))</f>
        <v/>
      </c>
    </row>
    <row r="45" ht="24.0" customHeight="1">
      <c r="A45" s="15" t="str">
        <f>IF(Companies!R41=1,Companies!A41,"")</f>
        <v/>
      </c>
      <c r="B45" s="15" t="str">
        <f>IF(A45="","",Companies!C41)</f>
        <v/>
      </c>
      <c r="C45" s="15" t="str">
        <f>IF(A45="","",1+COUNTIFS(Companies!$R$6:$R$55,1,Companies!$I$6:$I$55,"&gt;"&amp;Companies!I41))</f>
        <v/>
      </c>
      <c r="D45" s="41" t="str">
        <f>IF(A45="","",Companies!I41/$D$6)</f>
        <v/>
      </c>
      <c r="E45" s="41" t="str">
        <f>IF(A45="","",IF($A$6&lt;&gt;"Ready","n.a.",Companies!K41/$E$6))</f>
        <v/>
      </c>
      <c r="F45" s="45" t="str">
        <f t="shared" si="1"/>
        <v/>
      </c>
      <c r="G45" s="46" t="str">
        <f>IF(A45="","",IF($B$6&lt;Rules!$B$12,"n.a.",100*(COUNTIFS(Companies!$R$6:$R$55,1,Companies!$I$6:$I$55,"&lt;"&amp;Companies!I41)+0.5*(COUNTIFS(Companies!$R$6:$R$55,1,Companies!$I$6:$I$55,Companies!I41)-1))/($B$6-1)))</f>
        <v/>
      </c>
      <c r="H45" s="46" t="str">
        <f>IF(A45="","",IF($A$6&lt;&gt;"Ready","n.a.",100*(COUNTIFS(Companies!$S$6:$S$55,1,Companies!$K$6:$K$55,"&lt;"&amp;Companies!K41)+0.5*(COUNTIFS(Companies!$S$6:$S$55,1,Companies!$K$6:$K$55,Companies!K41)-1))/($C$6-1)))</f>
        <v/>
      </c>
      <c r="I45" s="46" t="str">
        <f>IF(A45="","",IF($A$6&lt;&gt;"Ready","n.a.",Rules!$B$13*H45+Rules!$B$14*G45))</f>
        <v/>
      </c>
      <c r="J45" s="15" t="str">
        <f t="shared" si="2"/>
        <v/>
      </c>
      <c r="K45" s="15" t="str">
        <f t="shared" si="3"/>
        <v/>
      </c>
      <c r="L45" s="45" t="str">
        <f>IF(A45="","",IF(OR($B$6&lt;2,$D$6&lt;=Companies!I41),"n.a.",Companies!I41/(($D$6-Companies!I41)/($B$6-1))))</f>
        <v/>
      </c>
      <c r="M45" s="15" t="str">
        <f>IF(A45="","",COUNTIFS(Holdings!$A$6:$A$205,A45,Holdings!$H$6:$H$205,"Passive",Holdings!$K$6:$K$205,1))</f>
        <v/>
      </c>
      <c r="N45" s="15" t="str">
        <f>IF(A45="","",COUNTIFS(Holdings!$A$6:$A$205,A45,Holdings!$H$6:$H$205,"Active",Holdings!$K$6:$K$205,1))</f>
        <v/>
      </c>
      <c r="O45" s="41" t="str">
        <f>IF(A45="","",IF(OR($G$6=0,M45&lt;&gt;$G$6),"n.a.",SUMIFS(Holdings!$D$6:$D$205,Holdings!$A$6:$A$205,A45,Holdings!$H$6:$H$205,"Passive",Holdings!$K$6:$K$205,1)/$I$6))</f>
        <v/>
      </c>
      <c r="P45" s="41" t="str">
        <f>IF(A45="","",IF(OR($H$6=0,N45&lt;&gt;$H$6),"n.a.",SUMIFS(Holdings!$D$6:$D$205,Holdings!$A$6:$A$205,A45,Holdings!$H$6:$H$205,"Active",Holdings!$K$6:$K$205,1)/$J$6))</f>
        <v/>
      </c>
      <c r="Q45" s="41" t="str">
        <f>IF(A45="","",IF(OR($G$6=0,M45&lt;&gt;$G$6),"n.a.",SUMIFS(Holdings!$D$6:$D$205,Holdings!$A$6:$A$205,A45,Holdings!$H$6:$H$205,"Passive",Holdings!$K$6:$K$205,1)/Companies!I41))</f>
        <v/>
      </c>
      <c r="R45" s="41" t="str">
        <f>IF(A45="","",IF(OR($H$6=0,N45&lt;&gt;$H$6),"n.a.",SUMIFS(Holdings!$D$6:$D$205,Holdings!$A$6:$A$205,A45,Holdings!$H$6:$H$205,"Active",Holdings!$K$6:$K$205,1)/Companies!I41))</f>
        <v/>
      </c>
      <c r="S45" s="15" t="str">
        <f t="shared" si="4"/>
        <v/>
      </c>
      <c r="T45" s="46" t="str">
        <f t="array" ref="T45">IF(A45="","",IFNA(INDEX(Network!$L$14:$L$63,MATCH(A45,Network!$A$14:$A$63,0)),"n.a."))</f>
        <v/>
      </c>
      <c r="U45" s="46" t="str">
        <f>IF(A45="","",IF(OR(OR(COUNT(Rules!$B$45:$B$46)&lt;&gt;2,MIN(Rules!$B$45:$B$46)&lt;0,ABS(SUM(Rules!$B$45:$B$46)-1)&gt;0.000001),AND(Rules!$B$45&gt;0,NOT(ISNUMBER(I45))),AND(Rules!$B$46&gt;0,NOT(ISNUMBER(T45)))),"n.a.",IF(Rules!$B$45=0,0,Rules!$B$45*I45)+IF(Rules!$B$46=0,0,Rules!$B$46*T45)))</f>
        <v/>
      </c>
      <c r="V45" s="15" t="str">
        <f>IF(A45="","",IF(OR(COUNT(Rules!$B$45:$B$46)&lt;&gt;2,MIN(Rules!$B$45:$B$46)&lt;0,ABS(SUM(Rules!$B$45:$B$46)-1)&gt;0.000001),"Check combined weights",IF(AND(Rules!$B$45&gt;0,NOT(ISNUMBER(I45))),"Scale score unavailable",IF(AND(Rules!$B$46&gt;0,NOT(ISNUMBER(T45))),"Network review/score unavailable","Ready"))))</f>
        <v/>
      </c>
    </row>
    <row r="46" ht="24.0" customHeight="1">
      <c r="A46" s="15" t="str">
        <f>IF(Companies!R42=1,Companies!A42,"")</f>
        <v/>
      </c>
      <c r="B46" s="15" t="str">
        <f>IF(A46="","",Companies!C42)</f>
        <v/>
      </c>
      <c r="C46" s="15" t="str">
        <f>IF(A46="","",1+COUNTIFS(Companies!$R$6:$R$55,1,Companies!$I$6:$I$55,"&gt;"&amp;Companies!I42))</f>
        <v/>
      </c>
      <c r="D46" s="41" t="str">
        <f>IF(A46="","",Companies!I42/$D$6)</f>
        <v/>
      </c>
      <c r="E46" s="41" t="str">
        <f>IF(A46="","",IF($A$6&lt;&gt;"Ready","n.a.",Companies!K42/$E$6))</f>
        <v/>
      </c>
      <c r="F46" s="45" t="str">
        <f t="shared" si="1"/>
        <v/>
      </c>
      <c r="G46" s="46" t="str">
        <f>IF(A46="","",IF($B$6&lt;Rules!$B$12,"n.a.",100*(COUNTIFS(Companies!$R$6:$R$55,1,Companies!$I$6:$I$55,"&lt;"&amp;Companies!I42)+0.5*(COUNTIFS(Companies!$R$6:$R$55,1,Companies!$I$6:$I$55,Companies!I42)-1))/($B$6-1)))</f>
        <v/>
      </c>
      <c r="H46" s="46" t="str">
        <f>IF(A46="","",IF($A$6&lt;&gt;"Ready","n.a.",100*(COUNTIFS(Companies!$S$6:$S$55,1,Companies!$K$6:$K$55,"&lt;"&amp;Companies!K42)+0.5*(COUNTIFS(Companies!$S$6:$S$55,1,Companies!$K$6:$K$55,Companies!K42)-1))/($C$6-1)))</f>
        <v/>
      </c>
      <c r="I46" s="46" t="str">
        <f>IF(A46="","",IF($A$6&lt;&gt;"Ready","n.a.",Rules!$B$13*H46+Rules!$B$14*G46))</f>
        <v/>
      </c>
      <c r="J46" s="15" t="str">
        <f t="shared" si="2"/>
        <v/>
      </c>
      <c r="K46" s="15" t="str">
        <f t="shared" si="3"/>
        <v/>
      </c>
      <c r="L46" s="45" t="str">
        <f>IF(A46="","",IF(OR($B$6&lt;2,$D$6&lt;=Companies!I42),"n.a.",Companies!I42/(($D$6-Companies!I42)/($B$6-1))))</f>
        <v/>
      </c>
      <c r="M46" s="15" t="str">
        <f>IF(A46="","",COUNTIFS(Holdings!$A$6:$A$205,A46,Holdings!$H$6:$H$205,"Passive",Holdings!$K$6:$K$205,1))</f>
        <v/>
      </c>
      <c r="N46" s="15" t="str">
        <f>IF(A46="","",COUNTIFS(Holdings!$A$6:$A$205,A46,Holdings!$H$6:$H$205,"Active",Holdings!$K$6:$K$205,1))</f>
        <v/>
      </c>
      <c r="O46" s="41" t="str">
        <f>IF(A46="","",IF(OR($G$6=0,M46&lt;&gt;$G$6),"n.a.",SUMIFS(Holdings!$D$6:$D$205,Holdings!$A$6:$A$205,A46,Holdings!$H$6:$H$205,"Passive",Holdings!$K$6:$K$205,1)/$I$6))</f>
        <v/>
      </c>
      <c r="P46" s="41" t="str">
        <f>IF(A46="","",IF(OR($H$6=0,N46&lt;&gt;$H$6),"n.a.",SUMIFS(Holdings!$D$6:$D$205,Holdings!$A$6:$A$205,A46,Holdings!$H$6:$H$205,"Active",Holdings!$K$6:$K$205,1)/$J$6))</f>
        <v/>
      </c>
      <c r="Q46" s="41" t="str">
        <f>IF(A46="","",IF(OR($G$6=0,M46&lt;&gt;$G$6),"n.a.",SUMIFS(Holdings!$D$6:$D$205,Holdings!$A$6:$A$205,A46,Holdings!$H$6:$H$205,"Passive",Holdings!$K$6:$K$205,1)/Companies!I42))</f>
        <v/>
      </c>
      <c r="R46" s="41" t="str">
        <f>IF(A46="","",IF(OR($H$6=0,N46&lt;&gt;$H$6),"n.a.",SUMIFS(Holdings!$D$6:$D$205,Holdings!$A$6:$A$205,A46,Holdings!$H$6:$H$205,"Active",Holdings!$K$6:$K$205,1)/Companies!I42))</f>
        <v/>
      </c>
      <c r="S46" s="15" t="str">
        <f t="shared" si="4"/>
        <v/>
      </c>
      <c r="T46" s="46" t="str">
        <f t="array" ref="T46">IF(A46="","",IFNA(INDEX(Network!$L$14:$L$63,MATCH(A46,Network!$A$14:$A$63,0)),"n.a."))</f>
        <v/>
      </c>
      <c r="U46" s="46" t="str">
        <f>IF(A46="","",IF(OR(OR(COUNT(Rules!$B$45:$B$46)&lt;&gt;2,MIN(Rules!$B$45:$B$46)&lt;0,ABS(SUM(Rules!$B$45:$B$46)-1)&gt;0.000001),AND(Rules!$B$45&gt;0,NOT(ISNUMBER(I46))),AND(Rules!$B$46&gt;0,NOT(ISNUMBER(T46)))),"n.a.",IF(Rules!$B$45=0,0,Rules!$B$45*I46)+IF(Rules!$B$46=0,0,Rules!$B$46*T46)))</f>
        <v/>
      </c>
      <c r="V46" s="15" t="str">
        <f>IF(A46="","",IF(OR(COUNT(Rules!$B$45:$B$46)&lt;&gt;2,MIN(Rules!$B$45:$B$46)&lt;0,ABS(SUM(Rules!$B$45:$B$46)-1)&gt;0.000001),"Check combined weights",IF(AND(Rules!$B$45&gt;0,NOT(ISNUMBER(I46))),"Scale score unavailable",IF(AND(Rules!$B$46&gt;0,NOT(ISNUMBER(T46))),"Network review/score unavailable","Ready"))))</f>
        <v/>
      </c>
    </row>
    <row r="47" ht="24.0" customHeight="1">
      <c r="A47" s="15" t="str">
        <f>IF(Companies!R43=1,Companies!A43,"")</f>
        <v/>
      </c>
      <c r="B47" s="15" t="str">
        <f>IF(A47="","",Companies!C43)</f>
        <v/>
      </c>
      <c r="C47" s="15" t="str">
        <f>IF(A47="","",1+COUNTIFS(Companies!$R$6:$R$55,1,Companies!$I$6:$I$55,"&gt;"&amp;Companies!I43))</f>
        <v/>
      </c>
      <c r="D47" s="41" t="str">
        <f>IF(A47="","",Companies!I43/$D$6)</f>
        <v/>
      </c>
      <c r="E47" s="41" t="str">
        <f>IF(A47="","",IF($A$6&lt;&gt;"Ready","n.a.",Companies!K43/$E$6))</f>
        <v/>
      </c>
      <c r="F47" s="45" t="str">
        <f t="shared" si="1"/>
        <v/>
      </c>
      <c r="G47" s="46" t="str">
        <f>IF(A47="","",IF($B$6&lt;Rules!$B$12,"n.a.",100*(COUNTIFS(Companies!$R$6:$R$55,1,Companies!$I$6:$I$55,"&lt;"&amp;Companies!I43)+0.5*(COUNTIFS(Companies!$R$6:$R$55,1,Companies!$I$6:$I$55,Companies!I43)-1))/($B$6-1)))</f>
        <v/>
      </c>
      <c r="H47" s="46" t="str">
        <f>IF(A47="","",IF($A$6&lt;&gt;"Ready","n.a.",100*(COUNTIFS(Companies!$S$6:$S$55,1,Companies!$K$6:$K$55,"&lt;"&amp;Companies!K43)+0.5*(COUNTIFS(Companies!$S$6:$S$55,1,Companies!$K$6:$K$55,Companies!K43)-1))/($C$6-1)))</f>
        <v/>
      </c>
      <c r="I47" s="46" t="str">
        <f>IF(A47="","",IF($A$6&lt;&gt;"Ready","n.a.",Rules!$B$13*H47+Rules!$B$14*G47))</f>
        <v/>
      </c>
      <c r="J47" s="15" t="str">
        <f t="shared" si="2"/>
        <v/>
      </c>
      <c r="K47" s="15" t="str">
        <f t="shared" si="3"/>
        <v/>
      </c>
      <c r="L47" s="45" t="str">
        <f>IF(A47="","",IF(OR($B$6&lt;2,$D$6&lt;=Companies!I43),"n.a.",Companies!I43/(($D$6-Companies!I43)/($B$6-1))))</f>
        <v/>
      </c>
      <c r="M47" s="15" t="str">
        <f>IF(A47="","",COUNTIFS(Holdings!$A$6:$A$205,A47,Holdings!$H$6:$H$205,"Passive",Holdings!$K$6:$K$205,1))</f>
        <v/>
      </c>
      <c r="N47" s="15" t="str">
        <f>IF(A47="","",COUNTIFS(Holdings!$A$6:$A$205,A47,Holdings!$H$6:$H$205,"Active",Holdings!$K$6:$K$205,1))</f>
        <v/>
      </c>
      <c r="O47" s="41" t="str">
        <f>IF(A47="","",IF(OR($G$6=0,M47&lt;&gt;$G$6),"n.a.",SUMIFS(Holdings!$D$6:$D$205,Holdings!$A$6:$A$205,A47,Holdings!$H$6:$H$205,"Passive",Holdings!$K$6:$K$205,1)/$I$6))</f>
        <v/>
      </c>
      <c r="P47" s="41" t="str">
        <f>IF(A47="","",IF(OR($H$6=0,N47&lt;&gt;$H$6),"n.a.",SUMIFS(Holdings!$D$6:$D$205,Holdings!$A$6:$A$205,A47,Holdings!$H$6:$H$205,"Active",Holdings!$K$6:$K$205,1)/$J$6))</f>
        <v/>
      </c>
      <c r="Q47" s="41" t="str">
        <f>IF(A47="","",IF(OR($G$6=0,M47&lt;&gt;$G$6),"n.a.",SUMIFS(Holdings!$D$6:$D$205,Holdings!$A$6:$A$205,A47,Holdings!$H$6:$H$205,"Passive",Holdings!$K$6:$K$205,1)/Companies!I43))</f>
        <v/>
      </c>
      <c r="R47" s="41" t="str">
        <f>IF(A47="","",IF(OR($H$6=0,N47&lt;&gt;$H$6),"n.a.",SUMIFS(Holdings!$D$6:$D$205,Holdings!$A$6:$A$205,A47,Holdings!$H$6:$H$205,"Active",Holdings!$K$6:$K$205,1)/Companies!I43))</f>
        <v/>
      </c>
      <c r="S47" s="15" t="str">
        <f t="shared" si="4"/>
        <v/>
      </c>
      <c r="T47" s="46" t="str">
        <f t="array" ref="T47">IF(A47="","",IFNA(INDEX(Network!$L$14:$L$63,MATCH(A47,Network!$A$14:$A$63,0)),"n.a."))</f>
        <v/>
      </c>
      <c r="U47" s="46" t="str">
        <f>IF(A47="","",IF(OR(OR(COUNT(Rules!$B$45:$B$46)&lt;&gt;2,MIN(Rules!$B$45:$B$46)&lt;0,ABS(SUM(Rules!$B$45:$B$46)-1)&gt;0.000001),AND(Rules!$B$45&gt;0,NOT(ISNUMBER(I47))),AND(Rules!$B$46&gt;0,NOT(ISNUMBER(T47)))),"n.a.",IF(Rules!$B$45=0,0,Rules!$B$45*I47)+IF(Rules!$B$46=0,0,Rules!$B$46*T47)))</f>
        <v/>
      </c>
      <c r="V47" s="15" t="str">
        <f>IF(A47="","",IF(OR(COUNT(Rules!$B$45:$B$46)&lt;&gt;2,MIN(Rules!$B$45:$B$46)&lt;0,ABS(SUM(Rules!$B$45:$B$46)-1)&gt;0.000001),"Check combined weights",IF(AND(Rules!$B$45&gt;0,NOT(ISNUMBER(I47))),"Scale score unavailable",IF(AND(Rules!$B$46&gt;0,NOT(ISNUMBER(T47))),"Network review/score unavailable","Ready"))))</f>
        <v/>
      </c>
    </row>
    <row r="48" ht="24.0" customHeight="1">
      <c r="A48" s="15" t="str">
        <f>IF(Companies!R44=1,Companies!A44,"")</f>
        <v/>
      </c>
      <c r="B48" s="15" t="str">
        <f>IF(A48="","",Companies!C44)</f>
        <v/>
      </c>
      <c r="C48" s="15" t="str">
        <f>IF(A48="","",1+COUNTIFS(Companies!$R$6:$R$55,1,Companies!$I$6:$I$55,"&gt;"&amp;Companies!I44))</f>
        <v/>
      </c>
      <c r="D48" s="41" t="str">
        <f>IF(A48="","",Companies!I44/$D$6)</f>
        <v/>
      </c>
      <c r="E48" s="41" t="str">
        <f>IF(A48="","",IF($A$6&lt;&gt;"Ready","n.a.",Companies!K44/$E$6))</f>
        <v/>
      </c>
      <c r="F48" s="45" t="str">
        <f t="shared" si="1"/>
        <v/>
      </c>
      <c r="G48" s="46" t="str">
        <f>IF(A48="","",IF($B$6&lt;Rules!$B$12,"n.a.",100*(COUNTIFS(Companies!$R$6:$R$55,1,Companies!$I$6:$I$55,"&lt;"&amp;Companies!I44)+0.5*(COUNTIFS(Companies!$R$6:$R$55,1,Companies!$I$6:$I$55,Companies!I44)-1))/($B$6-1)))</f>
        <v/>
      </c>
      <c r="H48" s="46" t="str">
        <f>IF(A48="","",IF($A$6&lt;&gt;"Ready","n.a.",100*(COUNTIFS(Companies!$S$6:$S$55,1,Companies!$K$6:$K$55,"&lt;"&amp;Companies!K44)+0.5*(COUNTIFS(Companies!$S$6:$S$55,1,Companies!$K$6:$K$55,Companies!K44)-1))/($C$6-1)))</f>
        <v/>
      </c>
      <c r="I48" s="46" t="str">
        <f>IF(A48="","",IF($A$6&lt;&gt;"Ready","n.a.",Rules!$B$13*H48+Rules!$B$14*G48))</f>
        <v/>
      </c>
      <c r="J48" s="15" t="str">
        <f t="shared" si="2"/>
        <v/>
      </c>
      <c r="K48" s="15" t="str">
        <f t="shared" si="3"/>
        <v/>
      </c>
      <c r="L48" s="45" t="str">
        <f>IF(A48="","",IF(OR($B$6&lt;2,$D$6&lt;=Companies!I44),"n.a.",Companies!I44/(($D$6-Companies!I44)/($B$6-1))))</f>
        <v/>
      </c>
      <c r="M48" s="15" t="str">
        <f>IF(A48="","",COUNTIFS(Holdings!$A$6:$A$205,A48,Holdings!$H$6:$H$205,"Passive",Holdings!$K$6:$K$205,1))</f>
        <v/>
      </c>
      <c r="N48" s="15" t="str">
        <f>IF(A48="","",COUNTIFS(Holdings!$A$6:$A$205,A48,Holdings!$H$6:$H$205,"Active",Holdings!$K$6:$K$205,1))</f>
        <v/>
      </c>
      <c r="O48" s="41" t="str">
        <f>IF(A48="","",IF(OR($G$6=0,M48&lt;&gt;$G$6),"n.a.",SUMIFS(Holdings!$D$6:$D$205,Holdings!$A$6:$A$205,A48,Holdings!$H$6:$H$205,"Passive",Holdings!$K$6:$K$205,1)/$I$6))</f>
        <v/>
      </c>
      <c r="P48" s="41" t="str">
        <f>IF(A48="","",IF(OR($H$6=0,N48&lt;&gt;$H$6),"n.a.",SUMIFS(Holdings!$D$6:$D$205,Holdings!$A$6:$A$205,A48,Holdings!$H$6:$H$205,"Active",Holdings!$K$6:$K$205,1)/$J$6))</f>
        <v/>
      </c>
      <c r="Q48" s="41" t="str">
        <f>IF(A48="","",IF(OR($G$6=0,M48&lt;&gt;$G$6),"n.a.",SUMIFS(Holdings!$D$6:$D$205,Holdings!$A$6:$A$205,A48,Holdings!$H$6:$H$205,"Passive",Holdings!$K$6:$K$205,1)/Companies!I44))</f>
        <v/>
      </c>
      <c r="R48" s="41" t="str">
        <f>IF(A48="","",IF(OR($H$6=0,N48&lt;&gt;$H$6),"n.a.",SUMIFS(Holdings!$D$6:$D$205,Holdings!$A$6:$A$205,A48,Holdings!$H$6:$H$205,"Active",Holdings!$K$6:$K$205,1)/Companies!I44))</f>
        <v/>
      </c>
      <c r="S48" s="15" t="str">
        <f t="shared" si="4"/>
        <v/>
      </c>
      <c r="T48" s="46" t="str">
        <f t="array" ref="T48">IF(A48="","",IFNA(INDEX(Network!$L$14:$L$63,MATCH(A48,Network!$A$14:$A$63,0)),"n.a."))</f>
        <v/>
      </c>
      <c r="U48" s="46" t="str">
        <f>IF(A48="","",IF(OR(OR(COUNT(Rules!$B$45:$B$46)&lt;&gt;2,MIN(Rules!$B$45:$B$46)&lt;0,ABS(SUM(Rules!$B$45:$B$46)-1)&gt;0.000001),AND(Rules!$B$45&gt;0,NOT(ISNUMBER(I48))),AND(Rules!$B$46&gt;0,NOT(ISNUMBER(T48)))),"n.a.",IF(Rules!$B$45=0,0,Rules!$B$45*I48)+IF(Rules!$B$46=0,0,Rules!$B$46*T48)))</f>
        <v/>
      </c>
      <c r="V48" s="15" t="str">
        <f>IF(A48="","",IF(OR(COUNT(Rules!$B$45:$B$46)&lt;&gt;2,MIN(Rules!$B$45:$B$46)&lt;0,ABS(SUM(Rules!$B$45:$B$46)-1)&gt;0.000001),"Check combined weights",IF(AND(Rules!$B$45&gt;0,NOT(ISNUMBER(I48))),"Scale score unavailable",IF(AND(Rules!$B$46&gt;0,NOT(ISNUMBER(T48))),"Network review/score unavailable","Ready"))))</f>
        <v/>
      </c>
    </row>
    <row r="49" ht="24.0" customHeight="1">
      <c r="A49" s="15" t="str">
        <f>IF(Companies!R45=1,Companies!A45,"")</f>
        <v/>
      </c>
      <c r="B49" s="15" t="str">
        <f>IF(A49="","",Companies!C45)</f>
        <v/>
      </c>
      <c r="C49" s="15" t="str">
        <f>IF(A49="","",1+COUNTIFS(Companies!$R$6:$R$55,1,Companies!$I$6:$I$55,"&gt;"&amp;Companies!I45))</f>
        <v/>
      </c>
      <c r="D49" s="41" t="str">
        <f>IF(A49="","",Companies!I45/$D$6)</f>
        <v/>
      </c>
      <c r="E49" s="41" t="str">
        <f>IF(A49="","",IF($A$6&lt;&gt;"Ready","n.a.",Companies!K45/$E$6))</f>
        <v/>
      </c>
      <c r="F49" s="45" t="str">
        <f t="shared" si="1"/>
        <v/>
      </c>
      <c r="G49" s="46" t="str">
        <f>IF(A49="","",IF($B$6&lt;Rules!$B$12,"n.a.",100*(COUNTIFS(Companies!$R$6:$R$55,1,Companies!$I$6:$I$55,"&lt;"&amp;Companies!I45)+0.5*(COUNTIFS(Companies!$R$6:$R$55,1,Companies!$I$6:$I$55,Companies!I45)-1))/($B$6-1)))</f>
        <v/>
      </c>
      <c r="H49" s="46" t="str">
        <f>IF(A49="","",IF($A$6&lt;&gt;"Ready","n.a.",100*(COUNTIFS(Companies!$S$6:$S$55,1,Companies!$K$6:$K$55,"&lt;"&amp;Companies!K45)+0.5*(COUNTIFS(Companies!$S$6:$S$55,1,Companies!$K$6:$K$55,Companies!K45)-1))/($C$6-1)))</f>
        <v/>
      </c>
      <c r="I49" s="46" t="str">
        <f>IF(A49="","",IF($A$6&lt;&gt;"Ready","n.a.",Rules!$B$13*H49+Rules!$B$14*G49))</f>
        <v/>
      </c>
      <c r="J49" s="15" t="str">
        <f t="shared" si="2"/>
        <v/>
      </c>
      <c r="K49" s="15" t="str">
        <f t="shared" si="3"/>
        <v/>
      </c>
      <c r="L49" s="45" t="str">
        <f>IF(A49="","",IF(OR($B$6&lt;2,$D$6&lt;=Companies!I45),"n.a.",Companies!I45/(($D$6-Companies!I45)/($B$6-1))))</f>
        <v/>
      </c>
      <c r="M49" s="15" t="str">
        <f>IF(A49="","",COUNTIFS(Holdings!$A$6:$A$205,A49,Holdings!$H$6:$H$205,"Passive",Holdings!$K$6:$K$205,1))</f>
        <v/>
      </c>
      <c r="N49" s="15" t="str">
        <f>IF(A49="","",COUNTIFS(Holdings!$A$6:$A$205,A49,Holdings!$H$6:$H$205,"Active",Holdings!$K$6:$K$205,1))</f>
        <v/>
      </c>
      <c r="O49" s="41" t="str">
        <f>IF(A49="","",IF(OR($G$6=0,M49&lt;&gt;$G$6),"n.a.",SUMIFS(Holdings!$D$6:$D$205,Holdings!$A$6:$A$205,A49,Holdings!$H$6:$H$205,"Passive",Holdings!$K$6:$K$205,1)/$I$6))</f>
        <v/>
      </c>
      <c r="P49" s="41" t="str">
        <f>IF(A49="","",IF(OR($H$6=0,N49&lt;&gt;$H$6),"n.a.",SUMIFS(Holdings!$D$6:$D$205,Holdings!$A$6:$A$205,A49,Holdings!$H$6:$H$205,"Active",Holdings!$K$6:$K$205,1)/$J$6))</f>
        <v/>
      </c>
      <c r="Q49" s="41" t="str">
        <f>IF(A49="","",IF(OR($G$6=0,M49&lt;&gt;$G$6),"n.a.",SUMIFS(Holdings!$D$6:$D$205,Holdings!$A$6:$A$205,A49,Holdings!$H$6:$H$205,"Passive",Holdings!$K$6:$K$205,1)/Companies!I45))</f>
        <v/>
      </c>
      <c r="R49" s="41" t="str">
        <f>IF(A49="","",IF(OR($H$6=0,N49&lt;&gt;$H$6),"n.a.",SUMIFS(Holdings!$D$6:$D$205,Holdings!$A$6:$A$205,A49,Holdings!$H$6:$H$205,"Active",Holdings!$K$6:$K$205,1)/Companies!I45))</f>
        <v/>
      </c>
      <c r="S49" s="15" t="str">
        <f t="shared" si="4"/>
        <v/>
      </c>
      <c r="T49" s="46" t="str">
        <f t="array" ref="T49">IF(A49="","",IFNA(INDEX(Network!$L$14:$L$63,MATCH(A49,Network!$A$14:$A$63,0)),"n.a."))</f>
        <v/>
      </c>
      <c r="U49" s="46" t="str">
        <f>IF(A49="","",IF(OR(OR(COUNT(Rules!$B$45:$B$46)&lt;&gt;2,MIN(Rules!$B$45:$B$46)&lt;0,ABS(SUM(Rules!$B$45:$B$46)-1)&gt;0.000001),AND(Rules!$B$45&gt;0,NOT(ISNUMBER(I49))),AND(Rules!$B$46&gt;0,NOT(ISNUMBER(T49)))),"n.a.",IF(Rules!$B$45=0,0,Rules!$B$45*I49)+IF(Rules!$B$46=0,0,Rules!$B$46*T49)))</f>
        <v/>
      </c>
      <c r="V49" s="15" t="str">
        <f>IF(A49="","",IF(OR(COUNT(Rules!$B$45:$B$46)&lt;&gt;2,MIN(Rules!$B$45:$B$46)&lt;0,ABS(SUM(Rules!$B$45:$B$46)-1)&gt;0.000001),"Check combined weights",IF(AND(Rules!$B$45&gt;0,NOT(ISNUMBER(I49))),"Scale score unavailable",IF(AND(Rules!$B$46&gt;0,NOT(ISNUMBER(T49))),"Network review/score unavailable","Ready"))))</f>
        <v/>
      </c>
    </row>
    <row r="50" ht="24.0" customHeight="1">
      <c r="A50" s="15" t="str">
        <f>IF(Companies!R46=1,Companies!A46,"")</f>
        <v/>
      </c>
      <c r="B50" s="15" t="str">
        <f>IF(A50="","",Companies!C46)</f>
        <v/>
      </c>
      <c r="C50" s="15" t="str">
        <f>IF(A50="","",1+COUNTIFS(Companies!$R$6:$R$55,1,Companies!$I$6:$I$55,"&gt;"&amp;Companies!I46))</f>
        <v/>
      </c>
      <c r="D50" s="41" t="str">
        <f>IF(A50="","",Companies!I46/$D$6)</f>
        <v/>
      </c>
      <c r="E50" s="41" t="str">
        <f>IF(A50="","",IF($A$6&lt;&gt;"Ready","n.a.",Companies!K46/$E$6))</f>
        <v/>
      </c>
      <c r="F50" s="45" t="str">
        <f t="shared" si="1"/>
        <v/>
      </c>
      <c r="G50" s="46" t="str">
        <f>IF(A50="","",IF($B$6&lt;Rules!$B$12,"n.a.",100*(COUNTIFS(Companies!$R$6:$R$55,1,Companies!$I$6:$I$55,"&lt;"&amp;Companies!I46)+0.5*(COUNTIFS(Companies!$R$6:$R$55,1,Companies!$I$6:$I$55,Companies!I46)-1))/($B$6-1)))</f>
        <v/>
      </c>
      <c r="H50" s="46" t="str">
        <f>IF(A50="","",IF($A$6&lt;&gt;"Ready","n.a.",100*(COUNTIFS(Companies!$S$6:$S$55,1,Companies!$K$6:$K$55,"&lt;"&amp;Companies!K46)+0.5*(COUNTIFS(Companies!$S$6:$S$55,1,Companies!$K$6:$K$55,Companies!K46)-1))/($C$6-1)))</f>
        <v/>
      </c>
      <c r="I50" s="46" t="str">
        <f>IF(A50="","",IF($A$6&lt;&gt;"Ready","n.a.",Rules!$B$13*H50+Rules!$B$14*G50))</f>
        <v/>
      </c>
      <c r="J50" s="15" t="str">
        <f t="shared" si="2"/>
        <v/>
      </c>
      <c r="K50" s="15" t="str">
        <f t="shared" si="3"/>
        <v/>
      </c>
      <c r="L50" s="45" t="str">
        <f>IF(A50="","",IF(OR($B$6&lt;2,$D$6&lt;=Companies!I46),"n.a.",Companies!I46/(($D$6-Companies!I46)/($B$6-1))))</f>
        <v/>
      </c>
      <c r="M50" s="15" t="str">
        <f>IF(A50="","",COUNTIFS(Holdings!$A$6:$A$205,A50,Holdings!$H$6:$H$205,"Passive",Holdings!$K$6:$K$205,1))</f>
        <v/>
      </c>
      <c r="N50" s="15" t="str">
        <f>IF(A50="","",COUNTIFS(Holdings!$A$6:$A$205,A50,Holdings!$H$6:$H$205,"Active",Holdings!$K$6:$K$205,1))</f>
        <v/>
      </c>
      <c r="O50" s="41" t="str">
        <f>IF(A50="","",IF(OR($G$6=0,M50&lt;&gt;$G$6),"n.a.",SUMIFS(Holdings!$D$6:$D$205,Holdings!$A$6:$A$205,A50,Holdings!$H$6:$H$205,"Passive",Holdings!$K$6:$K$205,1)/$I$6))</f>
        <v/>
      </c>
      <c r="P50" s="41" t="str">
        <f>IF(A50="","",IF(OR($H$6=0,N50&lt;&gt;$H$6),"n.a.",SUMIFS(Holdings!$D$6:$D$205,Holdings!$A$6:$A$205,A50,Holdings!$H$6:$H$205,"Active",Holdings!$K$6:$K$205,1)/$J$6))</f>
        <v/>
      </c>
      <c r="Q50" s="41" t="str">
        <f>IF(A50="","",IF(OR($G$6=0,M50&lt;&gt;$G$6),"n.a.",SUMIFS(Holdings!$D$6:$D$205,Holdings!$A$6:$A$205,A50,Holdings!$H$6:$H$205,"Passive",Holdings!$K$6:$K$205,1)/Companies!I46))</f>
        <v/>
      </c>
      <c r="R50" s="41" t="str">
        <f>IF(A50="","",IF(OR($H$6=0,N50&lt;&gt;$H$6),"n.a.",SUMIFS(Holdings!$D$6:$D$205,Holdings!$A$6:$A$205,A50,Holdings!$H$6:$H$205,"Active",Holdings!$K$6:$K$205,1)/Companies!I46))</f>
        <v/>
      </c>
      <c r="S50" s="15" t="str">
        <f t="shared" si="4"/>
        <v/>
      </c>
      <c r="T50" s="46" t="str">
        <f t="array" ref="T50">IF(A50="","",IFNA(INDEX(Network!$L$14:$L$63,MATCH(A50,Network!$A$14:$A$63,0)),"n.a."))</f>
        <v/>
      </c>
      <c r="U50" s="46" t="str">
        <f>IF(A50="","",IF(OR(OR(COUNT(Rules!$B$45:$B$46)&lt;&gt;2,MIN(Rules!$B$45:$B$46)&lt;0,ABS(SUM(Rules!$B$45:$B$46)-1)&gt;0.000001),AND(Rules!$B$45&gt;0,NOT(ISNUMBER(I50))),AND(Rules!$B$46&gt;0,NOT(ISNUMBER(T50)))),"n.a.",IF(Rules!$B$45=0,0,Rules!$B$45*I50)+IF(Rules!$B$46=0,0,Rules!$B$46*T50)))</f>
        <v/>
      </c>
      <c r="V50" s="15" t="str">
        <f>IF(A50="","",IF(OR(COUNT(Rules!$B$45:$B$46)&lt;&gt;2,MIN(Rules!$B$45:$B$46)&lt;0,ABS(SUM(Rules!$B$45:$B$46)-1)&gt;0.000001),"Check combined weights",IF(AND(Rules!$B$45&gt;0,NOT(ISNUMBER(I50))),"Scale score unavailable",IF(AND(Rules!$B$46&gt;0,NOT(ISNUMBER(T50))),"Network review/score unavailable","Ready"))))</f>
        <v/>
      </c>
    </row>
    <row r="51" ht="24.0" customHeight="1">
      <c r="A51" s="15" t="str">
        <f>IF(Companies!R47=1,Companies!A47,"")</f>
        <v/>
      </c>
      <c r="B51" s="15" t="str">
        <f>IF(A51="","",Companies!C47)</f>
        <v/>
      </c>
      <c r="C51" s="15" t="str">
        <f>IF(A51="","",1+COUNTIFS(Companies!$R$6:$R$55,1,Companies!$I$6:$I$55,"&gt;"&amp;Companies!I47))</f>
        <v/>
      </c>
      <c r="D51" s="41" t="str">
        <f>IF(A51="","",Companies!I47/$D$6)</f>
        <v/>
      </c>
      <c r="E51" s="41" t="str">
        <f>IF(A51="","",IF($A$6&lt;&gt;"Ready","n.a.",Companies!K47/$E$6))</f>
        <v/>
      </c>
      <c r="F51" s="45" t="str">
        <f t="shared" si="1"/>
        <v/>
      </c>
      <c r="G51" s="46" t="str">
        <f>IF(A51="","",IF($B$6&lt;Rules!$B$12,"n.a.",100*(COUNTIFS(Companies!$R$6:$R$55,1,Companies!$I$6:$I$55,"&lt;"&amp;Companies!I47)+0.5*(COUNTIFS(Companies!$R$6:$R$55,1,Companies!$I$6:$I$55,Companies!I47)-1))/($B$6-1)))</f>
        <v/>
      </c>
      <c r="H51" s="46" t="str">
        <f>IF(A51="","",IF($A$6&lt;&gt;"Ready","n.a.",100*(COUNTIFS(Companies!$S$6:$S$55,1,Companies!$K$6:$K$55,"&lt;"&amp;Companies!K47)+0.5*(COUNTIFS(Companies!$S$6:$S$55,1,Companies!$K$6:$K$55,Companies!K47)-1))/($C$6-1)))</f>
        <v/>
      </c>
      <c r="I51" s="46" t="str">
        <f>IF(A51="","",IF($A$6&lt;&gt;"Ready","n.a.",Rules!$B$13*H51+Rules!$B$14*G51))</f>
        <v/>
      </c>
      <c r="J51" s="15" t="str">
        <f t="shared" si="2"/>
        <v/>
      </c>
      <c r="K51" s="15" t="str">
        <f t="shared" si="3"/>
        <v/>
      </c>
      <c r="L51" s="45" t="str">
        <f>IF(A51="","",IF(OR($B$6&lt;2,$D$6&lt;=Companies!I47),"n.a.",Companies!I47/(($D$6-Companies!I47)/($B$6-1))))</f>
        <v/>
      </c>
      <c r="M51" s="15" t="str">
        <f>IF(A51="","",COUNTIFS(Holdings!$A$6:$A$205,A51,Holdings!$H$6:$H$205,"Passive",Holdings!$K$6:$K$205,1))</f>
        <v/>
      </c>
      <c r="N51" s="15" t="str">
        <f>IF(A51="","",COUNTIFS(Holdings!$A$6:$A$205,A51,Holdings!$H$6:$H$205,"Active",Holdings!$K$6:$K$205,1))</f>
        <v/>
      </c>
      <c r="O51" s="41" t="str">
        <f>IF(A51="","",IF(OR($G$6=0,M51&lt;&gt;$G$6),"n.a.",SUMIFS(Holdings!$D$6:$D$205,Holdings!$A$6:$A$205,A51,Holdings!$H$6:$H$205,"Passive",Holdings!$K$6:$K$205,1)/$I$6))</f>
        <v/>
      </c>
      <c r="P51" s="41" t="str">
        <f>IF(A51="","",IF(OR($H$6=0,N51&lt;&gt;$H$6),"n.a.",SUMIFS(Holdings!$D$6:$D$205,Holdings!$A$6:$A$205,A51,Holdings!$H$6:$H$205,"Active",Holdings!$K$6:$K$205,1)/$J$6))</f>
        <v/>
      </c>
      <c r="Q51" s="41" t="str">
        <f>IF(A51="","",IF(OR($G$6=0,M51&lt;&gt;$G$6),"n.a.",SUMIFS(Holdings!$D$6:$D$205,Holdings!$A$6:$A$205,A51,Holdings!$H$6:$H$205,"Passive",Holdings!$K$6:$K$205,1)/Companies!I47))</f>
        <v/>
      </c>
      <c r="R51" s="41" t="str">
        <f>IF(A51="","",IF(OR($H$6=0,N51&lt;&gt;$H$6),"n.a.",SUMIFS(Holdings!$D$6:$D$205,Holdings!$A$6:$A$205,A51,Holdings!$H$6:$H$205,"Active",Holdings!$K$6:$K$205,1)/Companies!I47))</f>
        <v/>
      </c>
      <c r="S51" s="15" t="str">
        <f t="shared" si="4"/>
        <v/>
      </c>
      <c r="T51" s="46" t="str">
        <f t="array" ref="T51">IF(A51="","",IFNA(INDEX(Network!$L$14:$L$63,MATCH(A51,Network!$A$14:$A$63,0)),"n.a."))</f>
        <v/>
      </c>
      <c r="U51" s="46" t="str">
        <f>IF(A51="","",IF(OR(OR(COUNT(Rules!$B$45:$B$46)&lt;&gt;2,MIN(Rules!$B$45:$B$46)&lt;0,ABS(SUM(Rules!$B$45:$B$46)-1)&gt;0.000001),AND(Rules!$B$45&gt;0,NOT(ISNUMBER(I51))),AND(Rules!$B$46&gt;0,NOT(ISNUMBER(T51)))),"n.a.",IF(Rules!$B$45=0,0,Rules!$B$45*I51)+IF(Rules!$B$46=0,0,Rules!$B$46*T51)))</f>
        <v/>
      </c>
      <c r="V51" s="15" t="str">
        <f>IF(A51="","",IF(OR(COUNT(Rules!$B$45:$B$46)&lt;&gt;2,MIN(Rules!$B$45:$B$46)&lt;0,ABS(SUM(Rules!$B$45:$B$46)-1)&gt;0.000001),"Check combined weights",IF(AND(Rules!$B$45&gt;0,NOT(ISNUMBER(I51))),"Scale score unavailable",IF(AND(Rules!$B$46&gt;0,NOT(ISNUMBER(T51))),"Network review/score unavailable","Ready"))))</f>
        <v/>
      </c>
    </row>
    <row r="52" ht="24.0" customHeight="1">
      <c r="A52" s="15" t="str">
        <f>IF(Companies!R48=1,Companies!A48,"")</f>
        <v/>
      </c>
      <c r="B52" s="15" t="str">
        <f>IF(A52="","",Companies!C48)</f>
        <v/>
      </c>
      <c r="C52" s="15" t="str">
        <f>IF(A52="","",1+COUNTIFS(Companies!$R$6:$R$55,1,Companies!$I$6:$I$55,"&gt;"&amp;Companies!I48))</f>
        <v/>
      </c>
      <c r="D52" s="41" t="str">
        <f>IF(A52="","",Companies!I48/$D$6)</f>
        <v/>
      </c>
      <c r="E52" s="41" t="str">
        <f>IF(A52="","",IF($A$6&lt;&gt;"Ready","n.a.",Companies!K48/$E$6))</f>
        <v/>
      </c>
      <c r="F52" s="45" t="str">
        <f t="shared" si="1"/>
        <v/>
      </c>
      <c r="G52" s="46" t="str">
        <f>IF(A52="","",IF($B$6&lt;Rules!$B$12,"n.a.",100*(COUNTIFS(Companies!$R$6:$R$55,1,Companies!$I$6:$I$55,"&lt;"&amp;Companies!I48)+0.5*(COUNTIFS(Companies!$R$6:$R$55,1,Companies!$I$6:$I$55,Companies!I48)-1))/($B$6-1)))</f>
        <v/>
      </c>
      <c r="H52" s="46" t="str">
        <f>IF(A52="","",IF($A$6&lt;&gt;"Ready","n.a.",100*(COUNTIFS(Companies!$S$6:$S$55,1,Companies!$K$6:$K$55,"&lt;"&amp;Companies!K48)+0.5*(COUNTIFS(Companies!$S$6:$S$55,1,Companies!$K$6:$K$55,Companies!K48)-1))/($C$6-1)))</f>
        <v/>
      </c>
      <c r="I52" s="46" t="str">
        <f>IF(A52="","",IF($A$6&lt;&gt;"Ready","n.a.",Rules!$B$13*H52+Rules!$B$14*G52))</f>
        <v/>
      </c>
      <c r="J52" s="15" t="str">
        <f t="shared" si="2"/>
        <v/>
      </c>
      <c r="K52" s="15" t="str">
        <f t="shared" si="3"/>
        <v/>
      </c>
      <c r="L52" s="45" t="str">
        <f>IF(A52="","",IF(OR($B$6&lt;2,$D$6&lt;=Companies!I48),"n.a.",Companies!I48/(($D$6-Companies!I48)/($B$6-1))))</f>
        <v/>
      </c>
      <c r="M52" s="15" t="str">
        <f>IF(A52="","",COUNTIFS(Holdings!$A$6:$A$205,A52,Holdings!$H$6:$H$205,"Passive",Holdings!$K$6:$K$205,1))</f>
        <v/>
      </c>
      <c r="N52" s="15" t="str">
        <f>IF(A52="","",COUNTIFS(Holdings!$A$6:$A$205,A52,Holdings!$H$6:$H$205,"Active",Holdings!$K$6:$K$205,1))</f>
        <v/>
      </c>
      <c r="O52" s="41" t="str">
        <f>IF(A52="","",IF(OR($G$6=0,M52&lt;&gt;$G$6),"n.a.",SUMIFS(Holdings!$D$6:$D$205,Holdings!$A$6:$A$205,A52,Holdings!$H$6:$H$205,"Passive",Holdings!$K$6:$K$205,1)/$I$6))</f>
        <v/>
      </c>
      <c r="P52" s="41" t="str">
        <f>IF(A52="","",IF(OR($H$6=0,N52&lt;&gt;$H$6),"n.a.",SUMIFS(Holdings!$D$6:$D$205,Holdings!$A$6:$A$205,A52,Holdings!$H$6:$H$205,"Active",Holdings!$K$6:$K$205,1)/$J$6))</f>
        <v/>
      </c>
      <c r="Q52" s="41" t="str">
        <f>IF(A52="","",IF(OR($G$6=0,M52&lt;&gt;$G$6),"n.a.",SUMIFS(Holdings!$D$6:$D$205,Holdings!$A$6:$A$205,A52,Holdings!$H$6:$H$205,"Passive",Holdings!$K$6:$K$205,1)/Companies!I48))</f>
        <v/>
      </c>
      <c r="R52" s="41" t="str">
        <f>IF(A52="","",IF(OR($H$6=0,N52&lt;&gt;$H$6),"n.a.",SUMIFS(Holdings!$D$6:$D$205,Holdings!$A$6:$A$205,A52,Holdings!$H$6:$H$205,"Active",Holdings!$K$6:$K$205,1)/Companies!I48))</f>
        <v/>
      </c>
      <c r="S52" s="15" t="str">
        <f t="shared" si="4"/>
        <v/>
      </c>
      <c r="T52" s="46" t="str">
        <f t="array" ref="T52">IF(A52="","",IFNA(INDEX(Network!$L$14:$L$63,MATCH(A52,Network!$A$14:$A$63,0)),"n.a."))</f>
        <v/>
      </c>
      <c r="U52" s="46" t="str">
        <f>IF(A52="","",IF(OR(OR(COUNT(Rules!$B$45:$B$46)&lt;&gt;2,MIN(Rules!$B$45:$B$46)&lt;0,ABS(SUM(Rules!$B$45:$B$46)-1)&gt;0.000001),AND(Rules!$B$45&gt;0,NOT(ISNUMBER(I52))),AND(Rules!$B$46&gt;0,NOT(ISNUMBER(T52)))),"n.a.",IF(Rules!$B$45=0,0,Rules!$B$45*I52)+IF(Rules!$B$46=0,0,Rules!$B$46*T52)))</f>
        <v/>
      </c>
      <c r="V52" s="15" t="str">
        <f>IF(A52="","",IF(OR(COUNT(Rules!$B$45:$B$46)&lt;&gt;2,MIN(Rules!$B$45:$B$46)&lt;0,ABS(SUM(Rules!$B$45:$B$46)-1)&gt;0.000001),"Check combined weights",IF(AND(Rules!$B$45&gt;0,NOT(ISNUMBER(I52))),"Scale score unavailable",IF(AND(Rules!$B$46&gt;0,NOT(ISNUMBER(T52))),"Network review/score unavailable","Ready"))))</f>
        <v/>
      </c>
    </row>
    <row r="53" ht="24.0" customHeight="1">
      <c r="A53" s="15" t="str">
        <f>IF(Companies!R49=1,Companies!A49,"")</f>
        <v/>
      </c>
      <c r="B53" s="15" t="str">
        <f>IF(A53="","",Companies!C49)</f>
        <v/>
      </c>
      <c r="C53" s="15" t="str">
        <f>IF(A53="","",1+COUNTIFS(Companies!$R$6:$R$55,1,Companies!$I$6:$I$55,"&gt;"&amp;Companies!I49))</f>
        <v/>
      </c>
      <c r="D53" s="41" t="str">
        <f>IF(A53="","",Companies!I49/$D$6)</f>
        <v/>
      </c>
      <c r="E53" s="41" t="str">
        <f>IF(A53="","",IF($A$6&lt;&gt;"Ready","n.a.",Companies!K49/$E$6))</f>
        <v/>
      </c>
      <c r="F53" s="45" t="str">
        <f t="shared" si="1"/>
        <v/>
      </c>
      <c r="G53" s="46" t="str">
        <f>IF(A53="","",IF($B$6&lt;Rules!$B$12,"n.a.",100*(COUNTIFS(Companies!$R$6:$R$55,1,Companies!$I$6:$I$55,"&lt;"&amp;Companies!I49)+0.5*(COUNTIFS(Companies!$R$6:$R$55,1,Companies!$I$6:$I$55,Companies!I49)-1))/($B$6-1)))</f>
        <v/>
      </c>
      <c r="H53" s="46" t="str">
        <f>IF(A53="","",IF($A$6&lt;&gt;"Ready","n.a.",100*(COUNTIFS(Companies!$S$6:$S$55,1,Companies!$K$6:$K$55,"&lt;"&amp;Companies!K49)+0.5*(COUNTIFS(Companies!$S$6:$S$55,1,Companies!$K$6:$K$55,Companies!K49)-1))/($C$6-1)))</f>
        <v/>
      </c>
      <c r="I53" s="46" t="str">
        <f>IF(A53="","",IF($A$6&lt;&gt;"Ready","n.a.",Rules!$B$13*H53+Rules!$B$14*G53))</f>
        <v/>
      </c>
      <c r="J53" s="15" t="str">
        <f t="shared" si="2"/>
        <v/>
      </c>
      <c r="K53" s="15" t="str">
        <f t="shared" si="3"/>
        <v/>
      </c>
      <c r="L53" s="45" t="str">
        <f>IF(A53="","",IF(OR($B$6&lt;2,$D$6&lt;=Companies!I49),"n.a.",Companies!I49/(($D$6-Companies!I49)/($B$6-1))))</f>
        <v/>
      </c>
      <c r="M53" s="15" t="str">
        <f>IF(A53="","",COUNTIFS(Holdings!$A$6:$A$205,A53,Holdings!$H$6:$H$205,"Passive",Holdings!$K$6:$K$205,1))</f>
        <v/>
      </c>
      <c r="N53" s="15" t="str">
        <f>IF(A53="","",COUNTIFS(Holdings!$A$6:$A$205,A53,Holdings!$H$6:$H$205,"Active",Holdings!$K$6:$K$205,1))</f>
        <v/>
      </c>
      <c r="O53" s="41" t="str">
        <f>IF(A53="","",IF(OR($G$6=0,M53&lt;&gt;$G$6),"n.a.",SUMIFS(Holdings!$D$6:$D$205,Holdings!$A$6:$A$205,A53,Holdings!$H$6:$H$205,"Passive",Holdings!$K$6:$K$205,1)/$I$6))</f>
        <v/>
      </c>
      <c r="P53" s="41" t="str">
        <f>IF(A53="","",IF(OR($H$6=0,N53&lt;&gt;$H$6),"n.a.",SUMIFS(Holdings!$D$6:$D$205,Holdings!$A$6:$A$205,A53,Holdings!$H$6:$H$205,"Active",Holdings!$K$6:$K$205,1)/$J$6))</f>
        <v/>
      </c>
      <c r="Q53" s="41" t="str">
        <f>IF(A53="","",IF(OR($G$6=0,M53&lt;&gt;$G$6),"n.a.",SUMIFS(Holdings!$D$6:$D$205,Holdings!$A$6:$A$205,A53,Holdings!$H$6:$H$205,"Passive",Holdings!$K$6:$K$205,1)/Companies!I49))</f>
        <v/>
      </c>
      <c r="R53" s="41" t="str">
        <f>IF(A53="","",IF(OR($H$6=0,N53&lt;&gt;$H$6),"n.a.",SUMIFS(Holdings!$D$6:$D$205,Holdings!$A$6:$A$205,A53,Holdings!$H$6:$H$205,"Active",Holdings!$K$6:$K$205,1)/Companies!I49))</f>
        <v/>
      </c>
      <c r="S53" s="15" t="str">
        <f t="shared" si="4"/>
        <v/>
      </c>
      <c r="T53" s="46" t="str">
        <f t="array" ref="T53">IF(A53="","",IFNA(INDEX(Network!$L$14:$L$63,MATCH(A53,Network!$A$14:$A$63,0)),"n.a."))</f>
        <v/>
      </c>
      <c r="U53" s="46" t="str">
        <f>IF(A53="","",IF(OR(OR(COUNT(Rules!$B$45:$B$46)&lt;&gt;2,MIN(Rules!$B$45:$B$46)&lt;0,ABS(SUM(Rules!$B$45:$B$46)-1)&gt;0.000001),AND(Rules!$B$45&gt;0,NOT(ISNUMBER(I53))),AND(Rules!$B$46&gt;0,NOT(ISNUMBER(T53)))),"n.a.",IF(Rules!$B$45=0,0,Rules!$B$45*I53)+IF(Rules!$B$46=0,0,Rules!$B$46*T53)))</f>
        <v/>
      </c>
      <c r="V53" s="15" t="str">
        <f>IF(A53="","",IF(OR(COUNT(Rules!$B$45:$B$46)&lt;&gt;2,MIN(Rules!$B$45:$B$46)&lt;0,ABS(SUM(Rules!$B$45:$B$46)-1)&gt;0.000001),"Check combined weights",IF(AND(Rules!$B$45&gt;0,NOT(ISNUMBER(I53))),"Scale score unavailable",IF(AND(Rules!$B$46&gt;0,NOT(ISNUMBER(T53))),"Network review/score unavailable","Ready"))))</f>
        <v/>
      </c>
    </row>
    <row r="54" ht="24.0" customHeight="1">
      <c r="A54" s="15" t="str">
        <f>IF(Companies!R50=1,Companies!A50,"")</f>
        <v/>
      </c>
      <c r="B54" s="15" t="str">
        <f>IF(A54="","",Companies!C50)</f>
        <v/>
      </c>
      <c r="C54" s="15" t="str">
        <f>IF(A54="","",1+COUNTIFS(Companies!$R$6:$R$55,1,Companies!$I$6:$I$55,"&gt;"&amp;Companies!I50))</f>
        <v/>
      </c>
      <c r="D54" s="41" t="str">
        <f>IF(A54="","",Companies!I50/$D$6)</f>
        <v/>
      </c>
      <c r="E54" s="41" t="str">
        <f>IF(A54="","",IF($A$6&lt;&gt;"Ready","n.a.",Companies!K50/$E$6))</f>
        <v/>
      </c>
      <c r="F54" s="45" t="str">
        <f t="shared" si="1"/>
        <v/>
      </c>
      <c r="G54" s="46" t="str">
        <f>IF(A54="","",IF($B$6&lt;Rules!$B$12,"n.a.",100*(COUNTIFS(Companies!$R$6:$R$55,1,Companies!$I$6:$I$55,"&lt;"&amp;Companies!I50)+0.5*(COUNTIFS(Companies!$R$6:$R$55,1,Companies!$I$6:$I$55,Companies!I50)-1))/($B$6-1)))</f>
        <v/>
      </c>
      <c r="H54" s="46" t="str">
        <f>IF(A54="","",IF($A$6&lt;&gt;"Ready","n.a.",100*(COUNTIFS(Companies!$S$6:$S$55,1,Companies!$K$6:$K$55,"&lt;"&amp;Companies!K50)+0.5*(COUNTIFS(Companies!$S$6:$S$55,1,Companies!$K$6:$K$55,Companies!K50)-1))/($C$6-1)))</f>
        <v/>
      </c>
      <c r="I54" s="46" t="str">
        <f>IF(A54="","",IF($A$6&lt;&gt;"Ready","n.a.",Rules!$B$13*H54+Rules!$B$14*G54))</f>
        <v/>
      </c>
      <c r="J54" s="15" t="str">
        <f t="shared" si="2"/>
        <v/>
      </c>
      <c r="K54" s="15" t="str">
        <f t="shared" si="3"/>
        <v/>
      </c>
      <c r="L54" s="45" t="str">
        <f>IF(A54="","",IF(OR($B$6&lt;2,$D$6&lt;=Companies!I50),"n.a.",Companies!I50/(($D$6-Companies!I50)/($B$6-1))))</f>
        <v/>
      </c>
      <c r="M54" s="15" t="str">
        <f>IF(A54="","",COUNTIFS(Holdings!$A$6:$A$205,A54,Holdings!$H$6:$H$205,"Passive",Holdings!$K$6:$K$205,1))</f>
        <v/>
      </c>
      <c r="N54" s="15" t="str">
        <f>IF(A54="","",COUNTIFS(Holdings!$A$6:$A$205,A54,Holdings!$H$6:$H$205,"Active",Holdings!$K$6:$K$205,1))</f>
        <v/>
      </c>
      <c r="O54" s="41" t="str">
        <f>IF(A54="","",IF(OR($G$6=0,M54&lt;&gt;$G$6),"n.a.",SUMIFS(Holdings!$D$6:$D$205,Holdings!$A$6:$A$205,A54,Holdings!$H$6:$H$205,"Passive",Holdings!$K$6:$K$205,1)/$I$6))</f>
        <v/>
      </c>
      <c r="P54" s="41" t="str">
        <f>IF(A54="","",IF(OR($H$6=0,N54&lt;&gt;$H$6),"n.a.",SUMIFS(Holdings!$D$6:$D$205,Holdings!$A$6:$A$205,A54,Holdings!$H$6:$H$205,"Active",Holdings!$K$6:$K$205,1)/$J$6))</f>
        <v/>
      </c>
      <c r="Q54" s="41" t="str">
        <f>IF(A54="","",IF(OR($G$6=0,M54&lt;&gt;$G$6),"n.a.",SUMIFS(Holdings!$D$6:$D$205,Holdings!$A$6:$A$205,A54,Holdings!$H$6:$H$205,"Passive",Holdings!$K$6:$K$205,1)/Companies!I50))</f>
        <v/>
      </c>
      <c r="R54" s="41" t="str">
        <f>IF(A54="","",IF(OR($H$6=0,N54&lt;&gt;$H$6),"n.a.",SUMIFS(Holdings!$D$6:$D$205,Holdings!$A$6:$A$205,A54,Holdings!$H$6:$H$205,"Active",Holdings!$K$6:$K$205,1)/Companies!I50))</f>
        <v/>
      </c>
      <c r="S54" s="15" t="str">
        <f t="shared" si="4"/>
        <v/>
      </c>
      <c r="T54" s="46" t="str">
        <f t="array" ref="T54">IF(A54="","",IFNA(INDEX(Network!$L$14:$L$63,MATCH(A54,Network!$A$14:$A$63,0)),"n.a."))</f>
        <v/>
      </c>
      <c r="U54" s="46" t="str">
        <f>IF(A54="","",IF(OR(OR(COUNT(Rules!$B$45:$B$46)&lt;&gt;2,MIN(Rules!$B$45:$B$46)&lt;0,ABS(SUM(Rules!$B$45:$B$46)-1)&gt;0.000001),AND(Rules!$B$45&gt;0,NOT(ISNUMBER(I54))),AND(Rules!$B$46&gt;0,NOT(ISNUMBER(T54)))),"n.a.",IF(Rules!$B$45=0,0,Rules!$B$45*I54)+IF(Rules!$B$46=0,0,Rules!$B$46*T54)))</f>
        <v/>
      </c>
      <c r="V54" s="15" t="str">
        <f>IF(A54="","",IF(OR(COUNT(Rules!$B$45:$B$46)&lt;&gt;2,MIN(Rules!$B$45:$B$46)&lt;0,ABS(SUM(Rules!$B$45:$B$46)-1)&gt;0.000001),"Check combined weights",IF(AND(Rules!$B$45&gt;0,NOT(ISNUMBER(I54))),"Scale score unavailable",IF(AND(Rules!$B$46&gt;0,NOT(ISNUMBER(T54))),"Network review/score unavailable","Ready"))))</f>
        <v/>
      </c>
    </row>
    <row r="55" ht="24.0" customHeight="1">
      <c r="A55" s="15" t="str">
        <f>IF(Companies!R51=1,Companies!A51,"")</f>
        <v/>
      </c>
      <c r="B55" s="15" t="str">
        <f>IF(A55="","",Companies!C51)</f>
        <v/>
      </c>
      <c r="C55" s="15" t="str">
        <f>IF(A55="","",1+COUNTIFS(Companies!$R$6:$R$55,1,Companies!$I$6:$I$55,"&gt;"&amp;Companies!I51))</f>
        <v/>
      </c>
      <c r="D55" s="41" t="str">
        <f>IF(A55="","",Companies!I51/$D$6)</f>
        <v/>
      </c>
      <c r="E55" s="41" t="str">
        <f>IF(A55="","",IF($A$6&lt;&gt;"Ready","n.a.",Companies!K51/$E$6))</f>
        <v/>
      </c>
      <c r="F55" s="45" t="str">
        <f t="shared" si="1"/>
        <v/>
      </c>
      <c r="G55" s="46" t="str">
        <f>IF(A55="","",IF($B$6&lt;Rules!$B$12,"n.a.",100*(COUNTIFS(Companies!$R$6:$R$55,1,Companies!$I$6:$I$55,"&lt;"&amp;Companies!I51)+0.5*(COUNTIFS(Companies!$R$6:$R$55,1,Companies!$I$6:$I$55,Companies!I51)-1))/($B$6-1)))</f>
        <v/>
      </c>
      <c r="H55" s="46" t="str">
        <f>IF(A55="","",IF($A$6&lt;&gt;"Ready","n.a.",100*(COUNTIFS(Companies!$S$6:$S$55,1,Companies!$K$6:$K$55,"&lt;"&amp;Companies!K51)+0.5*(COUNTIFS(Companies!$S$6:$S$55,1,Companies!$K$6:$K$55,Companies!K51)-1))/($C$6-1)))</f>
        <v/>
      </c>
      <c r="I55" s="46" t="str">
        <f>IF(A55="","",IF($A$6&lt;&gt;"Ready","n.a.",Rules!$B$13*H55+Rules!$B$14*G55))</f>
        <v/>
      </c>
      <c r="J55" s="15" t="str">
        <f t="shared" si="2"/>
        <v/>
      </c>
      <c r="K55" s="15" t="str">
        <f t="shared" si="3"/>
        <v/>
      </c>
      <c r="L55" s="45" t="str">
        <f>IF(A55="","",IF(OR($B$6&lt;2,$D$6&lt;=Companies!I51),"n.a.",Companies!I51/(($D$6-Companies!I51)/($B$6-1))))</f>
        <v/>
      </c>
      <c r="M55" s="15" t="str">
        <f>IF(A55="","",COUNTIFS(Holdings!$A$6:$A$205,A55,Holdings!$H$6:$H$205,"Passive",Holdings!$K$6:$K$205,1))</f>
        <v/>
      </c>
      <c r="N55" s="15" t="str">
        <f>IF(A55="","",COUNTIFS(Holdings!$A$6:$A$205,A55,Holdings!$H$6:$H$205,"Active",Holdings!$K$6:$K$205,1))</f>
        <v/>
      </c>
      <c r="O55" s="41" t="str">
        <f>IF(A55="","",IF(OR($G$6=0,M55&lt;&gt;$G$6),"n.a.",SUMIFS(Holdings!$D$6:$D$205,Holdings!$A$6:$A$205,A55,Holdings!$H$6:$H$205,"Passive",Holdings!$K$6:$K$205,1)/$I$6))</f>
        <v/>
      </c>
      <c r="P55" s="41" t="str">
        <f>IF(A55="","",IF(OR($H$6=0,N55&lt;&gt;$H$6),"n.a.",SUMIFS(Holdings!$D$6:$D$205,Holdings!$A$6:$A$205,A55,Holdings!$H$6:$H$205,"Active",Holdings!$K$6:$K$205,1)/$J$6))</f>
        <v/>
      </c>
      <c r="Q55" s="41" t="str">
        <f>IF(A55="","",IF(OR($G$6=0,M55&lt;&gt;$G$6),"n.a.",SUMIFS(Holdings!$D$6:$D$205,Holdings!$A$6:$A$205,A55,Holdings!$H$6:$H$205,"Passive",Holdings!$K$6:$K$205,1)/Companies!I51))</f>
        <v/>
      </c>
      <c r="R55" s="41" t="str">
        <f>IF(A55="","",IF(OR($H$6=0,N55&lt;&gt;$H$6),"n.a.",SUMIFS(Holdings!$D$6:$D$205,Holdings!$A$6:$A$205,A55,Holdings!$H$6:$H$205,"Active",Holdings!$K$6:$K$205,1)/Companies!I51))</f>
        <v/>
      </c>
      <c r="S55" s="15" t="str">
        <f t="shared" si="4"/>
        <v/>
      </c>
      <c r="T55" s="46" t="str">
        <f t="array" ref="T55">IF(A55="","",IFNA(INDEX(Network!$L$14:$L$63,MATCH(A55,Network!$A$14:$A$63,0)),"n.a."))</f>
        <v/>
      </c>
      <c r="U55" s="46" t="str">
        <f>IF(A55="","",IF(OR(OR(COUNT(Rules!$B$45:$B$46)&lt;&gt;2,MIN(Rules!$B$45:$B$46)&lt;0,ABS(SUM(Rules!$B$45:$B$46)-1)&gt;0.000001),AND(Rules!$B$45&gt;0,NOT(ISNUMBER(I55))),AND(Rules!$B$46&gt;0,NOT(ISNUMBER(T55)))),"n.a.",IF(Rules!$B$45=0,0,Rules!$B$45*I55)+IF(Rules!$B$46=0,0,Rules!$B$46*T55)))</f>
        <v/>
      </c>
      <c r="V55" s="15" t="str">
        <f>IF(A55="","",IF(OR(COUNT(Rules!$B$45:$B$46)&lt;&gt;2,MIN(Rules!$B$45:$B$46)&lt;0,ABS(SUM(Rules!$B$45:$B$46)-1)&gt;0.000001),"Check combined weights",IF(AND(Rules!$B$45&gt;0,NOT(ISNUMBER(I55))),"Scale score unavailable",IF(AND(Rules!$B$46&gt;0,NOT(ISNUMBER(T55))),"Network review/score unavailable","Ready"))))</f>
        <v/>
      </c>
    </row>
    <row r="56" ht="24.0" customHeight="1">
      <c r="A56" s="15" t="str">
        <f>IF(Companies!R52=1,Companies!A52,"")</f>
        <v/>
      </c>
      <c r="B56" s="15" t="str">
        <f>IF(A56="","",Companies!C52)</f>
        <v/>
      </c>
      <c r="C56" s="15" t="str">
        <f>IF(A56="","",1+COUNTIFS(Companies!$R$6:$R$55,1,Companies!$I$6:$I$55,"&gt;"&amp;Companies!I52))</f>
        <v/>
      </c>
      <c r="D56" s="41" t="str">
        <f>IF(A56="","",Companies!I52/$D$6)</f>
        <v/>
      </c>
      <c r="E56" s="41" t="str">
        <f>IF(A56="","",IF($A$6&lt;&gt;"Ready","n.a.",Companies!K52/$E$6))</f>
        <v/>
      </c>
      <c r="F56" s="45" t="str">
        <f t="shared" si="1"/>
        <v/>
      </c>
      <c r="G56" s="46" t="str">
        <f>IF(A56="","",IF($B$6&lt;Rules!$B$12,"n.a.",100*(COUNTIFS(Companies!$R$6:$R$55,1,Companies!$I$6:$I$55,"&lt;"&amp;Companies!I52)+0.5*(COUNTIFS(Companies!$R$6:$R$55,1,Companies!$I$6:$I$55,Companies!I52)-1))/($B$6-1)))</f>
        <v/>
      </c>
      <c r="H56" s="46" t="str">
        <f>IF(A56="","",IF($A$6&lt;&gt;"Ready","n.a.",100*(COUNTIFS(Companies!$S$6:$S$55,1,Companies!$K$6:$K$55,"&lt;"&amp;Companies!K52)+0.5*(COUNTIFS(Companies!$S$6:$S$55,1,Companies!$K$6:$K$55,Companies!K52)-1))/($C$6-1)))</f>
        <v/>
      </c>
      <c r="I56" s="46" t="str">
        <f>IF(A56="","",IF($A$6&lt;&gt;"Ready","n.a.",Rules!$B$13*H56+Rules!$B$14*G56))</f>
        <v/>
      </c>
      <c r="J56" s="15" t="str">
        <f t="shared" si="2"/>
        <v/>
      </c>
      <c r="K56" s="15" t="str">
        <f t="shared" si="3"/>
        <v/>
      </c>
      <c r="L56" s="45" t="str">
        <f>IF(A56="","",IF(OR($B$6&lt;2,$D$6&lt;=Companies!I52),"n.a.",Companies!I52/(($D$6-Companies!I52)/($B$6-1))))</f>
        <v/>
      </c>
      <c r="M56" s="15" t="str">
        <f>IF(A56="","",COUNTIFS(Holdings!$A$6:$A$205,A56,Holdings!$H$6:$H$205,"Passive",Holdings!$K$6:$K$205,1))</f>
        <v/>
      </c>
      <c r="N56" s="15" t="str">
        <f>IF(A56="","",COUNTIFS(Holdings!$A$6:$A$205,A56,Holdings!$H$6:$H$205,"Active",Holdings!$K$6:$K$205,1))</f>
        <v/>
      </c>
      <c r="O56" s="41" t="str">
        <f>IF(A56="","",IF(OR($G$6=0,M56&lt;&gt;$G$6),"n.a.",SUMIFS(Holdings!$D$6:$D$205,Holdings!$A$6:$A$205,A56,Holdings!$H$6:$H$205,"Passive",Holdings!$K$6:$K$205,1)/$I$6))</f>
        <v/>
      </c>
      <c r="P56" s="41" t="str">
        <f>IF(A56="","",IF(OR($H$6=0,N56&lt;&gt;$H$6),"n.a.",SUMIFS(Holdings!$D$6:$D$205,Holdings!$A$6:$A$205,A56,Holdings!$H$6:$H$205,"Active",Holdings!$K$6:$K$205,1)/$J$6))</f>
        <v/>
      </c>
      <c r="Q56" s="41" t="str">
        <f>IF(A56="","",IF(OR($G$6=0,M56&lt;&gt;$G$6),"n.a.",SUMIFS(Holdings!$D$6:$D$205,Holdings!$A$6:$A$205,A56,Holdings!$H$6:$H$205,"Passive",Holdings!$K$6:$K$205,1)/Companies!I52))</f>
        <v/>
      </c>
      <c r="R56" s="41" t="str">
        <f>IF(A56="","",IF(OR($H$6=0,N56&lt;&gt;$H$6),"n.a.",SUMIFS(Holdings!$D$6:$D$205,Holdings!$A$6:$A$205,A56,Holdings!$H$6:$H$205,"Active",Holdings!$K$6:$K$205,1)/Companies!I52))</f>
        <v/>
      </c>
      <c r="S56" s="15" t="str">
        <f t="shared" si="4"/>
        <v/>
      </c>
      <c r="T56" s="46" t="str">
        <f t="array" ref="T56">IF(A56="","",IFNA(INDEX(Network!$L$14:$L$63,MATCH(A56,Network!$A$14:$A$63,0)),"n.a."))</f>
        <v/>
      </c>
      <c r="U56" s="46" t="str">
        <f>IF(A56="","",IF(OR(OR(COUNT(Rules!$B$45:$B$46)&lt;&gt;2,MIN(Rules!$B$45:$B$46)&lt;0,ABS(SUM(Rules!$B$45:$B$46)-1)&gt;0.000001),AND(Rules!$B$45&gt;0,NOT(ISNUMBER(I56))),AND(Rules!$B$46&gt;0,NOT(ISNUMBER(T56)))),"n.a.",IF(Rules!$B$45=0,0,Rules!$B$45*I56)+IF(Rules!$B$46=0,0,Rules!$B$46*T56)))</f>
        <v/>
      </c>
      <c r="V56" s="15" t="str">
        <f>IF(A56="","",IF(OR(COUNT(Rules!$B$45:$B$46)&lt;&gt;2,MIN(Rules!$B$45:$B$46)&lt;0,ABS(SUM(Rules!$B$45:$B$46)-1)&gt;0.000001),"Check combined weights",IF(AND(Rules!$B$45&gt;0,NOT(ISNUMBER(I56))),"Scale score unavailable",IF(AND(Rules!$B$46&gt;0,NOT(ISNUMBER(T56))),"Network review/score unavailable","Ready"))))</f>
        <v/>
      </c>
    </row>
    <row r="57" ht="24.0" customHeight="1">
      <c r="A57" s="15" t="str">
        <f>IF(Companies!R53=1,Companies!A53,"")</f>
        <v/>
      </c>
      <c r="B57" s="15" t="str">
        <f>IF(A57="","",Companies!C53)</f>
        <v/>
      </c>
      <c r="C57" s="15" t="str">
        <f>IF(A57="","",1+COUNTIFS(Companies!$R$6:$R$55,1,Companies!$I$6:$I$55,"&gt;"&amp;Companies!I53))</f>
        <v/>
      </c>
      <c r="D57" s="41" t="str">
        <f>IF(A57="","",Companies!I53/$D$6)</f>
        <v/>
      </c>
      <c r="E57" s="41" t="str">
        <f>IF(A57="","",IF($A$6&lt;&gt;"Ready","n.a.",Companies!K53/$E$6))</f>
        <v/>
      </c>
      <c r="F57" s="45" t="str">
        <f t="shared" si="1"/>
        <v/>
      </c>
      <c r="G57" s="46" t="str">
        <f>IF(A57="","",IF($B$6&lt;Rules!$B$12,"n.a.",100*(COUNTIFS(Companies!$R$6:$R$55,1,Companies!$I$6:$I$55,"&lt;"&amp;Companies!I53)+0.5*(COUNTIFS(Companies!$R$6:$R$55,1,Companies!$I$6:$I$55,Companies!I53)-1))/($B$6-1)))</f>
        <v/>
      </c>
      <c r="H57" s="46" t="str">
        <f>IF(A57="","",IF($A$6&lt;&gt;"Ready","n.a.",100*(COUNTIFS(Companies!$S$6:$S$55,1,Companies!$K$6:$K$55,"&lt;"&amp;Companies!K53)+0.5*(COUNTIFS(Companies!$S$6:$S$55,1,Companies!$K$6:$K$55,Companies!K53)-1))/($C$6-1)))</f>
        <v/>
      </c>
      <c r="I57" s="46" t="str">
        <f>IF(A57="","",IF($A$6&lt;&gt;"Ready","n.a.",Rules!$B$13*H57+Rules!$B$14*G57))</f>
        <v/>
      </c>
      <c r="J57" s="15" t="str">
        <f t="shared" si="2"/>
        <v/>
      </c>
      <c r="K57" s="15" t="str">
        <f t="shared" si="3"/>
        <v/>
      </c>
      <c r="L57" s="45" t="str">
        <f>IF(A57="","",IF(OR($B$6&lt;2,$D$6&lt;=Companies!I53),"n.a.",Companies!I53/(($D$6-Companies!I53)/($B$6-1))))</f>
        <v/>
      </c>
      <c r="M57" s="15" t="str">
        <f>IF(A57="","",COUNTIFS(Holdings!$A$6:$A$205,A57,Holdings!$H$6:$H$205,"Passive",Holdings!$K$6:$K$205,1))</f>
        <v/>
      </c>
      <c r="N57" s="15" t="str">
        <f>IF(A57="","",COUNTIFS(Holdings!$A$6:$A$205,A57,Holdings!$H$6:$H$205,"Active",Holdings!$K$6:$K$205,1))</f>
        <v/>
      </c>
      <c r="O57" s="41" t="str">
        <f>IF(A57="","",IF(OR($G$6=0,M57&lt;&gt;$G$6),"n.a.",SUMIFS(Holdings!$D$6:$D$205,Holdings!$A$6:$A$205,A57,Holdings!$H$6:$H$205,"Passive",Holdings!$K$6:$K$205,1)/$I$6))</f>
        <v/>
      </c>
      <c r="P57" s="41" t="str">
        <f>IF(A57="","",IF(OR($H$6=0,N57&lt;&gt;$H$6),"n.a.",SUMIFS(Holdings!$D$6:$D$205,Holdings!$A$6:$A$205,A57,Holdings!$H$6:$H$205,"Active",Holdings!$K$6:$K$205,1)/$J$6))</f>
        <v/>
      </c>
      <c r="Q57" s="41" t="str">
        <f>IF(A57="","",IF(OR($G$6=0,M57&lt;&gt;$G$6),"n.a.",SUMIFS(Holdings!$D$6:$D$205,Holdings!$A$6:$A$205,A57,Holdings!$H$6:$H$205,"Passive",Holdings!$K$6:$K$205,1)/Companies!I53))</f>
        <v/>
      </c>
      <c r="R57" s="41" t="str">
        <f>IF(A57="","",IF(OR($H$6=0,N57&lt;&gt;$H$6),"n.a.",SUMIFS(Holdings!$D$6:$D$205,Holdings!$A$6:$A$205,A57,Holdings!$H$6:$H$205,"Active",Holdings!$K$6:$K$205,1)/Companies!I53))</f>
        <v/>
      </c>
      <c r="S57" s="15" t="str">
        <f t="shared" si="4"/>
        <v/>
      </c>
      <c r="T57" s="46" t="str">
        <f t="array" ref="T57">IF(A57="","",IFNA(INDEX(Network!$L$14:$L$63,MATCH(A57,Network!$A$14:$A$63,0)),"n.a."))</f>
        <v/>
      </c>
      <c r="U57" s="46" t="str">
        <f>IF(A57="","",IF(OR(OR(COUNT(Rules!$B$45:$B$46)&lt;&gt;2,MIN(Rules!$B$45:$B$46)&lt;0,ABS(SUM(Rules!$B$45:$B$46)-1)&gt;0.000001),AND(Rules!$B$45&gt;0,NOT(ISNUMBER(I57))),AND(Rules!$B$46&gt;0,NOT(ISNUMBER(T57)))),"n.a.",IF(Rules!$B$45=0,0,Rules!$B$45*I57)+IF(Rules!$B$46=0,0,Rules!$B$46*T57)))</f>
        <v/>
      </c>
      <c r="V57" s="15" t="str">
        <f>IF(A57="","",IF(OR(COUNT(Rules!$B$45:$B$46)&lt;&gt;2,MIN(Rules!$B$45:$B$46)&lt;0,ABS(SUM(Rules!$B$45:$B$46)-1)&gt;0.000001),"Check combined weights",IF(AND(Rules!$B$45&gt;0,NOT(ISNUMBER(I57))),"Scale score unavailable",IF(AND(Rules!$B$46&gt;0,NOT(ISNUMBER(T57))),"Network review/score unavailable","Ready"))))</f>
        <v/>
      </c>
    </row>
    <row r="58" ht="24.0" customHeight="1">
      <c r="A58" s="15" t="str">
        <f>IF(Companies!R54=1,Companies!A54,"")</f>
        <v/>
      </c>
      <c r="B58" s="15" t="str">
        <f>IF(A58="","",Companies!C54)</f>
        <v/>
      </c>
      <c r="C58" s="15" t="str">
        <f>IF(A58="","",1+COUNTIFS(Companies!$R$6:$R$55,1,Companies!$I$6:$I$55,"&gt;"&amp;Companies!I54))</f>
        <v/>
      </c>
      <c r="D58" s="41" t="str">
        <f>IF(A58="","",Companies!I54/$D$6)</f>
        <v/>
      </c>
      <c r="E58" s="41" t="str">
        <f>IF(A58="","",IF($A$6&lt;&gt;"Ready","n.a.",Companies!K54/$E$6))</f>
        <v/>
      </c>
      <c r="F58" s="45" t="str">
        <f t="shared" si="1"/>
        <v/>
      </c>
      <c r="G58" s="46" t="str">
        <f>IF(A58="","",IF($B$6&lt;Rules!$B$12,"n.a.",100*(COUNTIFS(Companies!$R$6:$R$55,1,Companies!$I$6:$I$55,"&lt;"&amp;Companies!I54)+0.5*(COUNTIFS(Companies!$R$6:$R$55,1,Companies!$I$6:$I$55,Companies!I54)-1))/($B$6-1)))</f>
        <v/>
      </c>
      <c r="H58" s="46" t="str">
        <f>IF(A58="","",IF($A$6&lt;&gt;"Ready","n.a.",100*(COUNTIFS(Companies!$S$6:$S$55,1,Companies!$K$6:$K$55,"&lt;"&amp;Companies!K54)+0.5*(COUNTIFS(Companies!$S$6:$S$55,1,Companies!$K$6:$K$55,Companies!K54)-1))/($C$6-1)))</f>
        <v/>
      </c>
      <c r="I58" s="46" t="str">
        <f>IF(A58="","",IF($A$6&lt;&gt;"Ready","n.a.",Rules!$B$13*H58+Rules!$B$14*G58))</f>
        <v/>
      </c>
      <c r="J58" s="15" t="str">
        <f t="shared" si="2"/>
        <v/>
      </c>
      <c r="K58" s="15" t="str">
        <f t="shared" si="3"/>
        <v/>
      </c>
      <c r="L58" s="45" t="str">
        <f>IF(A58="","",IF(OR($B$6&lt;2,$D$6&lt;=Companies!I54),"n.a.",Companies!I54/(($D$6-Companies!I54)/($B$6-1))))</f>
        <v/>
      </c>
      <c r="M58" s="15" t="str">
        <f>IF(A58="","",COUNTIFS(Holdings!$A$6:$A$205,A58,Holdings!$H$6:$H$205,"Passive",Holdings!$K$6:$K$205,1))</f>
        <v/>
      </c>
      <c r="N58" s="15" t="str">
        <f>IF(A58="","",COUNTIFS(Holdings!$A$6:$A$205,A58,Holdings!$H$6:$H$205,"Active",Holdings!$K$6:$K$205,1))</f>
        <v/>
      </c>
      <c r="O58" s="41" t="str">
        <f>IF(A58="","",IF(OR($G$6=0,M58&lt;&gt;$G$6),"n.a.",SUMIFS(Holdings!$D$6:$D$205,Holdings!$A$6:$A$205,A58,Holdings!$H$6:$H$205,"Passive",Holdings!$K$6:$K$205,1)/$I$6))</f>
        <v/>
      </c>
      <c r="P58" s="41" t="str">
        <f>IF(A58="","",IF(OR($H$6=0,N58&lt;&gt;$H$6),"n.a.",SUMIFS(Holdings!$D$6:$D$205,Holdings!$A$6:$A$205,A58,Holdings!$H$6:$H$205,"Active",Holdings!$K$6:$K$205,1)/$J$6))</f>
        <v/>
      </c>
      <c r="Q58" s="41" t="str">
        <f>IF(A58="","",IF(OR($G$6=0,M58&lt;&gt;$G$6),"n.a.",SUMIFS(Holdings!$D$6:$D$205,Holdings!$A$6:$A$205,A58,Holdings!$H$6:$H$205,"Passive",Holdings!$K$6:$K$205,1)/Companies!I54))</f>
        <v/>
      </c>
      <c r="R58" s="41" t="str">
        <f>IF(A58="","",IF(OR($H$6=0,N58&lt;&gt;$H$6),"n.a.",SUMIFS(Holdings!$D$6:$D$205,Holdings!$A$6:$A$205,A58,Holdings!$H$6:$H$205,"Active",Holdings!$K$6:$K$205,1)/Companies!I54))</f>
        <v/>
      </c>
      <c r="S58" s="15" t="str">
        <f t="shared" si="4"/>
        <v/>
      </c>
      <c r="T58" s="46" t="str">
        <f t="array" ref="T58">IF(A58="","",IFNA(INDEX(Network!$L$14:$L$63,MATCH(A58,Network!$A$14:$A$63,0)),"n.a."))</f>
        <v/>
      </c>
      <c r="U58" s="46" t="str">
        <f>IF(A58="","",IF(OR(OR(COUNT(Rules!$B$45:$B$46)&lt;&gt;2,MIN(Rules!$B$45:$B$46)&lt;0,ABS(SUM(Rules!$B$45:$B$46)-1)&gt;0.000001),AND(Rules!$B$45&gt;0,NOT(ISNUMBER(I58))),AND(Rules!$B$46&gt;0,NOT(ISNUMBER(T58)))),"n.a.",IF(Rules!$B$45=0,0,Rules!$B$45*I58)+IF(Rules!$B$46=0,0,Rules!$B$46*T58)))</f>
        <v/>
      </c>
      <c r="V58" s="15" t="str">
        <f>IF(A58="","",IF(OR(COUNT(Rules!$B$45:$B$46)&lt;&gt;2,MIN(Rules!$B$45:$B$46)&lt;0,ABS(SUM(Rules!$B$45:$B$46)-1)&gt;0.000001),"Check combined weights",IF(AND(Rules!$B$45&gt;0,NOT(ISNUMBER(I58))),"Scale score unavailable",IF(AND(Rules!$B$46&gt;0,NOT(ISNUMBER(T58))),"Network review/score unavailable","Ready"))))</f>
        <v/>
      </c>
    </row>
    <row r="59" ht="24.0" customHeight="1">
      <c r="A59" s="15" t="str">
        <f>IF(Companies!R55=1,Companies!A55,"")</f>
        <v/>
      </c>
      <c r="B59" s="15" t="str">
        <f>IF(A59="","",Companies!C55)</f>
        <v/>
      </c>
      <c r="C59" s="15" t="str">
        <f>IF(A59="","",1+COUNTIFS(Companies!$R$6:$R$55,1,Companies!$I$6:$I$55,"&gt;"&amp;Companies!I55))</f>
        <v/>
      </c>
      <c r="D59" s="41" t="str">
        <f>IF(A59="","",Companies!I55/$D$6)</f>
        <v/>
      </c>
      <c r="E59" s="41" t="str">
        <f>IF(A59="","",IF($A$6&lt;&gt;"Ready","n.a.",Companies!K55/$E$6))</f>
        <v/>
      </c>
      <c r="F59" s="45" t="str">
        <f t="shared" si="1"/>
        <v/>
      </c>
      <c r="G59" s="46" t="str">
        <f>IF(A59="","",IF($B$6&lt;Rules!$B$12,"n.a.",100*(COUNTIFS(Companies!$R$6:$R$55,1,Companies!$I$6:$I$55,"&lt;"&amp;Companies!I55)+0.5*(COUNTIFS(Companies!$R$6:$R$55,1,Companies!$I$6:$I$55,Companies!I55)-1))/($B$6-1)))</f>
        <v/>
      </c>
      <c r="H59" s="46" t="str">
        <f>IF(A59="","",IF($A$6&lt;&gt;"Ready","n.a.",100*(COUNTIFS(Companies!$S$6:$S$55,1,Companies!$K$6:$K$55,"&lt;"&amp;Companies!K55)+0.5*(COUNTIFS(Companies!$S$6:$S$55,1,Companies!$K$6:$K$55,Companies!K55)-1))/($C$6-1)))</f>
        <v/>
      </c>
      <c r="I59" s="46" t="str">
        <f>IF(A59="","",IF($A$6&lt;&gt;"Ready","n.a.",Rules!$B$13*H59+Rules!$B$14*G59))</f>
        <v/>
      </c>
      <c r="J59" s="15" t="str">
        <f t="shared" si="2"/>
        <v/>
      </c>
      <c r="K59" s="15" t="str">
        <f t="shared" si="3"/>
        <v/>
      </c>
      <c r="L59" s="45" t="str">
        <f>IF(A59="","",IF(OR($B$6&lt;2,$D$6&lt;=Companies!I55),"n.a.",Companies!I55/(($D$6-Companies!I55)/($B$6-1))))</f>
        <v/>
      </c>
      <c r="M59" s="15" t="str">
        <f>IF(A59="","",COUNTIFS(Holdings!$A$6:$A$205,A59,Holdings!$H$6:$H$205,"Passive",Holdings!$K$6:$K$205,1))</f>
        <v/>
      </c>
      <c r="N59" s="15" t="str">
        <f>IF(A59="","",COUNTIFS(Holdings!$A$6:$A$205,A59,Holdings!$H$6:$H$205,"Active",Holdings!$K$6:$K$205,1))</f>
        <v/>
      </c>
      <c r="O59" s="41" t="str">
        <f>IF(A59="","",IF(OR($G$6=0,M59&lt;&gt;$G$6),"n.a.",SUMIFS(Holdings!$D$6:$D$205,Holdings!$A$6:$A$205,A59,Holdings!$H$6:$H$205,"Passive",Holdings!$K$6:$K$205,1)/$I$6))</f>
        <v/>
      </c>
      <c r="P59" s="41" t="str">
        <f>IF(A59="","",IF(OR($H$6=0,N59&lt;&gt;$H$6),"n.a.",SUMIFS(Holdings!$D$6:$D$205,Holdings!$A$6:$A$205,A59,Holdings!$H$6:$H$205,"Active",Holdings!$K$6:$K$205,1)/$J$6))</f>
        <v/>
      </c>
      <c r="Q59" s="41" t="str">
        <f>IF(A59="","",IF(OR($G$6=0,M59&lt;&gt;$G$6),"n.a.",SUMIFS(Holdings!$D$6:$D$205,Holdings!$A$6:$A$205,A59,Holdings!$H$6:$H$205,"Passive",Holdings!$K$6:$K$205,1)/Companies!I55))</f>
        <v/>
      </c>
      <c r="R59" s="41" t="str">
        <f>IF(A59="","",IF(OR($H$6=0,N59&lt;&gt;$H$6),"n.a.",SUMIFS(Holdings!$D$6:$D$205,Holdings!$A$6:$A$205,A59,Holdings!$H$6:$H$205,"Active",Holdings!$K$6:$K$205,1)/Companies!I55))</f>
        <v/>
      </c>
      <c r="S59" s="15" t="str">
        <f t="shared" si="4"/>
        <v/>
      </c>
      <c r="T59" s="46" t="str">
        <f t="array" ref="T59">IF(A59="","",IFNA(INDEX(Network!$L$14:$L$63,MATCH(A59,Network!$A$14:$A$63,0)),"n.a."))</f>
        <v/>
      </c>
      <c r="U59" s="46" t="str">
        <f>IF(A59="","",IF(OR(OR(COUNT(Rules!$B$45:$B$46)&lt;&gt;2,MIN(Rules!$B$45:$B$46)&lt;0,ABS(SUM(Rules!$B$45:$B$46)-1)&gt;0.000001),AND(Rules!$B$45&gt;0,NOT(ISNUMBER(I59))),AND(Rules!$B$46&gt;0,NOT(ISNUMBER(T59)))),"n.a.",IF(Rules!$B$45=0,0,Rules!$B$45*I59)+IF(Rules!$B$46=0,0,Rules!$B$46*T59)))</f>
        <v/>
      </c>
      <c r="V59" s="15" t="str">
        <f>IF(A59="","",IF(OR(COUNT(Rules!$B$45:$B$46)&lt;&gt;2,MIN(Rules!$B$45:$B$46)&lt;0,ABS(SUM(Rules!$B$45:$B$46)-1)&gt;0.000001),"Check combined weights",IF(AND(Rules!$B$45&gt;0,NOT(ISNUMBER(I59))),"Scale score unavailable",IF(AND(Rules!$B$46&gt;0,NOT(ISNUMBER(T59))),"Network review/score unavailable","Ready"))))</f>
        <v/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V$5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3.0" topLeftCell="C14" activePane="bottomRight" state="frozen"/>
      <selection activeCell="C1" sqref="C1" pane="topRight"/>
      <selection activeCell="A14" sqref="A14" pane="bottomLeft"/>
      <selection activeCell="C14" sqref="C14" pane="bottomRight"/>
    </sheetView>
  </sheetViews>
  <sheetFormatPr customHeight="1" defaultColWidth="12.63" defaultRowHeight="15.0"/>
  <cols>
    <col customWidth="1" min="1" max="1" width="23.88"/>
    <col customWidth="1" min="2" max="2" width="26.38"/>
    <col customWidth="1" min="3" max="3" width="18.88"/>
    <col customWidth="1" min="4" max="4" width="15.13"/>
    <col customWidth="1" min="5" max="5" width="40.13"/>
    <col customWidth="1" min="6" max="6" width="20.13"/>
    <col customWidth="1" min="7" max="8" width="12.63"/>
    <col customWidth="1" min="9" max="9" width="23.25"/>
    <col customWidth="1" min="10" max="11" width="18.25"/>
    <col customWidth="1" min="12" max="12" width="18.88"/>
    <col customWidth="1" min="13" max="13" width="13.88"/>
    <col customWidth="1" min="14" max="14" width="23.88"/>
    <col customWidth="1" min="15" max="15" width="36.38"/>
    <col customWidth="1" hidden="1" min="16" max="19" width="18.25"/>
  </cols>
  <sheetData>
    <row r="2">
      <c r="A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8.5" customHeight="1">
      <c r="A3" s="7" t="s">
        <v>7</v>
      </c>
      <c r="C3" s="10"/>
      <c r="D3" s="10"/>
      <c r="E3" s="10"/>
      <c r="F3" s="10"/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2" t="s">
        <v>18</v>
      </c>
      <c r="B4" s="20">
        <f>Rules!B6</f>
        <v>46298</v>
      </c>
      <c r="C4" s="2"/>
      <c r="D4" s="2"/>
      <c r="E4" s="2"/>
      <c r="F4" s="22" t="s">
        <v>32</v>
      </c>
      <c r="G4" s="22" t="s">
        <v>34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2" t="s">
        <v>8</v>
      </c>
      <c r="B5" s="14">
        <f>COUNTIF(Companies!$R$6:$R$55,1)</f>
        <v>0</v>
      </c>
      <c r="C5" s="2"/>
      <c r="D5" s="2"/>
      <c r="E5" s="2"/>
      <c r="F5" s="22" t="s">
        <v>51</v>
      </c>
      <c r="G5" s="25">
        <f>Rules!B43</f>
        <v>0.5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12" t="s">
        <v>58</v>
      </c>
      <c r="B6" s="14">
        <f>COUNTIF($P$14:$P$63,1)</f>
        <v>0</v>
      </c>
      <c r="C6" s="2"/>
      <c r="D6" s="2"/>
      <c r="E6" s="2"/>
      <c r="F6" s="22" t="s">
        <v>74</v>
      </c>
      <c r="G6" s="25">
        <f>Rules!B44</f>
        <v>0.5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2" t="s">
        <v>81</v>
      </c>
      <c r="B7" s="32" t="str">
        <f>IF(B5=0,"n.a.",B6/B5)</f>
        <v>n.a.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12" t="s">
        <v>93</v>
      </c>
      <c r="B8" s="14" t="str">
        <f>IF(Rules!B15&lt;&gt;"Yes","Confirm issuer universe",IF(OR(COUNT(G5:G6)&lt;&gt;2,MIN(G5:G6)&lt;0,ABS(SUM(G5:G6)-1)&gt;0.000001),"Check network weights",IF(B10&gt;0,"Assign relationship issuer IDs",IF(B6&lt;B9,"Too few reviewed companies","Ready"))))</f>
        <v>Confirm issuer universe</v>
      </c>
      <c r="C8" s="2"/>
      <c r="D8" s="2"/>
      <c r="E8" s="2"/>
      <c r="F8" s="22" t="s">
        <v>128</v>
      </c>
      <c r="G8" s="22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2" t="s">
        <v>132</v>
      </c>
      <c r="B9" s="14">
        <f>Rules!B12</f>
        <v>3</v>
      </c>
      <c r="C9" s="2"/>
      <c r="D9" s="2"/>
      <c r="E9" s="2"/>
      <c r="F9" s="22" t="s">
        <v>138</v>
      </c>
      <c r="G9" s="25">
        <f>Rules!B45</f>
        <v>0.5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12" t="s">
        <v>159</v>
      </c>
      <c r="B10" s="14">
        <f>COUNTIFS(Relationships!$L$6:$L$205,"Yes",Relationships!$M$6:$M$205,0,Relationships!$E$6:$E$205,"Active")+COUNTIFS(Relationships!$L$6:$L$205,"Yes",Relationships!$M$6:$M$205,0,Relationships!$E$6:$E$205,"Unclear")+COUNTIFS(Relationships!$L$6:$L$205,"Yes",Relationships!$M$6:$M$205,0,Relationships!$E$6:$E$205,"")</f>
        <v>0</v>
      </c>
      <c r="C10" s="2"/>
      <c r="D10" s="2"/>
      <c r="E10" s="2"/>
      <c r="F10" s="22" t="s">
        <v>195</v>
      </c>
      <c r="G10" s="25">
        <f>Rules!B46</f>
        <v>0.5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/>
      <c r="B11" s="2"/>
      <c r="C11" s="2"/>
      <c r="D11" s="2"/>
      <c r="E11" s="2"/>
      <c r="F11" s="42" t="s">
        <v>192</v>
      </c>
      <c r="K11" s="2"/>
      <c r="L11" s="2"/>
      <c r="M11" s="2"/>
      <c r="N11" s="2"/>
      <c r="O11" s="2"/>
      <c r="P11" s="2"/>
      <c r="Q11" s="2"/>
      <c r="R11" s="2"/>
      <c r="S11" s="2"/>
    </row>
    <row r="12">
      <c r="A12" s="2"/>
      <c r="B12" s="2"/>
      <c r="C12" s="2"/>
      <c r="D12" s="2"/>
      <c r="E12" s="2"/>
      <c r="F12" s="42" t="s">
        <v>221</v>
      </c>
      <c r="K12" s="2"/>
      <c r="L12" s="2"/>
      <c r="M12" s="2"/>
      <c r="N12" s="2"/>
      <c r="O12" s="2"/>
      <c r="P12" s="2"/>
      <c r="Q12" s="2"/>
      <c r="R12" s="2"/>
      <c r="S12" s="2"/>
    </row>
    <row r="13" ht="51.0" customHeight="1">
      <c r="A13" s="43" t="s">
        <v>139</v>
      </c>
      <c r="B13" s="43" t="s">
        <v>141</v>
      </c>
      <c r="C13" s="43" t="s">
        <v>225</v>
      </c>
      <c r="D13" s="43" t="s">
        <v>226</v>
      </c>
      <c r="E13" s="43" t="s">
        <v>227</v>
      </c>
      <c r="F13" s="43" t="s">
        <v>228</v>
      </c>
      <c r="G13" s="43" t="s">
        <v>229</v>
      </c>
      <c r="H13" s="43" t="s">
        <v>230</v>
      </c>
      <c r="I13" s="43" t="s">
        <v>231</v>
      </c>
      <c r="J13" s="43" t="s">
        <v>232</v>
      </c>
      <c r="K13" s="43" t="s">
        <v>234</v>
      </c>
      <c r="L13" s="43" t="s">
        <v>174</v>
      </c>
      <c r="M13" s="43" t="s">
        <v>236</v>
      </c>
      <c r="N13" s="43" t="s">
        <v>237</v>
      </c>
      <c r="O13" s="43" t="s">
        <v>238</v>
      </c>
      <c r="P13" s="43" t="s">
        <v>239</v>
      </c>
      <c r="Q13" s="43" t="s">
        <v>240</v>
      </c>
      <c r="R13" s="43" t="s">
        <v>241</v>
      </c>
      <c r="S13" s="43" t="s">
        <v>242</v>
      </c>
    </row>
    <row r="14" ht="21.0" customHeight="1">
      <c r="A14" s="44"/>
      <c r="B14" s="2" t="str">
        <f t="array" ref="B14">IF(A14="","",IF(COUNTIF(Companies!$A$6:$A$55,A14)&lt;&gt;1,"n.a.",INDEX(Companies!$C$6:$C$55,MATCH(A14,Companies!$A$6:$A$55,0))))</f>
        <v/>
      </c>
      <c r="C14" s="44"/>
      <c r="D14" s="48"/>
      <c r="E14" s="44"/>
      <c r="F14" s="2" t="str">
        <f>IF(A14="","",COUNTIFS(Relationships!$A$6:$A$205,A14,Relationships!$U$6:$U$205,1))</f>
        <v/>
      </c>
      <c r="G14" s="2" t="str">
        <f>IF(A14="","",COUNTIFS(Relationships!$A$6:$A$205,A14,Relationships!$U$6:$U$205,1,Relationships!$C$6:$C$205,"Client")+COUNTIFS(Relationships!$A$6:$A$205,A14,Relationships!$U$6:$U$205,1,Relationships!$C$6:$C$205,"Client and partner"))</f>
        <v/>
      </c>
      <c r="H14" s="2" t="str">
        <f>IF(A14="","",COUNTIFS(Relationships!$A$6:$A$205,A14,Relationships!$U$6:$U$205,1,Relationships!$C$6:$C$205,"Partner")+COUNTIFS(Relationships!$A$6:$A$205,A14,Relationships!$U$6:$U$205,1,Relationships!$C$6:$C$205,"Client and partner"))</f>
        <v/>
      </c>
      <c r="I14" s="49" t="str">
        <f>IFERROR(__xludf.DUMMYFUNCTION("IF(A14="""","""",IF(F14=0,""n.a."",MEDIAN(FILTER(Relationships!$Q$6:$Q$205,Relationships!$A$6:$A$205=A14,Relationships!$U$6:$U$205=1))))"),"")</f>
        <v/>
      </c>
      <c r="J14" s="49" t="str">
        <f t="shared" ref="J14:J63" si="1">IF(A14="","",IF(OR(P14&lt;&gt;1,$B$8&lt;&gt;"Ready"),"n.a.",IF(F14=0,0,100*(COUNTIFS($P$14:$P$63,1,$F$14:$F$63,"&lt;"&amp;F14)+0.5*(COUNTIFS($P$14:$P$63,1,$F$14:$F$63,F14)-1))/($B$6-1))))</f>
        <v/>
      </c>
      <c r="K14" s="49" t="str">
        <f t="shared" ref="K14:K63" si="2">IF(A14="","",IF(OR(P14&lt;&gt;1,$B$8&lt;&gt;"Ready"),"n.a.",IF(F14=0,0,100*(COUNTIFS($P$14:$P$63,1,$S$14:$S$63,"&lt;"&amp;I14)+0.5*(COUNTIFS($P$14:$P$63,1,$S$14:$S$63,I14)-1))/($B$6-1))))</f>
        <v/>
      </c>
      <c r="L14" s="49" t="str">
        <f t="shared" ref="L14:L63" si="3">IF(A14="","",IF(OR(P14&lt;&gt;1,$B$8&lt;&gt;"Ready"),"n.a.",$G$5*J14+$G$6*K14))</f>
        <v/>
      </c>
      <c r="M14" s="50" t="str">
        <f t="shared" ref="M14:M63" si="4">IF(A14="","",IF(NOT(ISNUMBER(L14)),"n.a.",1+COUNTIFS($P$14:$P$63,1,$L$14:$L$63,"&gt;"&amp;L14)))</f>
        <v/>
      </c>
      <c r="N14" s="2" t="str">
        <f>IF(A14="","",COUNTIFS(Relationships!$A$6:$A$205,A14,Relationships!$V$6:$V$205,1))</f>
        <v/>
      </c>
      <c r="O14" s="2" t="str">
        <f>IF(A14="","",IF(Q14&lt;&gt;1,"Outside cap universe",IF(R14&lt;&gt;1,"Duplicate network issuer",IF(C14&lt;&gt;"Yes","Review incomplete",IF(OR(NOT(ISNUMBER(D14)),D14&gt;Rules!$B$6,Rules!$B$6-D14&gt;Rules!$B$42,E14=""),"Check review date/log",IF(N14&gt;0,"Resolve included records",IF($B$8&lt;&gt;"Ready",$B$8,IF(F14=0,"Reviewed: no qualifying ties","Ranked"))))))))</f>
        <v/>
      </c>
      <c r="P14" s="2">
        <f>IF(A14="",0,IF(AND(Q14=1,R14=1,C14="Yes",ISNUMBER(D14),D14&lt;=Rules!$B$6,Rules!$B$6-D14&lt;=Rules!$B$42,E14&lt;&gt;"",N14=0),1,0))</f>
        <v>0</v>
      </c>
      <c r="Q14" s="2">
        <f t="array" ref="Q14">IF(A14="",0,IF(COUNTIF(Companies!$A$6:$A$55,A14)&lt;&gt;1,0,IF(AND(INDEX(Companies!$R$6:$R$55,MATCH(A14,Companies!$A$6:$A$55,0))=1,INDEX(Companies!$I$6:$I$55,MATCH(A14,Companies!$A$6:$A$55,0))&gt;=MAX(10,Rules!$B$22)),1,0)))</f>
        <v>0</v>
      </c>
      <c r="R14" s="2" t="str">
        <f t="shared" ref="R14:R63" si="5">IF(A14="","",COUNTIF($A$14:$A$63,A14))</f>
        <v/>
      </c>
      <c r="S14" s="2" t="str">
        <f t="shared" ref="S14:S63" si="6">IF(P14&lt;&gt;1,"",IF(F14=0,0,I14))</f>
        <v/>
      </c>
    </row>
    <row r="15" ht="21.0" customHeight="1">
      <c r="A15" s="44"/>
      <c r="B15" s="2" t="str">
        <f t="array" ref="B15">IF(A15="","",IF(COUNTIF(Companies!$A$6:$A$55,A15)&lt;&gt;1,"n.a.",INDEX(Companies!$C$6:$C$55,MATCH(A15,Companies!$A$6:$A$55,0))))</f>
        <v/>
      </c>
      <c r="C15" s="44"/>
      <c r="D15" s="48"/>
      <c r="E15" s="44"/>
      <c r="F15" s="2" t="str">
        <f>IF(A15="","",COUNTIFS(Relationships!$A$6:$A$205,A15,Relationships!$U$6:$U$205,1))</f>
        <v/>
      </c>
      <c r="G15" s="2" t="str">
        <f>IF(A15="","",COUNTIFS(Relationships!$A$6:$A$205,A15,Relationships!$U$6:$U$205,1,Relationships!$C$6:$C$205,"Client")+COUNTIFS(Relationships!$A$6:$A$205,A15,Relationships!$U$6:$U$205,1,Relationships!$C$6:$C$205,"Client and partner"))</f>
        <v/>
      </c>
      <c r="H15" s="2" t="str">
        <f>IF(A15="","",COUNTIFS(Relationships!$A$6:$A$205,A15,Relationships!$U$6:$U$205,1,Relationships!$C$6:$C$205,"Partner")+COUNTIFS(Relationships!$A$6:$A$205,A15,Relationships!$U$6:$U$205,1,Relationships!$C$6:$C$205,"Client and partner"))</f>
        <v/>
      </c>
      <c r="I15" s="49" t="str">
        <f>IFERROR(__xludf.DUMMYFUNCTION("IF(A15="""","""",IF(F15=0,""n.a."",MEDIAN(FILTER(Relationships!$Q$6:$Q$205,Relationships!$A$6:$A$205=A15,Relationships!$U$6:$U$205=1))))"),"")</f>
        <v/>
      </c>
      <c r="J15" s="49" t="str">
        <f t="shared" si="1"/>
        <v/>
      </c>
      <c r="K15" s="49" t="str">
        <f t="shared" si="2"/>
        <v/>
      </c>
      <c r="L15" s="49" t="str">
        <f t="shared" si="3"/>
        <v/>
      </c>
      <c r="M15" s="50" t="str">
        <f t="shared" si="4"/>
        <v/>
      </c>
      <c r="N15" s="2" t="str">
        <f>IF(A15="","",COUNTIFS(Relationships!$A$6:$A$205,A15,Relationships!$V$6:$V$205,1))</f>
        <v/>
      </c>
      <c r="O15" s="2" t="str">
        <f>IF(A15="","",IF(Q15&lt;&gt;1,"Outside cap universe",IF(R15&lt;&gt;1,"Duplicate network issuer",IF(C15&lt;&gt;"Yes","Review incomplete",IF(OR(NOT(ISNUMBER(D15)),D15&gt;Rules!$B$6,Rules!$B$6-D15&gt;Rules!$B$42,E15=""),"Check review date/log",IF(N15&gt;0,"Resolve included records",IF($B$8&lt;&gt;"Ready",$B$8,IF(F15=0,"Reviewed: no qualifying ties","Ranked"))))))))</f>
        <v/>
      </c>
      <c r="P15" s="2">
        <f>IF(A15="",0,IF(AND(Q15=1,R15=1,C15="Yes",ISNUMBER(D15),D15&lt;=Rules!$B$6,Rules!$B$6-D15&lt;=Rules!$B$42,E15&lt;&gt;"",N15=0),1,0))</f>
        <v>0</v>
      </c>
      <c r="Q15" s="2">
        <f t="array" ref="Q15">IF(A15="",0,IF(COUNTIF(Companies!$A$6:$A$55,A15)&lt;&gt;1,0,IF(AND(INDEX(Companies!$R$6:$R$55,MATCH(A15,Companies!$A$6:$A$55,0))=1,INDEX(Companies!$I$6:$I$55,MATCH(A15,Companies!$A$6:$A$55,0))&gt;=MAX(10,Rules!$B$22)),1,0)))</f>
        <v>0</v>
      </c>
      <c r="R15" s="2" t="str">
        <f t="shared" si="5"/>
        <v/>
      </c>
      <c r="S15" s="2" t="str">
        <f t="shared" si="6"/>
        <v/>
      </c>
    </row>
    <row r="16" ht="21.0" customHeight="1">
      <c r="A16" s="44"/>
      <c r="B16" s="2" t="str">
        <f t="array" ref="B16">IF(A16="","",IF(COUNTIF(Companies!$A$6:$A$55,A16)&lt;&gt;1,"n.a.",INDEX(Companies!$C$6:$C$55,MATCH(A16,Companies!$A$6:$A$55,0))))</f>
        <v/>
      </c>
      <c r="C16" s="44"/>
      <c r="D16" s="48"/>
      <c r="E16" s="44"/>
      <c r="F16" s="2" t="str">
        <f>IF(A16="","",COUNTIFS(Relationships!$A$6:$A$205,A16,Relationships!$U$6:$U$205,1))</f>
        <v/>
      </c>
      <c r="G16" s="2" t="str">
        <f>IF(A16="","",COUNTIFS(Relationships!$A$6:$A$205,A16,Relationships!$U$6:$U$205,1,Relationships!$C$6:$C$205,"Client")+COUNTIFS(Relationships!$A$6:$A$205,A16,Relationships!$U$6:$U$205,1,Relationships!$C$6:$C$205,"Client and partner"))</f>
        <v/>
      </c>
      <c r="H16" s="2" t="str">
        <f>IF(A16="","",COUNTIFS(Relationships!$A$6:$A$205,A16,Relationships!$U$6:$U$205,1,Relationships!$C$6:$C$205,"Partner")+COUNTIFS(Relationships!$A$6:$A$205,A16,Relationships!$U$6:$U$205,1,Relationships!$C$6:$C$205,"Client and partner"))</f>
        <v/>
      </c>
      <c r="I16" s="49" t="str">
        <f>IFERROR(__xludf.DUMMYFUNCTION("IF(A16="""","""",IF(F16=0,""n.a."",MEDIAN(FILTER(Relationships!$Q$6:$Q$205,Relationships!$A$6:$A$205=A16,Relationships!$U$6:$U$205=1))))"),"")</f>
        <v/>
      </c>
      <c r="J16" s="49" t="str">
        <f t="shared" si="1"/>
        <v/>
      </c>
      <c r="K16" s="49" t="str">
        <f t="shared" si="2"/>
        <v/>
      </c>
      <c r="L16" s="49" t="str">
        <f t="shared" si="3"/>
        <v/>
      </c>
      <c r="M16" s="50" t="str">
        <f t="shared" si="4"/>
        <v/>
      </c>
      <c r="N16" s="2" t="str">
        <f>IF(A16="","",COUNTIFS(Relationships!$A$6:$A$205,A16,Relationships!$V$6:$V$205,1))</f>
        <v/>
      </c>
      <c r="O16" s="2" t="str">
        <f>IF(A16="","",IF(Q16&lt;&gt;1,"Outside cap universe",IF(R16&lt;&gt;1,"Duplicate network issuer",IF(C16&lt;&gt;"Yes","Review incomplete",IF(OR(NOT(ISNUMBER(D16)),D16&gt;Rules!$B$6,Rules!$B$6-D16&gt;Rules!$B$42,E16=""),"Check review date/log",IF(N16&gt;0,"Resolve included records",IF($B$8&lt;&gt;"Ready",$B$8,IF(F16=0,"Reviewed: no qualifying ties","Ranked"))))))))</f>
        <v/>
      </c>
      <c r="P16" s="2">
        <f>IF(A16="",0,IF(AND(Q16=1,R16=1,C16="Yes",ISNUMBER(D16),D16&lt;=Rules!$B$6,Rules!$B$6-D16&lt;=Rules!$B$42,E16&lt;&gt;"",N16=0),1,0))</f>
        <v>0</v>
      </c>
      <c r="Q16" s="2">
        <f t="array" ref="Q16">IF(A16="",0,IF(COUNTIF(Companies!$A$6:$A$55,A16)&lt;&gt;1,0,IF(AND(INDEX(Companies!$R$6:$R$55,MATCH(A16,Companies!$A$6:$A$55,0))=1,INDEX(Companies!$I$6:$I$55,MATCH(A16,Companies!$A$6:$A$55,0))&gt;=MAX(10,Rules!$B$22)),1,0)))</f>
        <v>0</v>
      </c>
      <c r="R16" s="2" t="str">
        <f t="shared" si="5"/>
        <v/>
      </c>
      <c r="S16" s="2" t="str">
        <f t="shared" si="6"/>
        <v/>
      </c>
    </row>
    <row r="17" ht="21.0" customHeight="1">
      <c r="A17" s="44"/>
      <c r="B17" s="2" t="str">
        <f t="array" ref="B17">IF(A17="","",IF(COUNTIF(Companies!$A$6:$A$55,A17)&lt;&gt;1,"n.a.",INDEX(Companies!$C$6:$C$55,MATCH(A17,Companies!$A$6:$A$55,0))))</f>
        <v/>
      </c>
      <c r="C17" s="44"/>
      <c r="D17" s="48"/>
      <c r="E17" s="44"/>
      <c r="F17" s="2" t="str">
        <f>IF(A17="","",COUNTIFS(Relationships!$A$6:$A$205,A17,Relationships!$U$6:$U$205,1))</f>
        <v/>
      </c>
      <c r="G17" s="2" t="str">
        <f>IF(A17="","",COUNTIFS(Relationships!$A$6:$A$205,A17,Relationships!$U$6:$U$205,1,Relationships!$C$6:$C$205,"Client")+COUNTIFS(Relationships!$A$6:$A$205,A17,Relationships!$U$6:$U$205,1,Relationships!$C$6:$C$205,"Client and partner"))</f>
        <v/>
      </c>
      <c r="H17" s="2" t="str">
        <f>IF(A17="","",COUNTIFS(Relationships!$A$6:$A$205,A17,Relationships!$U$6:$U$205,1,Relationships!$C$6:$C$205,"Partner")+COUNTIFS(Relationships!$A$6:$A$205,A17,Relationships!$U$6:$U$205,1,Relationships!$C$6:$C$205,"Client and partner"))</f>
        <v/>
      </c>
      <c r="I17" s="49" t="str">
        <f>IFERROR(__xludf.DUMMYFUNCTION("IF(A17="""","""",IF(F17=0,""n.a."",MEDIAN(FILTER(Relationships!$Q$6:$Q$205,Relationships!$A$6:$A$205=A17,Relationships!$U$6:$U$205=1))))"),"")</f>
        <v/>
      </c>
      <c r="J17" s="49" t="str">
        <f t="shared" si="1"/>
        <v/>
      </c>
      <c r="K17" s="49" t="str">
        <f t="shared" si="2"/>
        <v/>
      </c>
      <c r="L17" s="49" t="str">
        <f t="shared" si="3"/>
        <v/>
      </c>
      <c r="M17" s="50" t="str">
        <f t="shared" si="4"/>
        <v/>
      </c>
      <c r="N17" s="2" t="str">
        <f>IF(A17="","",COUNTIFS(Relationships!$A$6:$A$205,A17,Relationships!$V$6:$V$205,1))</f>
        <v/>
      </c>
      <c r="O17" s="2" t="str">
        <f>IF(A17="","",IF(Q17&lt;&gt;1,"Outside cap universe",IF(R17&lt;&gt;1,"Duplicate network issuer",IF(C17&lt;&gt;"Yes","Review incomplete",IF(OR(NOT(ISNUMBER(D17)),D17&gt;Rules!$B$6,Rules!$B$6-D17&gt;Rules!$B$42,E17=""),"Check review date/log",IF(N17&gt;0,"Resolve included records",IF($B$8&lt;&gt;"Ready",$B$8,IF(F17=0,"Reviewed: no qualifying ties","Ranked"))))))))</f>
        <v/>
      </c>
      <c r="P17" s="2">
        <f>IF(A17="",0,IF(AND(Q17=1,R17=1,C17="Yes",ISNUMBER(D17),D17&lt;=Rules!$B$6,Rules!$B$6-D17&lt;=Rules!$B$42,E17&lt;&gt;"",N17=0),1,0))</f>
        <v>0</v>
      </c>
      <c r="Q17" s="2">
        <f t="array" ref="Q17">IF(A17="",0,IF(COUNTIF(Companies!$A$6:$A$55,A17)&lt;&gt;1,0,IF(AND(INDEX(Companies!$R$6:$R$55,MATCH(A17,Companies!$A$6:$A$55,0))=1,INDEX(Companies!$I$6:$I$55,MATCH(A17,Companies!$A$6:$A$55,0))&gt;=MAX(10,Rules!$B$22)),1,0)))</f>
        <v>0</v>
      </c>
      <c r="R17" s="2" t="str">
        <f t="shared" si="5"/>
        <v/>
      </c>
      <c r="S17" s="2" t="str">
        <f t="shared" si="6"/>
        <v/>
      </c>
    </row>
    <row r="18" ht="21.0" customHeight="1">
      <c r="A18" s="44"/>
      <c r="B18" s="2" t="str">
        <f t="array" ref="B18">IF(A18="","",IF(COUNTIF(Companies!$A$6:$A$55,A18)&lt;&gt;1,"n.a.",INDEX(Companies!$C$6:$C$55,MATCH(A18,Companies!$A$6:$A$55,0))))</f>
        <v/>
      </c>
      <c r="C18" s="44"/>
      <c r="D18" s="48"/>
      <c r="E18" s="44"/>
      <c r="F18" s="2" t="str">
        <f>IF(A18="","",COUNTIFS(Relationships!$A$6:$A$205,A18,Relationships!$U$6:$U$205,1))</f>
        <v/>
      </c>
      <c r="G18" s="2" t="str">
        <f>IF(A18="","",COUNTIFS(Relationships!$A$6:$A$205,A18,Relationships!$U$6:$U$205,1,Relationships!$C$6:$C$205,"Client")+COUNTIFS(Relationships!$A$6:$A$205,A18,Relationships!$U$6:$U$205,1,Relationships!$C$6:$C$205,"Client and partner"))</f>
        <v/>
      </c>
      <c r="H18" s="2" t="str">
        <f>IF(A18="","",COUNTIFS(Relationships!$A$6:$A$205,A18,Relationships!$U$6:$U$205,1,Relationships!$C$6:$C$205,"Partner")+COUNTIFS(Relationships!$A$6:$A$205,A18,Relationships!$U$6:$U$205,1,Relationships!$C$6:$C$205,"Client and partner"))</f>
        <v/>
      </c>
      <c r="I18" s="49" t="str">
        <f>IFERROR(__xludf.DUMMYFUNCTION("IF(A18="""","""",IF(F18=0,""n.a."",MEDIAN(FILTER(Relationships!$Q$6:$Q$205,Relationships!$A$6:$A$205=A18,Relationships!$U$6:$U$205=1))))"),"")</f>
        <v/>
      </c>
      <c r="J18" s="49" t="str">
        <f t="shared" si="1"/>
        <v/>
      </c>
      <c r="K18" s="49" t="str">
        <f t="shared" si="2"/>
        <v/>
      </c>
      <c r="L18" s="49" t="str">
        <f t="shared" si="3"/>
        <v/>
      </c>
      <c r="M18" s="50" t="str">
        <f t="shared" si="4"/>
        <v/>
      </c>
      <c r="N18" s="2" t="str">
        <f>IF(A18="","",COUNTIFS(Relationships!$A$6:$A$205,A18,Relationships!$V$6:$V$205,1))</f>
        <v/>
      </c>
      <c r="O18" s="2" t="str">
        <f>IF(A18="","",IF(Q18&lt;&gt;1,"Outside cap universe",IF(R18&lt;&gt;1,"Duplicate network issuer",IF(C18&lt;&gt;"Yes","Review incomplete",IF(OR(NOT(ISNUMBER(D18)),D18&gt;Rules!$B$6,Rules!$B$6-D18&gt;Rules!$B$42,E18=""),"Check review date/log",IF(N18&gt;0,"Resolve included records",IF($B$8&lt;&gt;"Ready",$B$8,IF(F18=0,"Reviewed: no qualifying ties","Ranked"))))))))</f>
        <v/>
      </c>
      <c r="P18" s="2">
        <f>IF(A18="",0,IF(AND(Q18=1,R18=1,C18="Yes",ISNUMBER(D18),D18&lt;=Rules!$B$6,Rules!$B$6-D18&lt;=Rules!$B$42,E18&lt;&gt;"",N18=0),1,0))</f>
        <v>0</v>
      </c>
      <c r="Q18" s="2">
        <f t="array" ref="Q18">IF(A18="",0,IF(COUNTIF(Companies!$A$6:$A$55,A18)&lt;&gt;1,0,IF(AND(INDEX(Companies!$R$6:$R$55,MATCH(A18,Companies!$A$6:$A$55,0))=1,INDEX(Companies!$I$6:$I$55,MATCH(A18,Companies!$A$6:$A$55,0))&gt;=MAX(10,Rules!$B$22)),1,0)))</f>
        <v>0</v>
      </c>
      <c r="R18" s="2" t="str">
        <f t="shared" si="5"/>
        <v/>
      </c>
      <c r="S18" s="2" t="str">
        <f t="shared" si="6"/>
        <v/>
      </c>
    </row>
    <row r="19" ht="21.0" customHeight="1">
      <c r="A19" s="44"/>
      <c r="B19" s="2" t="str">
        <f t="array" ref="B19">IF(A19="","",IF(COUNTIF(Companies!$A$6:$A$55,A19)&lt;&gt;1,"n.a.",INDEX(Companies!$C$6:$C$55,MATCH(A19,Companies!$A$6:$A$55,0))))</f>
        <v/>
      </c>
      <c r="C19" s="44"/>
      <c r="D19" s="48"/>
      <c r="E19" s="44"/>
      <c r="F19" s="2" t="str">
        <f>IF(A19="","",COUNTIFS(Relationships!$A$6:$A$205,A19,Relationships!$U$6:$U$205,1))</f>
        <v/>
      </c>
      <c r="G19" s="2" t="str">
        <f>IF(A19="","",COUNTIFS(Relationships!$A$6:$A$205,A19,Relationships!$U$6:$U$205,1,Relationships!$C$6:$C$205,"Client")+COUNTIFS(Relationships!$A$6:$A$205,A19,Relationships!$U$6:$U$205,1,Relationships!$C$6:$C$205,"Client and partner"))</f>
        <v/>
      </c>
      <c r="H19" s="2" t="str">
        <f>IF(A19="","",COUNTIFS(Relationships!$A$6:$A$205,A19,Relationships!$U$6:$U$205,1,Relationships!$C$6:$C$205,"Partner")+COUNTIFS(Relationships!$A$6:$A$205,A19,Relationships!$U$6:$U$205,1,Relationships!$C$6:$C$205,"Client and partner"))</f>
        <v/>
      </c>
      <c r="I19" s="49" t="str">
        <f>IFERROR(__xludf.DUMMYFUNCTION("IF(A19="""","""",IF(F19=0,""n.a."",MEDIAN(FILTER(Relationships!$Q$6:$Q$205,Relationships!$A$6:$A$205=A19,Relationships!$U$6:$U$205=1))))"),"")</f>
        <v/>
      </c>
      <c r="J19" s="49" t="str">
        <f t="shared" si="1"/>
        <v/>
      </c>
      <c r="K19" s="49" t="str">
        <f t="shared" si="2"/>
        <v/>
      </c>
      <c r="L19" s="49" t="str">
        <f t="shared" si="3"/>
        <v/>
      </c>
      <c r="M19" s="50" t="str">
        <f t="shared" si="4"/>
        <v/>
      </c>
      <c r="N19" s="2" t="str">
        <f>IF(A19="","",COUNTIFS(Relationships!$A$6:$A$205,A19,Relationships!$V$6:$V$205,1))</f>
        <v/>
      </c>
      <c r="O19" s="2" t="str">
        <f>IF(A19="","",IF(Q19&lt;&gt;1,"Outside cap universe",IF(R19&lt;&gt;1,"Duplicate network issuer",IF(C19&lt;&gt;"Yes","Review incomplete",IF(OR(NOT(ISNUMBER(D19)),D19&gt;Rules!$B$6,Rules!$B$6-D19&gt;Rules!$B$42,E19=""),"Check review date/log",IF(N19&gt;0,"Resolve included records",IF($B$8&lt;&gt;"Ready",$B$8,IF(F19=0,"Reviewed: no qualifying ties","Ranked"))))))))</f>
        <v/>
      </c>
      <c r="P19" s="2">
        <f>IF(A19="",0,IF(AND(Q19=1,R19=1,C19="Yes",ISNUMBER(D19),D19&lt;=Rules!$B$6,Rules!$B$6-D19&lt;=Rules!$B$42,E19&lt;&gt;"",N19=0),1,0))</f>
        <v>0</v>
      </c>
      <c r="Q19" s="2">
        <f t="array" ref="Q19">IF(A19="",0,IF(COUNTIF(Companies!$A$6:$A$55,A19)&lt;&gt;1,0,IF(AND(INDEX(Companies!$R$6:$R$55,MATCH(A19,Companies!$A$6:$A$55,0))=1,INDEX(Companies!$I$6:$I$55,MATCH(A19,Companies!$A$6:$A$55,0))&gt;=MAX(10,Rules!$B$22)),1,0)))</f>
        <v>0</v>
      </c>
      <c r="R19" s="2" t="str">
        <f t="shared" si="5"/>
        <v/>
      </c>
      <c r="S19" s="2" t="str">
        <f t="shared" si="6"/>
        <v/>
      </c>
    </row>
    <row r="20" ht="21.0" customHeight="1">
      <c r="A20" s="44"/>
      <c r="B20" s="2" t="str">
        <f t="array" ref="B20">IF(A20="","",IF(COUNTIF(Companies!$A$6:$A$55,A20)&lt;&gt;1,"n.a.",INDEX(Companies!$C$6:$C$55,MATCH(A20,Companies!$A$6:$A$55,0))))</f>
        <v/>
      </c>
      <c r="C20" s="44"/>
      <c r="D20" s="48"/>
      <c r="E20" s="44"/>
      <c r="F20" s="2" t="str">
        <f>IF(A20="","",COUNTIFS(Relationships!$A$6:$A$205,A20,Relationships!$U$6:$U$205,1))</f>
        <v/>
      </c>
      <c r="G20" s="2" t="str">
        <f>IF(A20="","",COUNTIFS(Relationships!$A$6:$A$205,A20,Relationships!$U$6:$U$205,1,Relationships!$C$6:$C$205,"Client")+COUNTIFS(Relationships!$A$6:$A$205,A20,Relationships!$U$6:$U$205,1,Relationships!$C$6:$C$205,"Client and partner"))</f>
        <v/>
      </c>
      <c r="H20" s="2" t="str">
        <f>IF(A20="","",COUNTIFS(Relationships!$A$6:$A$205,A20,Relationships!$U$6:$U$205,1,Relationships!$C$6:$C$205,"Partner")+COUNTIFS(Relationships!$A$6:$A$205,A20,Relationships!$U$6:$U$205,1,Relationships!$C$6:$C$205,"Client and partner"))</f>
        <v/>
      </c>
      <c r="I20" s="49" t="str">
        <f>IFERROR(__xludf.DUMMYFUNCTION("IF(A20="""","""",IF(F20=0,""n.a."",MEDIAN(FILTER(Relationships!$Q$6:$Q$205,Relationships!$A$6:$A$205=A20,Relationships!$U$6:$U$205=1))))"),"")</f>
        <v/>
      </c>
      <c r="J20" s="49" t="str">
        <f t="shared" si="1"/>
        <v/>
      </c>
      <c r="K20" s="49" t="str">
        <f t="shared" si="2"/>
        <v/>
      </c>
      <c r="L20" s="49" t="str">
        <f t="shared" si="3"/>
        <v/>
      </c>
      <c r="M20" s="50" t="str">
        <f t="shared" si="4"/>
        <v/>
      </c>
      <c r="N20" s="2" t="str">
        <f>IF(A20="","",COUNTIFS(Relationships!$A$6:$A$205,A20,Relationships!$V$6:$V$205,1))</f>
        <v/>
      </c>
      <c r="O20" s="2" t="str">
        <f>IF(A20="","",IF(Q20&lt;&gt;1,"Outside cap universe",IF(R20&lt;&gt;1,"Duplicate network issuer",IF(C20&lt;&gt;"Yes","Review incomplete",IF(OR(NOT(ISNUMBER(D20)),D20&gt;Rules!$B$6,Rules!$B$6-D20&gt;Rules!$B$42,E20=""),"Check review date/log",IF(N20&gt;0,"Resolve included records",IF($B$8&lt;&gt;"Ready",$B$8,IF(F20=0,"Reviewed: no qualifying ties","Ranked"))))))))</f>
        <v/>
      </c>
      <c r="P20" s="2">
        <f>IF(A20="",0,IF(AND(Q20=1,R20=1,C20="Yes",ISNUMBER(D20),D20&lt;=Rules!$B$6,Rules!$B$6-D20&lt;=Rules!$B$42,E20&lt;&gt;"",N20=0),1,0))</f>
        <v>0</v>
      </c>
      <c r="Q20" s="2">
        <f t="array" ref="Q20">IF(A20="",0,IF(COUNTIF(Companies!$A$6:$A$55,A20)&lt;&gt;1,0,IF(AND(INDEX(Companies!$R$6:$R$55,MATCH(A20,Companies!$A$6:$A$55,0))=1,INDEX(Companies!$I$6:$I$55,MATCH(A20,Companies!$A$6:$A$55,0))&gt;=MAX(10,Rules!$B$22)),1,0)))</f>
        <v>0</v>
      </c>
      <c r="R20" s="2" t="str">
        <f t="shared" si="5"/>
        <v/>
      </c>
      <c r="S20" s="2" t="str">
        <f t="shared" si="6"/>
        <v/>
      </c>
    </row>
    <row r="21" ht="21.0" customHeight="1">
      <c r="A21" s="44"/>
      <c r="B21" s="2" t="str">
        <f t="array" ref="B21">IF(A21="","",IF(COUNTIF(Companies!$A$6:$A$55,A21)&lt;&gt;1,"n.a.",INDEX(Companies!$C$6:$C$55,MATCH(A21,Companies!$A$6:$A$55,0))))</f>
        <v/>
      </c>
      <c r="C21" s="44"/>
      <c r="D21" s="48"/>
      <c r="E21" s="44"/>
      <c r="F21" s="2" t="str">
        <f>IF(A21="","",COUNTIFS(Relationships!$A$6:$A$205,A21,Relationships!$U$6:$U$205,1))</f>
        <v/>
      </c>
      <c r="G21" s="2" t="str">
        <f>IF(A21="","",COUNTIFS(Relationships!$A$6:$A$205,A21,Relationships!$U$6:$U$205,1,Relationships!$C$6:$C$205,"Client")+COUNTIFS(Relationships!$A$6:$A$205,A21,Relationships!$U$6:$U$205,1,Relationships!$C$6:$C$205,"Client and partner"))</f>
        <v/>
      </c>
      <c r="H21" s="2" t="str">
        <f>IF(A21="","",COUNTIFS(Relationships!$A$6:$A$205,A21,Relationships!$U$6:$U$205,1,Relationships!$C$6:$C$205,"Partner")+COUNTIFS(Relationships!$A$6:$A$205,A21,Relationships!$U$6:$U$205,1,Relationships!$C$6:$C$205,"Client and partner"))</f>
        <v/>
      </c>
      <c r="I21" s="49" t="str">
        <f>IFERROR(__xludf.DUMMYFUNCTION("IF(A21="""","""",IF(F21=0,""n.a."",MEDIAN(FILTER(Relationships!$Q$6:$Q$205,Relationships!$A$6:$A$205=A21,Relationships!$U$6:$U$205=1))))"),"")</f>
        <v/>
      </c>
      <c r="J21" s="49" t="str">
        <f t="shared" si="1"/>
        <v/>
      </c>
      <c r="K21" s="49" t="str">
        <f t="shared" si="2"/>
        <v/>
      </c>
      <c r="L21" s="49" t="str">
        <f t="shared" si="3"/>
        <v/>
      </c>
      <c r="M21" s="50" t="str">
        <f t="shared" si="4"/>
        <v/>
      </c>
      <c r="N21" s="2" t="str">
        <f>IF(A21="","",COUNTIFS(Relationships!$A$6:$A$205,A21,Relationships!$V$6:$V$205,1))</f>
        <v/>
      </c>
      <c r="O21" s="2" t="str">
        <f>IF(A21="","",IF(Q21&lt;&gt;1,"Outside cap universe",IF(R21&lt;&gt;1,"Duplicate network issuer",IF(C21&lt;&gt;"Yes","Review incomplete",IF(OR(NOT(ISNUMBER(D21)),D21&gt;Rules!$B$6,Rules!$B$6-D21&gt;Rules!$B$42,E21=""),"Check review date/log",IF(N21&gt;0,"Resolve included records",IF($B$8&lt;&gt;"Ready",$B$8,IF(F21=0,"Reviewed: no qualifying ties","Ranked"))))))))</f>
        <v/>
      </c>
      <c r="P21" s="2">
        <f>IF(A21="",0,IF(AND(Q21=1,R21=1,C21="Yes",ISNUMBER(D21),D21&lt;=Rules!$B$6,Rules!$B$6-D21&lt;=Rules!$B$42,E21&lt;&gt;"",N21=0),1,0))</f>
        <v>0</v>
      </c>
      <c r="Q21" s="2">
        <f t="array" ref="Q21">IF(A21="",0,IF(COUNTIF(Companies!$A$6:$A$55,A21)&lt;&gt;1,0,IF(AND(INDEX(Companies!$R$6:$R$55,MATCH(A21,Companies!$A$6:$A$55,0))=1,INDEX(Companies!$I$6:$I$55,MATCH(A21,Companies!$A$6:$A$55,0))&gt;=MAX(10,Rules!$B$22)),1,0)))</f>
        <v>0</v>
      </c>
      <c r="R21" s="2" t="str">
        <f t="shared" si="5"/>
        <v/>
      </c>
      <c r="S21" s="2" t="str">
        <f t="shared" si="6"/>
        <v/>
      </c>
    </row>
    <row r="22" ht="21.0" customHeight="1">
      <c r="A22" s="44"/>
      <c r="B22" s="2" t="str">
        <f t="array" ref="B22">IF(A22="","",IF(COUNTIF(Companies!$A$6:$A$55,A22)&lt;&gt;1,"n.a.",INDEX(Companies!$C$6:$C$55,MATCH(A22,Companies!$A$6:$A$55,0))))</f>
        <v/>
      </c>
      <c r="C22" s="44"/>
      <c r="D22" s="48"/>
      <c r="E22" s="44"/>
      <c r="F22" s="2" t="str">
        <f>IF(A22="","",COUNTIFS(Relationships!$A$6:$A$205,A22,Relationships!$U$6:$U$205,1))</f>
        <v/>
      </c>
      <c r="G22" s="2" t="str">
        <f>IF(A22="","",COUNTIFS(Relationships!$A$6:$A$205,A22,Relationships!$U$6:$U$205,1,Relationships!$C$6:$C$205,"Client")+COUNTIFS(Relationships!$A$6:$A$205,A22,Relationships!$U$6:$U$205,1,Relationships!$C$6:$C$205,"Client and partner"))</f>
        <v/>
      </c>
      <c r="H22" s="2" t="str">
        <f>IF(A22="","",COUNTIFS(Relationships!$A$6:$A$205,A22,Relationships!$U$6:$U$205,1,Relationships!$C$6:$C$205,"Partner")+COUNTIFS(Relationships!$A$6:$A$205,A22,Relationships!$U$6:$U$205,1,Relationships!$C$6:$C$205,"Client and partner"))</f>
        <v/>
      </c>
      <c r="I22" s="49" t="str">
        <f>IFERROR(__xludf.DUMMYFUNCTION("IF(A22="""","""",IF(F22=0,""n.a."",MEDIAN(FILTER(Relationships!$Q$6:$Q$205,Relationships!$A$6:$A$205=A22,Relationships!$U$6:$U$205=1))))"),"")</f>
        <v/>
      </c>
      <c r="J22" s="49" t="str">
        <f t="shared" si="1"/>
        <v/>
      </c>
      <c r="K22" s="49" t="str">
        <f t="shared" si="2"/>
        <v/>
      </c>
      <c r="L22" s="49" t="str">
        <f t="shared" si="3"/>
        <v/>
      </c>
      <c r="M22" s="50" t="str">
        <f t="shared" si="4"/>
        <v/>
      </c>
      <c r="N22" s="2" t="str">
        <f>IF(A22="","",COUNTIFS(Relationships!$A$6:$A$205,A22,Relationships!$V$6:$V$205,1))</f>
        <v/>
      </c>
      <c r="O22" s="2" t="str">
        <f>IF(A22="","",IF(Q22&lt;&gt;1,"Outside cap universe",IF(R22&lt;&gt;1,"Duplicate network issuer",IF(C22&lt;&gt;"Yes","Review incomplete",IF(OR(NOT(ISNUMBER(D22)),D22&gt;Rules!$B$6,Rules!$B$6-D22&gt;Rules!$B$42,E22=""),"Check review date/log",IF(N22&gt;0,"Resolve included records",IF($B$8&lt;&gt;"Ready",$B$8,IF(F22=0,"Reviewed: no qualifying ties","Ranked"))))))))</f>
        <v/>
      </c>
      <c r="P22" s="2">
        <f>IF(A22="",0,IF(AND(Q22=1,R22=1,C22="Yes",ISNUMBER(D22),D22&lt;=Rules!$B$6,Rules!$B$6-D22&lt;=Rules!$B$42,E22&lt;&gt;"",N22=0),1,0))</f>
        <v>0</v>
      </c>
      <c r="Q22" s="2">
        <f t="array" ref="Q22">IF(A22="",0,IF(COUNTIF(Companies!$A$6:$A$55,A22)&lt;&gt;1,0,IF(AND(INDEX(Companies!$R$6:$R$55,MATCH(A22,Companies!$A$6:$A$55,0))=1,INDEX(Companies!$I$6:$I$55,MATCH(A22,Companies!$A$6:$A$55,0))&gt;=MAX(10,Rules!$B$22)),1,0)))</f>
        <v>0</v>
      </c>
      <c r="R22" s="2" t="str">
        <f t="shared" si="5"/>
        <v/>
      </c>
      <c r="S22" s="2" t="str">
        <f t="shared" si="6"/>
        <v/>
      </c>
    </row>
    <row r="23" ht="21.0" customHeight="1">
      <c r="A23" s="44"/>
      <c r="B23" s="2" t="str">
        <f t="array" ref="B23">IF(A23="","",IF(COUNTIF(Companies!$A$6:$A$55,A23)&lt;&gt;1,"n.a.",INDEX(Companies!$C$6:$C$55,MATCH(A23,Companies!$A$6:$A$55,0))))</f>
        <v/>
      </c>
      <c r="C23" s="44"/>
      <c r="D23" s="48"/>
      <c r="E23" s="44"/>
      <c r="F23" s="2" t="str">
        <f>IF(A23="","",COUNTIFS(Relationships!$A$6:$A$205,A23,Relationships!$U$6:$U$205,1))</f>
        <v/>
      </c>
      <c r="G23" s="2" t="str">
        <f>IF(A23="","",COUNTIFS(Relationships!$A$6:$A$205,A23,Relationships!$U$6:$U$205,1,Relationships!$C$6:$C$205,"Client")+COUNTIFS(Relationships!$A$6:$A$205,A23,Relationships!$U$6:$U$205,1,Relationships!$C$6:$C$205,"Client and partner"))</f>
        <v/>
      </c>
      <c r="H23" s="2" t="str">
        <f>IF(A23="","",COUNTIFS(Relationships!$A$6:$A$205,A23,Relationships!$U$6:$U$205,1,Relationships!$C$6:$C$205,"Partner")+COUNTIFS(Relationships!$A$6:$A$205,A23,Relationships!$U$6:$U$205,1,Relationships!$C$6:$C$205,"Client and partner"))</f>
        <v/>
      </c>
      <c r="I23" s="49" t="str">
        <f>IFERROR(__xludf.DUMMYFUNCTION("IF(A23="""","""",IF(F23=0,""n.a."",MEDIAN(FILTER(Relationships!$Q$6:$Q$205,Relationships!$A$6:$A$205=A23,Relationships!$U$6:$U$205=1))))"),"")</f>
        <v/>
      </c>
      <c r="J23" s="49" t="str">
        <f t="shared" si="1"/>
        <v/>
      </c>
      <c r="K23" s="49" t="str">
        <f t="shared" si="2"/>
        <v/>
      </c>
      <c r="L23" s="49" t="str">
        <f t="shared" si="3"/>
        <v/>
      </c>
      <c r="M23" s="50" t="str">
        <f t="shared" si="4"/>
        <v/>
      </c>
      <c r="N23" s="2" t="str">
        <f>IF(A23="","",COUNTIFS(Relationships!$A$6:$A$205,A23,Relationships!$V$6:$V$205,1))</f>
        <v/>
      </c>
      <c r="O23" s="2" t="str">
        <f>IF(A23="","",IF(Q23&lt;&gt;1,"Outside cap universe",IF(R23&lt;&gt;1,"Duplicate network issuer",IF(C23&lt;&gt;"Yes","Review incomplete",IF(OR(NOT(ISNUMBER(D23)),D23&gt;Rules!$B$6,Rules!$B$6-D23&gt;Rules!$B$42,E23=""),"Check review date/log",IF(N23&gt;0,"Resolve included records",IF($B$8&lt;&gt;"Ready",$B$8,IF(F23=0,"Reviewed: no qualifying ties","Ranked"))))))))</f>
        <v/>
      </c>
      <c r="P23" s="2">
        <f>IF(A23="",0,IF(AND(Q23=1,R23=1,C23="Yes",ISNUMBER(D23),D23&lt;=Rules!$B$6,Rules!$B$6-D23&lt;=Rules!$B$42,E23&lt;&gt;"",N23=0),1,0))</f>
        <v>0</v>
      </c>
      <c r="Q23" s="2">
        <f t="array" ref="Q23">IF(A23="",0,IF(COUNTIF(Companies!$A$6:$A$55,A23)&lt;&gt;1,0,IF(AND(INDEX(Companies!$R$6:$R$55,MATCH(A23,Companies!$A$6:$A$55,0))=1,INDEX(Companies!$I$6:$I$55,MATCH(A23,Companies!$A$6:$A$55,0))&gt;=MAX(10,Rules!$B$22)),1,0)))</f>
        <v>0</v>
      </c>
      <c r="R23" s="2" t="str">
        <f t="shared" si="5"/>
        <v/>
      </c>
      <c r="S23" s="2" t="str">
        <f t="shared" si="6"/>
        <v/>
      </c>
    </row>
    <row r="24" ht="21.0" customHeight="1">
      <c r="A24" s="44"/>
      <c r="B24" s="2" t="str">
        <f t="array" ref="B24">IF(A24="","",IF(COUNTIF(Companies!$A$6:$A$55,A24)&lt;&gt;1,"n.a.",INDEX(Companies!$C$6:$C$55,MATCH(A24,Companies!$A$6:$A$55,0))))</f>
        <v/>
      </c>
      <c r="C24" s="44"/>
      <c r="D24" s="48"/>
      <c r="E24" s="44"/>
      <c r="F24" s="2" t="str">
        <f>IF(A24="","",COUNTIFS(Relationships!$A$6:$A$205,A24,Relationships!$U$6:$U$205,1))</f>
        <v/>
      </c>
      <c r="G24" s="2" t="str">
        <f>IF(A24="","",COUNTIFS(Relationships!$A$6:$A$205,A24,Relationships!$U$6:$U$205,1,Relationships!$C$6:$C$205,"Client")+COUNTIFS(Relationships!$A$6:$A$205,A24,Relationships!$U$6:$U$205,1,Relationships!$C$6:$C$205,"Client and partner"))</f>
        <v/>
      </c>
      <c r="H24" s="2" t="str">
        <f>IF(A24="","",COUNTIFS(Relationships!$A$6:$A$205,A24,Relationships!$U$6:$U$205,1,Relationships!$C$6:$C$205,"Partner")+COUNTIFS(Relationships!$A$6:$A$205,A24,Relationships!$U$6:$U$205,1,Relationships!$C$6:$C$205,"Client and partner"))</f>
        <v/>
      </c>
      <c r="I24" s="49" t="str">
        <f>IFERROR(__xludf.DUMMYFUNCTION("IF(A24="""","""",IF(F24=0,""n.a."",MEDIAN(FILTER(Relationships!$Q$6:$Q$205,Relationships!$A$6:$A$205=A24,Relationships!$U$6:$U$205=1))))"),"")</f>
        <v/>
      </c>
      <c r="J24" s="49" t="str">
        <f t="shared" si="1"/>
        <v/>
      </c>
      <c r="K24" s="49" t="str">
        <f t="shared" si="2"/>
        <v/>
      </c>
      <c r="L24" s="49" t="str">
        <f t="shared" si="3"/>
        <v/>
      </c>
      <c r="M24" s="50" t="str">
        <f t="shared" si="4"/>
        <v/>
      </c>
      <c r="N24" s="2" t="str">
        <f>IF(A24="","",COUNTIFS(Relationships!$A$6:$A$205,A24,Relationships!$V$6:$V$205,1))</f>
        <v/>
      </c>
      <c r="O24" s="2" t="str">
        <f>IF(A24="","",IF(Q24&lt;&gt;1,"Outside cap universe",IF(R24&lt;&gt;1,"Duplicate network issuer",IF(C24&lt;&gt;"Yes","Review incomplete",IF(OR(NOT(ISNUMBER(D24)),D24&gt;Rules!$B$6,Rules!$B$6-D24&gt;Rules!$B$42,E24=""),"Check review date/log",IF(N24&gt;0,"Resolve included records",IF($B$8&lt;&gt;"Ready",$B$8,IF(F24=0,"Reviewed: no qualifying ties","Ranked"))))))))</f>
        <v/>
      </c>
      <c r="P24" s="2">
        <f>IF(A24="",0,IF(AND(Q24=1,R24=1,C24="Yes",ISNUMBER(D24),D24&lt;=Rules!$B$6,Rules!$B$6-D24&lt;=Rules!$B$42,E24&lt;&gt;"",N24=0),1,0))</f>
        <v>0</v>
      </c>
      <c r="Q24" s="2">
        <f t="array" ref="Q24">IF(A24="",0,IF(COUNTIF(Companies!$A$6:$A$55,A24)&lt;&gt;1,0,IF(AND(INDEX(Companies!$R$6:$R$55,MATCH(A24,Companies!$A$6:$A$55,0))=1,INDEX(Companies!$I$6:$I$55,MATCH(A24,Companies!$A$6:$A$55,0))&gt;=MAX(10,Rules!$B$22)),1,0)))</f>
        <v>0</v>
      </c>
      <c r="R24" s="2" t="str">
        <f t="shared" si="5"/>
        <v/>
      </c>
      <c r="S24" s="2" t="str">
        <f t="shared" si="6"/>
        <v/>
      </c>
    </row>
    <row r="25" ht="21.0" customHeight="1">
      <c r="A25" s="44"/>
      <c r="B25" s="2" t="str">
        <f t="array" ref="B25">IF(A25="","",IF(COUNTIF(Companies!$A$6:$A$55,A25)&lt;&gt;1,"n.a.",INDEX(Companies!$C$6:$C$55,MATCH(A25,Companies!$A$6:$A$55,0))))</f>
        <v/>
      </c>
      <c r="C25" s="44"/>
      <c r="D25" s="48"/>
      <c r="E25" s="44"/>
      <c r="F25" s="2" t="str">
        <f>IF(A25="","",COUNTIFS(Relationships!$A$6:$A$205,A25,Relationships!$U$6:$U$205,1))</f>
        <v/>
      </c>
      <c r="G25" s="2" t="str">
        <f>IF(A25="","",COUNTIFS(Relationships!$A$6:$A$205,A25,Relationships!$U$6:$U$205,1,Relationships!$C$6:$C$205,"Client")+COUNTIFS(Relationships!$A$6:$A$205,A25,Relationships!$U$6:$U$205,1,Relationships!$C$6:$C$205,"Client and partner"))</f>
        <v/>
      </c>
      <c r="H25" s="2" t="str">
        <f>IF(A25="","",COUNTIFS(Relationships!$A$6:$A$205,A25,Relationships!$U$6:$U$205,1,Relationships!$C$6:$C$205,"Partner")+COUNTIFS(Relationships!$A$6:$A$205,A25,Relationships!$U$6:$U$205,1,Relationships!$C$6:$C$205,"Client and partner"))</f>
        <v/>
      </c>
      <c r="I25" s="49" t="str">
        <f>IFERROR(__xludf.DUMMYFUNCTION("IF(A25="""","""",IF(F25=0,""n.a."",MEDIAN(FILTER(Relationships!$Q$6:$Q$205,Relationships!$A$6:$A$205=A25,Relationships!$U$6:$U$205=1))))"),"")</f>
        <v/>
      </c>
      <c r="J25" s="49" t="str">
        <f t="shared" si="1"/>
        <v/>
      </c>
      <c r="K25" s="49" t="str">
        <f t="shared" si="2"/>
        <v/>
      </c>
      <c r="L25" s="49" t="str">
        <f t="shared" si="3"/>
        <v/>
      </c>
      <c r="M25" s="50" t="str">
        <f t="shared" si="4"/>
        <v/>
      </c>
      <c r="N25" s="2" t="str">
        <f>IF(A25="","",COUNTIFS(Relationships!$A$6:$A$205,A25,Relationships!$V$6:$V$205,1))</f>
        <v/>
      </c>
      <c r="O25" s="2" t="str">
        <f>IF(A25="","",IF(Q25&lt;&gt;1,"Outside cap universe",IF(R25&lt;&gt;1,"Duplicate network issuer",IF(C25&lt;&gt;"Yes","Review incomplete",IF(OR(NOT(ISNUMBER(D25)),D25&gt;Rules!$B$6,Rules!$B$6-D25&gt;Rules!$B$42,E25=""),"Check review date/log",IF(N25&gt;0,"Resolve included records",IF($B$8&lt;&gt;"Ready",$B$8,IF(F25=0,"Reviewed: no qualifying ties","Ranked"))))))))</f>
        <v/>
      </c>
      <c r="P25" s="2">
        <f>IF(A25="",0,IF(AND(Q25=1,R25=1,C25="Yes",ISNUMBER(D25),D25&lt;=Rules!$B$6,Rules!$B$6-D25&lt;=Rules!$B$42,E25&lt;&gt;"",N25=0),1,0))</f>
        <v>0</v>
      </c>
      <c r="Q25" s="2">
        <f t="array" ref="Q25">IF(A25="",0,IF(COUNTIF(Companies!$A$6:$A$55,A25)&lt;&gt;1,0,IF(AND(INDEX(Companies!$R$6:$R$55,MATCH(A25,Companies!$A$6:$A$55,0))=1,INDEX(Companies!$I$6:$I$55,MATCH(A25,Companies!$A$6:$A$55,0))&gt;=MAX(10,Rules!$B$22)),1,0)))</f>
        <v>0</v>
      </c>
      <c r="R25" s="2" t="str">
        <f t="shared" si="5"/>
        <v/>
      </c>
      <c r="S25" s="2" t="str">
        <f t="shared" si="6"/>
        <v/>
      </c>
    </row>
    <row r="26" ht="21.0" customHeight="1">
      <c r="A26" s="44"/>
      <c r="B26" s="2" t="str">
        <f t="array" ref="B26">IF(A26="","",IF(COUNTIF(Companies!$A$6:$A$55,A26)&lt;&gt;1,"n.a.",INDEX(Companies!$C$6:$C$55,MATCH(A26,Companies!$A$6:$A$55,0))))</f>
        <v/>
      </c>
      <c r="C26" s="44"/>
      <c r="D26" s="48"/>
      <c r="E26" s="44"/>
      <c r="F26" s="2" t="str">
        <f>IF(A26="","",COUNTIFS(Relationships!$A$6:$A$205,A26,Relationships!$U$6:$U$205,1))</f>
        <v/>
      </c>
      <c r="G26" s="2" t="str">
        <f>IF(A26="","",COUNTIFS(Relationships!$A$6:$A$205,A26,Relationships!$U$6:$U$205,1,Relationships!$C$6:$C$205,"Client")+COUNTIFS(Relationships!$A$6:$A$205,A26,Relationships!$U$6:$U$205,1,Relationships!$C$6:$C$205,"Client and partner"))</f>
        <v/>
      </c>
      <c r="H26" s="2" t="str">
        <f>IF(A26="","",COUNTIFS(Relationships!$A$6:$A$205,A26,Relationships!$U$6:$U$205,1,Relationships!$C$6:$C$205,"Partner")+COUNTIFS(Relationships!$A$6:$A$205,A26,Relationships!$U$6:$U$205,1,Relationships!$C$6:$C$205,"Client and partner"))</f>
        <v/>
      </c>
      <c r="I26" s="49" t="str">
        <f>IFERROR(__xludf.DUMMYFUNCTION("IF(A26="""","""",IF(F26=0,""n.a."",MEDIAN(FILTER(Relationships!$Q$6:$Q$205,Relationships!$A$6:$A$205=A26,Relationships!$U$6:$U$205=1))))"),"")</f>
        <v/>
      </c>
      <c r="J26" s="49" t="str">
        <f t="shared" si="1"/>
        <v/>
      </c>
      <c r="K26" s="49" t="str">
        <f t="shared" si="2"/>
        <v/>
      </c>
      <c r="L26" s="49" t="str">
        <f t="shared" si="3"/>
        <v/>
      </c>
      <c r="M26" s="50" t="str">
        <f t="shared" si="4"/>
        <v/>
      </c>
      <c r="N26" s="2" t="str">
        <f>IF(A26="","",COUNTIFS(Relationships!$A$6:$A$205,A26,Relationships!$V$6:$V$205,1))</f>
        <v/>
      </c>
      <c r="O26" s="2" t="str">
        <f>IF(A26="","",IF(Q26&lt;&gt;1,"Outside cap universe",IF(R26&lt;&gt;1,"Duplicate network issuer",IF(C26&lt;&gt;"Yes","Review incomplete",IF(OR(NOT(ISNUMBER(D26)),D26&gt;Rules!$B$6,Rules!$B$6-D26&gt;Rules!$B$42,E26=""),"Check review date/log",IF(N26&gt;0,"Resolve included records",IF($B$8&lt;&gt;"Ready",$B$8,IF(F26=0,"Reviewed: no qualifying ties","Ranked"))))))))</f>
        <v/>
      </c>
      <c r="P26" s="2">
        <f>IF(A26="",0,IF(AND(Q26=1,R26=1,C26="Yes",ISNUMBER(D26),D26&lt;=Rules!$B$6,Rules!$B$6-D26&lt;=Rules!$B$42,E26&lt;&gt;"",N26=0),1,0))</f>
        <v>0</v>
      </c>
      <c r="Q26" s="2">
        <f t="array" ref="Q26">IF(A26="",0,IF(COUNTIF(Companies!$A$6:$A$55,A26)&lt;&gt;1,0,IF(AND(INDEX(Companies!$R$6:$R$55,MATCH(A26,Companies!$A$6:$A$55,0))=1,INDEX(Companies!$I$6:$I$55,MATCH(A26,Companies!$A$6:$A$55,0))&gt;=MAX(10,Rules!$B$22)),1,0)))</f>
        <v>0</v>
      </c>
      <c r="R26" s="2" t="str">
        <f t="shared" si="5"/>
        <v/>
      </c>
      <c r="S26" s="2" t="str">
        <f t="shared" si="6"/>
        <v/>
      </c>
    </row>
    <row r="27" ht="21.0" customHeight="1">
      <c r="A27" s="44"/>
      <c r="B27" s="2" t="str">
        <f t="array" ref="B27">IF(A27="","",IF(COUNTIF(Companies!$A$6:$A$55,A27)&lt;&gt;1,"n.a.",INDEX(Companies!$C$6:$C$55,MATCH(A27,Companies!$A$6:$A$55,0))))</f>
        <v/>
      </c>
      <c r="C27" s="44"/>
      <c r="D27" s="48"/>
      <c r="E27" s="44"/>
      <c r="F27" s="2" t="str">
        <f>IF(A27="","",COUNTIFS(Relationships!$A$6:$A$205,A27,Relationships!$U$6:$U$205,1))</f>
        <v/>
      </c>
      <c r="G27" s="2" t="str">
        <f>IF(A27="","",COUNTIFS(Relationships!$A$6:$A$205,A27,Relationships!$U$6:$U$205,1,Relationships!$C$6:$C$205,"Client")+COUNTIFS(Relationships!$A$6:$A$205,A27,Relationships!$U$6:$U$205,1,Relationships!$C$6:$C$205,"Client and partner"))</f>
        <v/>
      </c>
      <c r="H27" s="2" t="str">
        <f>IF(A27="","",COUNTIFS(Relationships!$A$6:$A$205,A27,Relationships!$U$6:$U$205,1,Relationships!$C$6:$C$205,"Partner")+COUNTIFS(Relationships!$A$6:$A$205,A27,Relationships!$U$6:$U$205,1,Relationships!$C$6:$C$205,"Client and partner"))</f>
        <v/>
      </c>
      <c r="I27" s="49" t="str">
        <f>IFERROR(__xludf.DUMMYFUNCTION("IF(A27="""","""",IF(F27=0,""n.a."",MEDIAN(FILTER(Relationships!$Q$6:$Q$205,Relationships!$A$6:$A$205=A27,Relationships!$U$6:$U$205=1))))"),"")</f>
        <v/>
      </c>
      <c r="J27" s="49" t="str">
        <f t="shared" si="1"/>
        <v/>
      </c>
      <c r="K27" s="49" t="str">
        <f t="shared" si="2"/>
        <v/>
      </c>
      <c r="L27" s="49" t="str">
        <f t="shared" si="3"/>
        <v/>
      </c>
      <c r="M27" s="50" t="str">
        <f t="shared" si="4"/>
        <v/>
      </c>
      <c r="N27" s="2" t="str">
        <f>IF(A27="","",COUNTIFS(Relationships!$A$6:$A$205,A27,Relationships!$V$6:$V$205,1))</f>
        <v/>
      </c>
      <c r="O27" s="2" t="str">
        <f>IF(A27="","",IF(Q27&lt;&gt;1,"Outside cap universe",IF(R27&lt;&gt;1,"Duplicate network issuer",IF(C27&lt;&gt;"Yes","Review incomplete",IF(OR(NOT(ISNUMBER(D27)),D27&gt;Rules!$B$6,Rules!$B$6-D27&gt;Rules!$B$42,E27=""),"Check review date/log",IF(N27&gt;0,"Resolve included records",IF($B$8&lt;&gt;"Ready",$B$8,IF(F27=0,"Reviewed: no qualifying ties","Ranked"))))))))</f>
        <v/>
      </c>
      <c r="P27" s="2">
        <f>IF(A27="",0,IF(AND(Q27=1,R27=1,C27="Yes",ISNUMBER(D27),D27&lt;=Rules!$B$6,Rules!$B$6-D27&lt;=Rules!$B$42,E27&lt;&gt;"",N27=0),1,0))</f>
        <v>0</v>
      </c>
      <c r="Q27" s="2">
        <f t="array" ref="Q27">IF(A27="",0,IF(COUNTIF(Companies!$A$6:$A$55,A27)&lt;&gt;1,0,IF(AND(INDEX(Companies!$R$6:$R$55,MATCH(A27,Companies!$A$6:$A$55,0))=1,INDEX(Companies!$I$6:$I$55,MATCH(A27,Companies!$A$6:$A$55,0))&gt;=MAX(10,Rules!$B$22)),1,0)))</f>
        <v>0</v>
      </c>
      <c r="R27" s="2" t="str">
        <f t="shared" si="5"/>
        <v/>
      </c>
      <c r="S27" s="2" t="str">
        <f t="shared" si="6"/>
        <v/>
      </c>
    </row>
    <row r="28" ht="21.0" customHeight="1">
      <c r="A28" s="44"/>
      <c r="B28" s="2" t="str">
        <f t="array" ref="B28">IF(A28="","",IF(COUNTIF(Companies!$A$6:$A$55,A28)&lt;&gt;1,"n.a.",INDEX(Companies!$C$6:$C$55,MATCH(A28,Companies!$A$6:$A$55,0))))</f>
        <v/>
      </c>
      <c r="C28" s="44"/>
      <c r="D28" s="48"/>
      <c r="E28" s="44"/>
      <c r="F28" s="2" t="str">
        <f>IF(A28="","",COUNTIFS(Relationships!$A$6:$A$205,A28,Relationships!$U$6:$U$205,1))</f>
        <v/>
      </c>
      <c r="G28" s="2" t="str">
        <f>IF(A28="","",COUNTIFS(Relationships!$A$6:$A$205,A28,Relationships!$U$6:$U$205,1,Relationships!$C$6:$C$205,"Client")+COUNTIFS(Relationships!$A$6:$A$205,A28,Relationships!$U$6:$U$205,1,Relationships!$C$6:$C$205,"Client and partner"))</f>
        <v/>
      </c>
      <c r="H28" s="2" t="str">
        <f>IF(A28="","",COUNTIFS(Relationships!$A$6:$A$205,A28,Relationships!$U$6:$U$205,1,Relationships!$C$6:$C$205,"Partner")+COUNTIFS(Relationships!$A$6:$A$205,A28,Relationships!$U$6:$U$205,1,Relationships!$C$6:$C$205,"Client and partner"))</f>
        <v/>
      </c>
      <c r="I28" s="49" t="str">
        <f>IFERROR(__xludf.DUMMYFUNCTION("IF(A28="""","""",IF(F28=0,""n.a."",MEDIAN(FILTER(Relationships!$Q$6:$Q$205,Relationships!$A$6:$A$205=A28,Relationships!$U$6:$U$205=1))))"),"")</f>
        <v/>
      </c>
      <c r="J28" s="49" t="str">
        <f t="shared" si="1"/>
        <v/>
      </c>
      <c r="K28" s="49" t="str">
        <f t="shared" si="2"/>
        <v/>
      </c>
      <c r="L28" s="49" t="str">
        <f t="shared" si="3"/>
        <v/>
      </c>
      <c r="M28" s="50" t="str">
        <f t="shared" si="4"/>
        <v/>
      </c>
      <c r="N28" s="2" t="str">
        <f>IF(A28="","",COUNTIFS(Relationships!$A$6:$A$205,A28,Relationships!$V$6:$V$205,1))</f>
        <v/>
      </c>
      <c r="O28" s="2" t="str">
        <f>IF(A28="","",IF(Q28&lt;&gt;1,"Outside cap universe",IF(R28&lt;&gt;1,"Duplicate network issuer",IF(C28&lt;&gt;"Yes","Review incomplete",IF(OR(NOT(ISNUMBER(D28)),D28&gt;Rules!$B$6,Rules!$B$6-D28&gt;Rules!$B$42,E28=""),"Check review date/log",IF(N28&gt;0,"Resolve included records",IF($B$8&lt;&gt;"Ready",$B$8,IF(F28=0,"Reviewed: no qualifying ties","Ranked"))))))))</f>
        <v/>
      </c>
      <c r="P28" s="2">
        <f>IF(A28="",0,IF(AND(Q28=1,R28=1,C28="Yes",ISNUMBER(D28),D28&lt;=Rules!$B$6,Rules!$B$6-D28&lt;=Rules!$B$42,E28&lt;&gt;"",N28=0),1,0))</f>
        <v>0</v>
      </c>
      <c r="Q28" s="2">
        <f t="array" ref="Q28">IF(A28="",0,IF(COUNTIF(Companies!$A$6:$A$55,A28)&lt;&gt;1,0,IF(AND(INDEX(Companies!$R$6:$R$55,MATCH(A28,Companies!$A$6:$A$55,0))=1,INDEX(Companies!$I$6:$I$55,MATCH(A28,Companies!$A$6:$A$55,0))&gt;=MAX(10,Rules!$B$22)),1,0)))</f>
        <v>0</v>
      </c>
      <c r="R28" s="2" t="str">
        <f t="shared" si="5"/>
        <v/>
      </c>
      <c r="S28" s="2" t="str">
        <f t="shared" si="6"/>
        <v/>
      </c>
    </row>
    <row r="29" ht="21.0" customHeight="1">
      <c r="A29" s="44"/>
      <c r="B29" s="2" t="str">
        <f t="array" ref="B29">IF(A29="","",IF(COUNTIF(Companies!$A$6:$A$55,A29)&lt;&gt;1,"n.a.",INDEX(Companies!$C$6:$C$55,MATCH(A29,Companies!$A$6:$A$55,0))))</f>
        <v/>
      </c>
      <c r="C29" s="44"/>
      <c r="D29" s="48"/>
      <c r="E29" s="44"/>
      <c r="F29" s="2" t="str">
        <f>IF(A29="","",COUNTIFS(Relationships!$A$6:$A$205,A29,Relationships!$U$6:$U$205,1))</f>
        <v/>
      </c>
      <c r="G29" s="2" t="str">
        <f>IF(A29="","",COUNTIFS(Relationships!$A$6:$A$205,A29,Relationships!$U$6:$U$205,1,Relationships!$C$6:$C$205,"Client")+COUNTIFS(Relationships!$A$6:$A$205,A29,Relationships!$U$6:$U$205,1,Relationships!$C$6:$C$205,"Client and partner"))</f>
        <v/>
      </c>
      <c r="H29" s="2" t="str">
        <f>IF(A29="","",COUNTIFS(Relationships!$A$6:$A$205,A29,Relationships!$U$6:$U$205,1,Relationships!$C$6:$C$205,"Partner")+COUNTIFS(Relationships!$A$6:$A$205,A29,Relationships!$U$6:$U$205,1,Relationships!$C$6:$C$205,"Client and partner"))</f>
        <v/>
      </c>
      <c r="I29" s="49" t="str">
        <f>IFERROR(__xludf.DUMMYFUNCTION("IF(A29="""","""",IF(F29=0,""n.a."",MEDIAN(FILTER(Relationships!$Q$6:$Q$205,Relationships!$A$6:$A$205=A29,Relationships!$U$6:$U$205=1))))"),"")</f>
        <v/>
      </c>
      <c r="J29" s="49" t="str">
        <f t="shared" si="1"/>
        <v/>
      </c>
      <c r="K29" s="49" t="str">
        <f t="shared" si="2"/>
        <v/>
      </c>
      <c r="L29" s="49" t="str">
        <f t="shared" si="3"/>
        <v/>
      </c>
      <c r="M29" s="50" t="str">
        <f t="shared" si="4"/>
        <v/>
      </c>
      <c r="N29" s="2" t="str">
        <f>IF(A29="","",COUNTIFS(Relationships!$A$6:$A$205,A29,Relationships!$V$6:$V$205,1))</f>
        <v/>
      </c>
      <c r="O29" s="2" t="str">
        <f>IF(A29="","",IF(Q29&lt;&gt;1,"Outside cap universe",IF(R29&lt;&gt;1,"Duplicate network issuer",IF(C29&lt;&gt;"Yes","Review incomplete",IF(OR(NOT(ISNUMBER(D29)),D29&gt;Rules!$B$6,Rules!$B$6-D29&gt;Rules!$B$42,E29=""),"Check review date/log",IF(N29&gt;0,"Resolve included records",IF($B$8&lt;&gt;"Ready",$B$8,IF(F29=0,"Reviewed: no qualifying ties","Ranked"))))))))</f>
        <v/>
      </c>
      <c r="P29" s="2">
        <f>IF(A29="",0,IF(AND(Q29=1,R29=1,C29="Yes",ISNUMBER(D29),D29&lt;=Rules!$B$6,Rules!$B$6-D29&lt;=Rules!$B$42,E29&lt;&gt;"",N29=0),1,0))</f>
        <v>0</v>
      </c>
      <c r="Q29" s="2">
        <f t="array" ref="Q29">IF(A29="",0,IF(COUNTIF(Companies!$A$6:$A$55,A29)&lt;&gt;1,0,IF(AND(INDEX(Companies!$R$6:$R$55,MATCH(A29,Companies!$A$6:$A$55,0))=1,INDEX(Companies!$I$6:$I$55,MATCH(A29,Companies!$A$6:$A$55,0))&gt;=MAX(10,Rules!$B$22)),1,0)))</f>
        <v>0</v>
      </c>
      <c r="R29" s="2" t="str">
        <f t="shared" si="5"/>
        <v/>
      </c>
      <c r="S29" s="2" t="str">
        <f t="shared" si="6"/>
        <v/>
      </c>
    </row>
    <row r="30" ht="21.0" customHeight="1">
      <c r="A30" s="44"/>
      <c r="B30" s="2" t="str">
        <f t="array" ref="B30">IF(A30="","",IF(COUNTIF(Companies!$A$6:$A$55,A30)&lt;&gt;1,"n.a.",INDEX(Companies!$C$6:$C$55,MATCH(A30,Companies!$A$6:$A$55,0))))</f>
        <v/>
      </c>
      <c r="C30" s="44"/>
      <c r="D30" s="48"/>
      <c r="E30" s="44"/>
      <c r="F30" s="2" t="str">
        <f>IF(A30="","",COUNTIFS(Relationships!$A$6:$A$205,A30,Relationships!$U$6:$U$205,1))</f>
        <v/>
      </c>
      <c r="G30" s="2" t="str">
        <f>IF(A30="","",COUNTIFS(Relationships!$A$6:$A$205,A30,Relationships!$U$6:$U$205,1,Relationships!$C$6:$C$205,"Client")+COUNTIFS(Relationships!$A$6:$A$205,A30,Relationships!$U$6:$U$205,1,Relationships!$C$6:$C$205,"Client and partner"))</f>
        <v/>
      </c>
      <c r="H30" s="2" t="str">
        <f>IF(A30="","",COUNTIFS(Relationships!$A$6:$A$205,A30,Relationships!$U$6:$U$205,1,Relationships!$C$6:$C$205,"Partner")+COUNTIFS(Relationships!$A$6:$A$205,A30,Relationships!$U$6:$U$205,1,Relationships!$C$6:$C$205,"Client and partner"))</f>
        <v/>
      </c>
      <c r="I30" s="49" t="str">
        <f>IFERROR(__xludf.DUMMYFUNCTION("IF(A30="""","""",IF(F30=0,""n.a."",MEDIAN(FILTER(Relationships!$Q$6:$Q$205,Relationships!$A$6:$A$205=A30,Relationships!$U$6:$U$205=1))))"),"")</f>
        <v/>
      </c>
      <c r="J30" s="49" t="str">
        <f t="shared" si="1"/>
        <v/>
      </c>
      <c r="K30" s="49" t="str">
        <f t="shared" si="2"/>
        <v/>
      </c>
      <c r="L30" s="49" t="str">
        <f t="shared" si="3"/>
        <v/>
      </c>
      <c r="M30" s="50" t="str">
        <f t="shared" si="4"/>
        <v/>
      </c>
      <c r="N30" s="2" t="str">
        <f>IF(A30="","",COUNTIFS(Relationships!$A$6:$A$205,A30,Relationships!$V$6:$V$205,1))</f>
        <v/>
      </c>
      <c r="O30" s="2" t="str">
        <f>IF(A30="","",IF(Q30&lt;&gt;1,"Outside cap universe",IF(R30&lt;&gt;1,"Duplicate network issuer",IF(C30&lt;&gt;"Yes","Review incomplete",IF(OR(NOT(ISNUMBER(D30)),D30&gt;Rules!$B$6,Rules!$B$6-D30&gt;Rules!$B$42,E30=""),"Check review date/log",IF(N30&gt;0,"Resolve included records",IF($B$8&lt;&gt;"Ready",$B$8,IF(F30=0,"Reviewed: no qualifying ties","Ranked"))))))))</f>
        <v/>
      </c>
      <c r="P30" s="2">
        <f>IF(A30="",0,IF(AND(Q30=1,R30=1,C30="Yes",ISNUMBER(D30),D30&lt;=Rules!$B$6,Rules!$B$6-D30&lt;=Rules!$B$42,E30&lt;&gt;"",N30=0),1,0))</f>
        <v>0</v>
      </c>
      <c r="Q30" s="2">
        <f t="array" ref="Q30">IF(A30="",0,IF(COUNTIF(Companies!$A$6:$A$55,A30)&lt;&gt;1,0,IF(AND(INDEX(Companies!$R$6:$R$55,MATCH(A30,Companies!$A$6:$A$55,0))=1,INDEX(Companies!$I$6:$I$55,MATCH(A30,Companies!$A$6:$A$55,0))&gt;=MAX(10,Rules!$B$22)),1,0)))</f>
        <v>0</v>
      </c>
      <c r="R30" s="2" t="str">
        <f t="shared" si="5"/>
        <v/>
      </c>
      <c r="S30" s="2" t="str">
        <f t="shared" si="6"/>
        <v/>
      </c>
    </row>
    <row r="31" ht="21.0" customHeight="1">
      <c r="A31" s="44"/>
      <c r="B31" s="2" t="str">
        <f t="array" ref="B31">IF(A31="","",IF(COUNTIF(Companies!$A$6:$A$55,A31)&lt;&gt;1,"n.a.",INDEX(Companies!$C$6:$C$55,MATCH(A31,Companies!$A$6:$A$55,0))))</f>
        <v/>
      </c>
      <c r="C31" s="44"/>
      <c r="D31" s="48"/>
      <c r="E31" s="44"/>
      <c r="F31" s="2" t="str">
        <f>IF(A31="","",COUNTIFS(Relationships!$A$6:$A$205,A31,Relationships!$U$6:$U$205,1))</f>
        <v/>
      </c>
      <c r="G31" s="2" t="str">
        <f>IF(A31="","",COUNTIFS(Relationships!$A$6:$A$205,A31,Relationships!$U$6:$U$205,1,Relationships!$C$6:$C$205,"Client")+COUNTIFS(Relationships!$A$6:$A$205,A31,Relationships!$U$6:$U$205,1,Relationships!$C$6:$C$205,"Client and partner"))</f>
        <v/>
      </c>
      <c r="H31" s="2" t="str">
        <f>IF(A31="","",COUNTIFS(Relationships!$A$6:$A$205,A31,Relationships!$U$6:$U$205,1,Relationships!$C$6:$C$205,"Partner")+COUNTIFS(Relationships!$A$6:$A$205,A31,Relationships!$U$6:$U$205,1,Relationships!$C$6:$C$205,"Client and partner"))</f>
        <v/>
      </c>
      <c r="I31" s="49" t="str">
        <f>IFERROR(__xludf.DUMMYFUNCTION("IF(A31="""","""",IF(F31=0,""n.a."",MEDIAN(FILTER(Relationships!$Q$6:$Q$205,Relationships!$A$6:$A$205=A31,Relationships!$U$6:$U$205=1))))"),"")</f>
        <v/>
      </c>
      <c r="J31" s="49" t="str">
        <f t="shared" si="1"/>
        <v/>
      </c>
      <c r="K31" s="49" t="str">
        <f t="shared" si="2"/>
        <v/>
      </c>
      <c r="L31" s="49" t="str">
        <f t="shared" si="3"/>
        <v/>
      </c>
      <c r="M31" s="50" t="str">
        <f t="shared" si="4"/>
        <v/>
      </c>
      <c r="N31" s="2" t="str">
        <f>IF(A31="","",COUNTIFS(Relationships!$A$6:$A$205,A31,Relationships!$V$6:$V$205,1))</f>
        <v/>
      </c>
      <c r="O31" s="2" t="str">
        <f>IF(A31="","",IF(Q31&lt;&gt;1,"Outside cap universe",IF(R31&lt;&gt;1,"Duplicate network issuer",IF(C31&lt;&gt;"Yes","Review incomplete",IF(OR(NOT(ISNUMBER(D31)),D31&gt;Rules!$B$6,Rules!$B$6-D31&gt;Rules!$B$42,E31=""),"Check review date/log",IF(N31&gt;0,"Resolve included records",IF($B$8&lt;&gt;"Ready",$B$8,IF(F31=0,"Reviewed: no qualifying ties","Ranked"))))))))</f>
        <v/>
      </c>
      <c r="P31" s="2">
        <f>IF(A31="",0,IF(AND(Q31=1,R31=1,C31="Yes",ISNUMBER(D31),D31&lt;=Rules!$B$6,Rules!$B$6-D31&lt;=Rules!$B$42,E31&lt;&gt;"",N31=0),1,0))</f>
        <v>0</v>
      </c>
      <c r="Q31" s="2">
        <f t="array" ref="Q31">IF(A31="",0,IF(COUNTIF(Companies!$A$6:$A$55,A31)&lt;&gt;1,0,IF(AND(INDEX(Companies!$R$6:$R$55,MATCH(A31,Companies!$A$6:$A$55,0))=1,INDEX(Companies!$I$6:$I$55,MATCH(A31,Companies!$A$6:$A$55,0))&gt;=MAX(10,Rules!$B$22)),1,0)))</f>
        <v>0</v>
      </c>
      <c r="R31" s="2" t="str">
        <f t="shared" si="5"/>
        <v/>
      </c>
      <c r="S31" s="2" t="str">
        <f t="shared" si="6"/>
        <v/>
      </c>
    </row>
    <row r="32" ht="21.0" customHeight="1">
      <c r="A32" s="44"/>
      <c r="B32" s="2" t="str">
        <f t="array" ref="B32">IF(A32="","",IF(COUNTIF(Companies!$A$6:$A$55,A32)&lt;&gt;1,"n.a.",INDEX(Companies!$C$6:$C$55,MATCH(A32,Companies!$A$6:$A$55,0))))</f>
        <v/>
      </c>
      <c r="C32" s="44"/>
      <c r="D32" s="48"/>
      <c r="E32" s="44"/>
      <c r="F32" s="2" t="str">
        <f>IF(A32="","",COUNTIFS(Relationships!$A$6:$A$205,A32,Relationships!$U$6:$U$205,1))</f>
        <v/>
      </c>
      <c r="G32" s="2" t="str">
        <f>IF(A32="","",COUNTIFS(Relationships!$A$6:$A$205,A32,Relationships!$U$6:$U$205,1,Relationships!$C$6:$C$205,"Client")+COUNTIFS(Relationships!$A$6:$A$205,A32,Relationships!$U$6:$U$205,1,Relationships!$C$6:$C$205,"Client and partner"))</f>
        <v/>
      </c>
      <c r="H32" s="2" t="str">
        <f>IF(A32="","",COUNTIFS(Relationships!$A$6:$A$205,A32,Relationships!$U$6:$U$205,1,Relationships!$C$6:$C$205,"Partner")+COUNTIFS(Relationships!$A$6:$A$205,A32,Relationships!$U$6:$U$205,1,Relationships!$C$6:$C$205,"Client and partner"))</f>
        <v/>
      </c>
      <c r="I32" s="49" t="str">
        <f>IFERROR(__xludf.DUMMYFUNCTION("IF(A32="""","""",IF(F32=0,""n.a."",MEDIAN(FILTER(Relationships!$Q$6:$Q$205,Relationships!$A$6:$A$205=A32,Relationships!$U$6:$U$205=1))))"),"")</f>
        <v/>
      </c>
      <c r="J32" s="49" t="str">
        <f t="shared" si="1"/>
        <v/>
      </c>
      <c r="K32" s="49" t="str">
        <f t="shared" si="2"/>
        <v/>
      </c>
      <c r="L32" s="49" t="str">
        <f t="shared" si="3"/>
        <v/>
      </c>
      <c r="M32" s="50" t="str">
        <f t="shared" si="4"/>
        <v/>
      </c>
      <c r="N32" s="2" t="str">
        <f>IF(A32="","",COUNTIFS(Relationships!$A$6:$A$205,A32,Relationships!$V$6:$V$205,1))</f>
        <v/>
      </c>
      <c r="O32" s="2" t="str">
        <f>IF(A32="","",IF(Q32&lt;&gt;1,"Outside cap universe",IF(R32&lt;&gt;1,"Duplicate network issuer",IF(C32&lt;&gt;"Yes","Review incomplete",IF(OR(NOT(ISNUMBER(D32)),D32&gt;Rules!$B$6,Rules!$B$6-D32&gt;Rules!$B$42,E32=""),"Check review date/log",IF(N32&gt;0,"Resolve included records",IF($B$8&lt;&gt;"Ready",$B$8,IF(F32=0,"Reviewed: no qualifying ties","Ranked"))))))))</f>
        <v/>
      </c>
      <c r="P32" s="2">
        <f>IF(A32="",0,IF(AND(Q32=1,R32=1,C32="Yes",ISNUMBER(D32),D32&lt;=Rules!$B$6,Rules!$B$6-D32&lt;=Rules!$B$42,E32&lt;&gt;"",N32=0),1,0))</f>
        <v>0</v>
      </c>
      <c r="Q32" s="2">
        <f t="array" ref="Q32">IF(A32="",0,IF(COUNTIF(Companies!$A$6:$A$55,A32)&lt;&gt;1,0,IF(AND(INDEX(Companies!$R$6:$R$55,MATCH(A32,Companies!$A$6:$A$55,0))=1,INDEX(Companies!$I$6:$I$55,MATCH(A32,Companies!$A$6:$A$55,0))&gt;=MAX(10,Rules!$B$22)),1,0)))</f>
        <v>0</v>
      </c>
      <c r="R32" s="2" t="str">
        <f t="shared" si="5"/>
        <v/>
      </c>
      <c r="S32" s="2" t="str">
        <f t="shared" si="6"/>
        <v/>
      </c>
    </row>
    <row r="33" ht="21.0" customHeight="1">
      <c r="A33" s="44"/>
      <c r="B33" s="2" t="str">
        <f t="array" ref="B33">IF(A33="","",IF(COUNTIF(Companies!$A$6:$A$55,A33)&lt;&gt;1,"n.a.",INDEX(Companies!$C$6:$C$55,MATCH(A33,Companies!$A$6:$A$55,0))))</f>
        <v/>
      </c>
      <c r="C33" s="44"/>
      <c r="D33" s="48"/>
      <c r="E33" s="44"/>
      <c r="F33" s="2" t="str">
        <f>IF(A33="","",COUNTIFS(Relationships!$A$6:$A$205,A33,Relationships!$U$6:$U$205,1))</f>
        <v/>
      </c>
      <c r="G33" s="2" t="str">
        <f>IF(A33="","",COUNTIFS(Relationships!$A$6:$A$205,A33,Relationships!$U$6:$U$205,1,Relationships!$C$6:$C$205,"Client")+COUNTIFS(Relationships!$A$6:$A$205,A33,Relationships!$U$6:$U$205,1,Relationships!$C$6:$C$205,"Client and partner"))</f>
        <v/>
      </c>
      <c r="H33" s="2" t="str">
        <f>IF(A33="","",COUNTIFS(Relationships!$A$6:$A$205,A33,Relationships!$U$6:$U$205,1,Relationships!$C$6:$C$205,"Partner")+COUNTIFS(Relationships!$A$6:$A$205,A33,Relationships!$U$6:$U$205,1,Relationships!$C$6:$C$205,"Client and partner"))</f>
        <v/>
      </c>
      <c r="I33" s="49" t="str">
        <f>IFERROR(__xludf.DUMMYFUNCTION("IF(A33="""","""",IF(F33=0,""n.a."",MEDIAN(FILTER(Relationships!$Q$6:$Q$205,Relationships!$A$6:$A$205=A33,Relationships!$U$6:$U$205=1))))"),"")</f>
        <v/>
      </c>
      <c r="J33" s="49" t="str">
        <f t="shared" si="1"/>
        <v/>
      </c>
      <c r="K33" s="49" t="str">
        <f t="shared" si="2"/>
        <v/>
      </c>
      <c r="L33" s="49" t="str">
        <f t="shared" si="3"/>
        <v/>
      </c>
      <c r="M33" s="50" t="str">
        <f t="shared" si="4"/>
        <v/>
      </c>
      <c r="N33" s="2" t="str">
        <f>IF(A33="","",COUNTIFS(Relationships!$A$6:$A$205,A33,Relationships!$V$6:$V$205,1))</f>
        <v/>
      </c>
      <c r="O33" s="2" t="str">
        <f>IF(A33="","",IF(Q33&lt;&gt;1,"Outside cap universe",IF(R33&lt;&gt;1,"Duplicate network issuer",IF(C33&lt;&gt;"Yes","Review incomplete",IF(OR(NOT(ISNUMBER(D33)),D33&gt;Rules!$B$6,Rules!$B$6-D33&gt;Rules!$B$42,E33=""),"Check review date/log",IF(N33&gt;0,"Resolve included records",IF($B$8&lt;&gt;"Ready",$B$8,IF(F33=0,"Reviewed: no qualifying ties","Ranked"))))))))</f>
        <v/>
      </c>
      <c r="P33" s="2">
        <f>IF(A33="",0,IF(AND(Q33=1,R33=1,C33="Yes",ISNUMBER(D33),D33&lt;=Rules!$B$6,Rules!$B$6-D33&lt;=Rules!$B$42,E33&lt;&gt;"",N33=0),1,0))</f>
        <v>0</v>
      </c>
      <c r="Q33" s="2">
        <f t="array" ref="Q33">IF(A33="",0,IF(COUNTIF(Companies!$A$6:$A$55,A33)&lt;&gt;1,0,IF(AND(INDEX(Companies!$R$6:$R$55,MATCH(A33,Companies!$A$6:$A$55,0))=1,INDEX(Companies!$I$6:$I$55,MATCH(A33,Companies!$A$6:$A$55,0))&gt;=MAX(10,Rules!$B$22)),1,0)))</f>
        <v>0</v>
      </c>
      <c r="R33" s="2" t="str">
        <f t="shared" si="5"/>
        <v/>
      </c>
      <c r="S33" s="2" t="str">
        <f t="shared" si="6"/>
        <v/>
      </c>
    </row>
    <row r="34" ht="21.0" customHeight="1">
      <c r="A34" s="44"/>
      <c r="B34" s="2" t="str">
        <f t="array" ref="B34">IF(A34="","",IF(COUNTIF(Companies!$A$6:$A$55,A34)&lt;&gt;1,"n.a.",INDEX(Companies!$C$6:$C$55,MATCH(A34,Companies!$A$6:$A$55,0))))</f>
        <v/>
      </c>
      <c r="C34" s="44"/>
      <c r="D34" s="48"/>
      <c r="E34" s="44"/>
      <c r="F34" s="2" t="str">
        <f>IF(A34="","",COUNTIFS(Relationships!$A$6:$A$205,A34,Relationships!$U$6:$U$205,1))</f>
        <v/>
      </c>
      <c r="G34" s="2" t="str">
        <f>IF(A34="","",COUNTIFS(Relationships!$A$6:$A$205,A34,Relationships!$U$6:$U$205,1,Relationships!$C$6:$C$205,"Client")+COUNTIFS(Relationships!$A$6:$A$205,A34,Relationships!$U$6:$U$205,1,Relationships!$C$6:$C$205,"Client and partner"))</f>
        <v/>
      </c>
      <c r="H34" s="2" t="str">
        <f>IF(A34="","",COUNTIFS(Relationships!$A$6:$A$205,A34,Relationships!$U$6:$U$205,1,Relationships!$C$6:$C$205,"Partner")+COUNTIFS(Relationships!$A$6:$A$205,A34,Relationships!$U$6:$U$205,1,Relationships!$C$6:$C$205,"Client and partner"))</f>
        <v/>
      </c>
      <c r="I34" s="49" t="str">
        <f>IFERROR(__xludf.DUMMYFUNCTION("IF(A34="""","""",IF(F34=0,""n.a."",MEDIAN(FILTER(Relationships!$Q$6:$Q$205,Relationships!$A$6:$A$205=A34,Relationships!$U$6:$U$205=1))))"),"")</f>
        <v/>
      </c>
      <c r="J34" s="49" t="str">
        <f t="shared" si="1"/>
        <v/>
      </c>
      <c r="K34" s="49" t="str">
        <f t="shared" si="2"/>
        <v/>
      </c>
      <c r="L34" s="49" t="str">
        <f t="shared" si="3"/>
        <v/>
      </c>
      <c r="M34" s="50" t="str">
        <f t="shared" si="4"/>
        <v/>
      </c>
      <c r="N34" s="2" t="str">
        <f>IF(A34="","",COUNTIFS(Relationships!$A$6:$A$205,A34,Relationships!$V$6:$V$205,1))</f>
        <v/>
      </c>
      <c r="O34" s="2" t="str">
        <f>IF(A34="","",IF(Q34&lt;&gt;1,"Outside cap universe",IF(R34&lt;&gt;1,"Duplicate network issuer",IF(C34&lt;&gt;"Yes","Review incomplete",IF(OR(NOT(ISNUMBER(D34)),D34&gt;Rules!$B$6,Rules!$B$6-D34&gt;Rules!$B$42,E34=""),"Check review date/log",IF(N34&gt;0,"Resolve included records",IF($B$8&lt;&gt;"Ready",$B$8,IF(F34=0,"Reviewed: no qualifying ties","Ranked"))))))))</f>
        <v/>
      </c>
      <c r="P34" s="2">
        <f>IF(A34="",0,IF(AND(Q34=1,R34=1,C34="Yes",ISNUMBER(D34),D34&lt;=Rules!$B$6,Rules!$B$6-D34&lt;=Rules!$B$42,E34&lt;&gt;"",N34=0),1,0))</f>
        <v>0</v>
      </c>
      <c r="Q34" s="2">
        <f t="array" ref="Q34">IF(A34="",0,IF(COUNTIF(Companies!$A$6:$A$55,A34)&lt;&gt;1,0,IF(AND(INDEX(Companies!$R$6:$R$55,MATCH(A34,Companies!$A$6:$A$55,0))=1,INDEX(Companies!$I$6:$I$55,MATCH(A34,Companies!$A$6:$A$55,0))&gt;=MAX(10,Rules!$B$22)),1,0)))</f>
        <v>0</v>
      </c>
      <c r="R34" s="2" t="str">
        <f t="shared" si="5"/>
        <v/>
      </c>
      <c r="S34" s="2" t="str">
        <f t="shared" si="6"/>
        <v/>
      </c>
    </row>
    <row r="35" ht="21.0" customHeight="1">
      <c r="A35" s="44"/>
      <c r="B35" s="2" t="str">
        <f t="array" ref="B35">IF(A35="","",IF(COUNTIF(Companies!$A$6:$A$55,A35)&lt;&gt;1,"n.a.",INDEX(Companies!$C$6:$C$55,MATCH(A35,Companies!$A$6:$A$55,0))))</f>
        <v/>
      </c>
      <c r="C35" s="44"/>
      <c r="D35" s="48"/>
      <c r="E35" s="44"/>
      <c r="F35" s="2" t="str">
        <f>IF(A35="","",COUNTIFS(Relationships!$A$6:$A$205,A35,Relationships!$U$6:$U$205,1))</f>
        <v/>
      </c>
      <c r="G35" s="2" t="str">
        <f>IF(A35="","",COUNTIFS(Relationships!$A$6:$A$205,A35,Relationships!$U$6:$U$205,1,Relationships!$C$6:$C$205,"Client")+COUNTIFS(Relationships!$A$6:$A$205,A35,Relationships!$U$6:$U$205,1,Relationships!$C$6:$C$205,"Client and partner"))</f>
        <v/>
      </c>
      <c r="H35" s="2" t="str">
        <f>IF(A35="","",COUNTIFS(Relationships!$A$6:$A$205,A35,Relationships!$U$6:$U$205,1,Relationships!$C$6:$C$205,"Partner")+COUNTIFS(Relationships!$A$6:$A$205,A35,Relationships!$U$6:$U$205,1,Relationships!$C$6:$C$205,"Client and partner"))</f>
        <v/>
      </c>
      <c r="I35" s="49" t="str">
        <f>IFERROR(__xludf.DUMMYFUNCTION("IF(A35="""","""",IF(F35=0,""n.a."",MEDIAN(FILTER(Relationships!$Q$6:$Q$205,Relationships!$A$6:$A$205=A35,Relationships!$U$6:$U$205=1))))"),"")</f>
        <v/>
      </c>
      <c r="J35" s="49" t="str">
        <f t="shared" si="1"/>
        <v/>
      </c>
      <c r="K35" s="49" t="str">
        <f t="shared" si="2"/>
        <v/>
      </c>
      <c r="L35" s="49" t="str">
        <f t="shared" si="3"/>
        <v/>
      </c>
      <c r="M35" s="50" t="str">
        <f t="shared" si="4"/>
        <v/>
      </c>
      <c r="N35" s="2" t="str">
        <f>IF(A35="","",COUNTIFS(Relationships!$A$6:$A$205,A35,Relationships!$V$6:$V$205,1))</f>
        <v/>
      </c>
      <c r="O35" s="2" t="str">
        <f>IF(A35="","",IF(Q35&lt;&gt;1,"Outside cap universe",IF(R35&lt;&gt;1,"Duplicate network issuer",IF(C35&lt;&gt;"Yes","Review incomplete",IF(OR(NOT(ISNUMBER(D35)),D35&gt;Rules!$B$6,Rules!$B$6-D35&gt;Rules!$B$42,E35=""),"Check review date/log",IF(N35&gt;0,"Resolve included records",IF($B$8&lt;&gt;"Ready",$B$8,IF(F35=0,"Reviewed: no qualifying ties","Ranked"))))))))</f>
        <v/>
      </c>
      <c r="P35" s="2">
        <f>IF(A35="",0,IF(AND(Q35=1,R35=1,C35="Yes",ISNUMBER(D35),D35&lt;=Rules!$B$6,Rules!$B$6-D35&lt;=Rules!$B$42,E35&lt;&gt;"",N35=0),1,0))</f>
        <v>0</v>
      </c>
      <c r="Q35" s="2">
        <f t="array" ref="Q35">IF(A35="",0,IF(COUNTIF(Companies!$A$6:$A$55,A35)&lt;&gt;1,0,IF(AND(INDEX(Companies!$R$6:$R$55,MATCH(A35,Companies!$A$6:$A$55,0))=1,INDEX(Companies!$I$6:$I$55,MATCH(A35,Companies!$A$6:$A$55,0))&gt;=MAX(10,Rules!$B$22)),1,0)))</f>
        <v>0</v>
      </c>
      <c r="R35" s="2" t="str">
        <f t="shared" si="5"/>
        <v/>
      </c>
      <c r="S35" s="2" t="str">
        <f t="shared" si="6"/>
        <v/>
      </c>
    </row>
    <row r="36" ht="21.0" customHeight="1">
      <c r="A36" s="44"/>
      <c r="B36" s="2" t="str">
        <f t="array" ref="B36">IF(A36="","",IF(COUNTIF(Companies!$A$6:$A$55,A36)&lt;&gt;1,"n.a.",INDEX(Companies!$C$6:$C$55,MATCH(A36,Companies!$A$6:$A$55,0))))</f>
        <v/>
      </c>
      <c r="C36" s="44"/>
      <c r="D36" s="48"/>
      <c r="E36" s="44"/>
      <c r="F36" s="2" t="str">
        <f>IF(A36="","",COUNTIFS(Relationships!$A$6:$A$205,A36,Relationships!$U$6:$U$205,1))</f>
        <v/>
      </c>
      <c r="G36" s="2" t="str">
        <f>IF(A36="","",COUNTIFS(Relationships!$A$6:$A$205,A36,Relationships!$U$6:$U$205,1,Relationships!$C$6:$C$205,"Client")+COUNTIFS(Relationships!$A$6:$A$205,A36,Relationships!$U$6:$U$205,1,Relationships!$C$6:$C$205,"Client and partner"))</f>
        <v/>
      </c>
      <c r="H36" s="2" t="str">
        <f>IF(A36="","",COUNTIFS(Relationships!$A$6:$A$205,A36,Relationships!$U$6:$U$205,1,Relationships!$C$6:$C$205,"Partner")+COUNTIFS(Relationships!$A$6:$A$205,A36,Relationships!$U$6:$U$205,1,Relationships!$C$6:$C$205,"Client and partner"))</f>
        <v/>
      </c>
      <c r="I36" s="49" t="str">
        <f>IFERROR(__xludf.DUMMYFUNCTION("IF(A36="""","""",IF(F36=0,""n.a."",MEDIAN(FILTER(Relationships!$Q$6:$Q$205,Relationships!$A$6:$A$205=A36,Relationships!$U$6:$U$205=1))))"),"")</f>
        <v/>
      </c>
      <c r="J36" s="49" t="str">
        <f t="shared" si="1"/>
        <v/>
      </c>
      <c r="K36" s="49" t="str">
        <f t="shared" si="2"/>
        <v/>
      </c>
      <c r="L36" s="49" t="str">
        <f t="shared" si="3"/>
        <v/>
      </c>
      <c r="M36" s="50" t="str">
        <f t="shared" si="4"/>
        <v/>
      </c>
      <c r="N36" s="2" t="str">
        <f>IF(A36="","",COUNTIFS(Relationships!$A$6:$A$205,A36,Relationships!$V$6:$V$205,1))</f>
        <v/>
      </c>
      <c r="O36" s="2" t="str">
        <f>IF(A36="","",IF(Q36&lt;&gt;1,"Outside cap universe",IF(R36&lt;&gt;1,"Duplicate network issuer",IF(C36&lt;&gt;"Yes","Review incomplete",IF(OR(NOT(ISNUMBER(D36)),D36&gt;Rules!$B$6,Rules!$B$6-D36&gt;Rules!$B$42,E36=""),"Check review date/log",IF(N36&gt;0,"Resolve included records",IF($B$8&lt;&gt;"Ready",$B$8,IF(F36=0,"Reviewed: no qualifying ties","Ranked"))))))))</f>
        <v/>
      </c>
      <c r="P36" s="2">
        <f>IF(A36="",0,IF(AND(Q36=1,R36=1,C36="Yes",ISNUMBER(D36),D36&lt;=Rules!$B$6,Rules!$B$6-D36&lt;=Rules!$B$42,E36&lt;&gt;"",N36=0),1,0))</f>
        <v>0</v>
      </c>
      <c r="Q36" s="2">
        <f t="array" ref="Q36">IF(A36="",0,IF(COUNTIF(Companies!$A$6:$A$55,A36)&lt;&gt;1,0,IF(AND(INDEX(Companies!$R$6:$R$55,MATCH(A36,Companies!$A$6:$A$55,0))=1,INDEX(Companies!$I$6:$I$55,MATCH(A36,Companies!$A$6:$A$55,0))&gt;=MAX(10,Rules!$B$22)),1,0)))</f>
        <v>0</v>
      </c>
      <c r="R36" s="2" t="str">
        <f t="shared" si="5"/>
        <v/>
      </c>
      <c r="S36" s="2" t="str">
        <f t="shared" si="6"/>
        <v/>
      </c>
    </row>
    <row r="37" ht="21.0" customHeight="1">
      <c r="A37" s="44"/>
      <c r="B37" s="2" t="str">
        <f t="array" ref="B37">IF(A37="","",IF(COUNTIF(Companies!$A$6:$A$55,A37)&lt;&gt;1,"n.a.",INDEX(Companies!$C$6:$C$55,MATCH(A37,Companies!$A$6:$A$55,0))))</f>
        <v/>
      </c>
      <c r="C37" s="44"/>
      <c r="D37" s="48"/>
      <c r="E37" s="44"/>
      <c r="F37" s="2" t="str">
        <f>IF(A37="","",COUNTIFS(Relationships!$A$6:$A$205,A37,Relationships!$U$6:$U$205,1))</f>
        <v/>
      </c>
      <c r="G37" s="2" t="str">
        <f>IF(A37="","",COUNTIFS(Relationships!$A$6:$A$205,A37,Relationships!$U$6:$U$205,1,Relationships!$C$6:$C$205,"Client")+COUNTIFS(Relationships!$A$6:$A$205,A37,Relationships!$U$6:$U$205,1,Relationships!$C$6:$C$205,"Client and partner"))</f>
        <v/>
      </c>
      <c r="H37" s="2" t="str">
        <f>IF(A37="","",COUNTIFS(Relationships!$A$6:$A$205,A37,Relationships!$U$6:$U$205,1,Relationships!$C$6:$C$205,"Partner")+COUNTIFS(Relationships!$A$6:$A$205,A37,Relationships!$U$6:$U$205,1,Relationships!$C$6:$C$205,"Client and partner"))</f>
        <v/>
      </c>
      <c r="I37" s="49" t="str">
        <f>IFERROR(__xludf.DUMMYFUNCTION("IF(A37="""","""",IF(F37=0,""n.a."",MEDIAN(FILTER(Relationships!$Q$6:$Q$205,Relationships!$A$6:$A$205=A37,Relationships!$U$6:$U$205=1))))"),"")</f>
        <v/>
      </c>
      <c r="J37" s="49" t="str">
        <f t="shared" si="1"/>
        <v/>
      </c>
      <c r="K37" s="49" t="str">
        <f t="shared" si="2"/>
        <v/>
      </c>
      <c r="L37" s="49" t="str">
        <f t="shared" si="3"/>
        <v/>
      </c>
      <c r="M37" s="50" t="str">
        <f t="shared" si="4"/>
        <v/>
      </c>
      <c r="N37" s="2" t="str">
        <f>IF(A37="","",COUNTIFS(Relationships!$A$6:$A$205,A37,Relationships!$V$6:$V$205,1))</f>
        <v/>
      </c>
      <c r="O37" s="2" t="str">
        <f>IF(A37="","",IF(Q37&lt;&gt;1,"Outside cap universe",IF(R37&lt;&gt;1,"Duplicate network issuer",IF(C37&lt;&gt;"Yes","Review incomplete",IF(OR(NOT(ISNUMBER(D37)),D37&gt;Rules!$B$6,Rules!$B$6-D37&gt;Rules!$B$42,E37=""),"Check review date/log",IF(N37&gt;0,"Resolve included records",IF($B$8&lt;&gt;"Ready",$B$8,IF(F37=0,"Reviewed: no qualifying ties","Ranked"))))))))</f>
        <v/>
      </c>
      <c r="P37" s="2">
        <f>IF(A37="",0,IF(AND(Q37=1,R37=1,C37="Yes",ISNUMBER(D37),D37&lt;=Rules!$B$6,Rules!$B$6-D37&lt;=Rules!$B$42,E37&lt;&gt;"",N37=0),1,0))</f>
        <v>0</v>
      </c>
      <c r="Q37" s="2">
        <f t="array" ref="Q37">IF(A37="",0,IF(COUNTIF(Companies!$A$6:$A$55,A37)&lt;&gt;1,0,IF(AND(INDEX(Companies!$R$6:$R$55,MATCH(A37,Companies!$A$6:$A$55,0))=1,INDEX(Companies!$I$6:$I$55,MATCH(A37,Companies!$A$6:$A$55,0))&gt;=MAX(10,Rules!$B$22)),1,0)))</f>
        <v>0</v>
      </c>
      <c r="R37" s="2" t="str">
        <f t="shared" si="5"/>
        <v/>
      </c>
      <c r="S37" s="2" t="str">
        <f t="shared" si="6"/>
        <v/>
      </c>
    </row>
    <row r="38" ht="21.0" customHeight="1">
      <c r="A38" s="44"/>
      <c r="B38" s="2" t="str">
        <f t="array" ref="B38">IF(A38="","",IF(COUNTIF(Companies!$A$6:$A$55,A38)&lt;&gt;1,"n.a.",INDEX(Companies!$C$6:$C$55,MATCH(A38,Companies!$A$6:$A$55,0))))</f>
        <v/>
      </c>
      <c r="C38" s="44"/>
      <c r="D38" s="48"/>
      <c r="E38" s="44"/>
      <c r="F38" s="2" t="str">
        <f>IF(A38="","",COUNTIFS(Relationships!$A$6:$A$205,A38,Relationships!$U$6:$U$205,1))</f>
        <v/>
      </c>
      <c r="G38" s="2" t="str">
        <f>IF(A38="","",COUNTIFS(Relationships!$A$6:$A$205,A38,Relationships!$U$6:$U$205,1,Relationships!$C$6:$C$205,"Client")+COUNTIFS(Relationships!$A$6:$A$205,A38,Relationships!$U$6:$U$205,1,Relationships!$C$6:$C$205,"Client and partner"))</f>
        <v/>
      </c>
      <c r="H38" s="2" t="str">
        <f>IF(A38="","",COUNTIFS(Relationships!$A$6:$A$205,A38,Relationships!$U$6:$U$205,1,Relationships!$C$6:$C$205,"Partner")+COUNTIFS(Relationships!$A$6:$A$205,A38,Relationships!$U$6:$U$205,1,Relationships!$C$6:$C$205,"Client and partner"))</f>
        <v/>
      </c>
      <c r="I38" s="49" t="str">
        <f>IFERROR(__xludf.DUMMYFUNCTION("IF(A38="""","""",IF(F38=0,""n.a."",MEDIAN(FILTER(Relationships!$Q$6:$Q$205,Relationships!$A$6:$A$205=A38,Relationships!$U$6:$U$205=1))))"),"")</f>
        <v/>
      </c>
      <c r="J38" s="49" t="str">
        <f t="shared" si="1"/>
        <v/>
      </c>
      <c r="K38" s="49" t="str">
        <f t="shared" si="2"/>
        <v/>
      </c>
      <c r="L38" s="49" t="str">
        <f t="shared" si="3"/>
        <v/>
      </c>
      <c r="M38" s="50" t="str">
        <f t="shared" si="4"/>
        <v/>
      </c>
      <c r="N38" s="2" t="str">
        <f>IF(A38="","",COUNTIFS(Relationships!$A$6:$A$205,A38,Relationships!$V$6:$V$205,1))</f>
        <v/>
      </c>
      <c r="O38" s="2" t="str">
        <f>IF(A38="","",IF(Q38&lt;&gt;1,"Outside cap universe",IF(R38&lt;&gt;1,"Duplicate network issuer",IF(C38&lt;&gt;"Yes","Review incomplete",IF(OR(NOT(ISNUMBER(D38)),D38&gt;Rules!$B$6,Rules!$B$6-D38&gt;Rules!$B$42,E38=""),"Check review date/log",IF(N38&gt;0,"Resolve included records",IF($B$8&lt;&gt;"Ready",$B$8,IF(F38=0,"Reviewed: no qualifying ties","Ranked"))))))))</f>
        <v/>
      </c>
      <c r="P38" s="2">
        <f>IF(A38="",0,IF(AND(Q38=1,R38=1,C38="Yes",ISNUMBER(D38),D38&lt;=Rules!$B$6,Rules!$B$6-D38&lt;=Rules!$B$42,E38&lt;&gt;"",N38=0),1,0))</f>
        <v>0</v>
      </c>
      <c r="Q38" s="2">
        <f t="array" ref="Q38">IF(A38="",0,IF(COUNTIF(Companies!$A$6:$A$55,A38)&lt;&gt;1,0,IF(AND(INDEX(Companies!$R$6:$R$55,MATCH(A38,Companies!$A$6:$A$55,0))=1,INDEX(Companies!$I$6:$I$55,MATCH(A38,Companies!$A$6:$A$55,0))&gt;=MAX(10,Rules!$B$22)),1,0)))</f>
        <v>0</v>
      </c>
      <c r="R38" s="2" t="str">
        <f t="shared" si="5"/>
        <v/>
      </c>
      <c r="S38" s="2" t="str">
        <f t="shared" si="6"/>
        <v/>
      </c>
    </row>
    <row r="39" ht="21.0" customHeight="1">
      <c r="A39" s="44"/>
      <c r="B39" s="2" t="str">
        <f t="array" ref="B39">IF(A39="","",IF(COUNTIF(Companies!$A$6:$A$55,A39)&lt;&gt;1,"n.a.",INDEX(Companies!$C$6:$C$55,MATCH(A39,Companies!$A$6:$A$55,0))))</f>
        <v/>
      </c>
      <c r="C39" s="44"/>
      <c r="D39" s="48"/>
      <c r="E39" s="44"/>
      <c r="F39" s="2" t="str">
        <f>IF(A39="","",COUNTIFS(Relationships!$A$6:$A$205,A39,Relationships!$U$6:$U$205,1))</f>
        <v/>
      </c>
      <c r="G39" s="2" t="str">
        <f>IF(A39="","",COUNTIFS(Relationships!$A$6:$A$205,A39,Relationships!$U$6:$U$205,1,Relationships!$C$6:$C$205,"Client")+COUNTIFS(Relationships!$A$6:$A$205,A39,Relationships!$U$6:$U$205,1,Relationships!$C$6:$C$205,"Client and partner"))</f>
        <v/>
      </c>
      <c r="H39" s="2" t="str">
        <f>IF(A39="","",COUNTIFS(Relationships!$A$6:$A$205,A39,Relationships!$U$6:$U$205,1,Relationships!$C$6:$C$205,"Partner")+COUNTIFS(Relationships!$A$6:$A$205,A39,Relationships!$U$6:$U$205,1,Relationships!$C$6:$C$205,"Client and partner"))</f>
        <v/>
      </c>
      <c r="I39" s="49" t="str">
        <f>IFERROR(__xludf.DUMMYFUNCTION("IF(A39="""","""",IF(F39=0,""n.a."",MEDIAN(FILTER(Relationships!$Q$6:$Q$205,Relationships!$A$6:$A$205=A39,Relationships!$U$6:$U$205=1))))"),"")</f>
        <v/>
      </c>
      <c r="J39" s="49" t="str">
        <f t="shared" si="1"/>
        <v/>
      </c>
      <c r="K39" s="49" t="str">
        <f t="shared" si="2"/>
        <v/>
      </c>
      <c r="L39" s="49" t="str">
        <f t="shared" si="3"/>
        <v/>
      </c>
      <c r="M39" s="50" t="str">
        <f t="shared" si="4"/>
        <v/>
      </c>
      <c r="N39" s="2" t="str">
        <f>IF(A39="","",COUNTIFS(Relationships!$A$6:$A$205,A39,Relationships!$V$6:$V$205,1))</f>
        <v/>
      </c>
      <c r="O39" s="2" t="str">
        <f>IF(A39="","",IF(Q39&lt;&gt;1,"Outside cap universe",IF(R39&lt;&gt;1,"Duplicate network issuer",IF(C39&lt;&gt;"Yes","Review incomplete",IF(OR(NOT(ISNUMBER(D39)),D39&gt;Rules!$B$6,Rules!$B$6-D39&gt;Rules!$B$42,E39=""),"Check review date/log",IF(N39&gt;0,"Resolve included records",IF($B$8&lt;&gt;"Ready",$B$8,IF(F39=0,"Reviewed: no qualifying ties","Ranked"))))))))</f>
        <v/>
      </c>
      <c r="P39" s="2">
        <f>IF(A39="",0,IF(AND(Q39=1,R39=1,C39="Yes",ISNUMBER(D39),D39&lt;=Rules!$B$6,Rules!$B$6-D39&lt;=Rules!$B$42,E39&lt;&gt;"",N39=0),1,0))</f>
        <v>0</v>
      </c>
      <c r="Q39" s="2">
        <f t="array" ref="Q39">IF(A39="",0,IF(COUNTIF(Companies!$A$6:$A$55,A39)&lt;&gt;1,0,IF(AND(INDEX(Companies!$R$6:$R$55,MATCH(A39,Companies!$A$6:$A$55,0))=1,INDEX(Companies!$I$6:$I$55,MATCH(A39,Companies!$A$6:$A$55,0))&gt;=MAX(10,Rules!$B$22)),1,0)))</f>
        <v>0</v>
      </c>
      <c r="R39" s="2" t="str">
        <f t="shared" si="5"/>
        <v/>
      </c>
      <c r="S39" s="2" t="str">
        <f t="shared" si="6"/>
        <v/>
      </c>
    </row>
    <row r="40" ht="21.0" customHeight="1">
      <c r="A40" s="44"/>
      <c r="B40" s="2" t="str">
        <f t="array" ref="B40">IF(A40="","",IF(COUNTIF(Companies!$A$6:$A$55,A40)&lt;&gt;1,"n.a.",INDEX(Companies!$C$6:$C$55,MATCH(A40,Companies!$A$6:$A$55,0))))</f>
        <v/>
      </c>
      <c r="C40" s="44"/>
      <c r="D40" s="48"/>
      <c r="E40" s="44"/>
      <c r="F40" s="2" t="str">
        <f>IF(A40="","",COUNTIFS(Relationships!$A$6:$A$205,A40,Relationships!$U$6:$U$205,1))</f>
        <v/>
      </c>
      <c r="G40" s="2" t="str">
        <f>IF(A40="","",COUNTIFS(Relationships!$A$6:$A$205,A40,Relationships!$U$6:$U$205,1,Relationships!$C$6:$C$205,"Client")+COUNTIFS(Relationships!$A$6:$A$205,A40,Relationships!$U$6:$U$205,1,Relationships!$C$6:$C$205,"Client and partner"))</f>
        <v/>
      </c>
      <c r="H40" s="2" t="str">
        <f>IF(A40="","",COUNTIFS(Relationships!$A$6:$A$205,A40,Relationships!$U$6:$U$205,1,Relationships!$C$6:$C$205,"Partner")+COUNTIFS(Relationships!$A$6:$A$205,A40,Relationships!$U$6:$U$205,1,Relationships!$C$6:$C$205,"Client and partner"))</f>
        <v/>
      </c>
      <c r="I40" s="49" t="str">
        <f>IFERROR(__xludf.DUMMYFUNCTION("IF(A40="""","""",IF(F40=0,""n.a."",MEDIAN(FILTER(Relationships!$Q$6:$Q$205,Relationships!$A$6:$A$205=A40,Relationships!$U$6:$U$205=1))))"),"")</f>
        <v/>
      </c>
      <c r="J40" s="49" t="str">
        <f t="shared" si="1"/>
        <v/>
      </c>
      <c r="K40" s="49" t="str">
        <f t="shared" si="2"/>
        <v/>
      </c>
      <c r="L40" s="49" t="str">
        <f t="shared" si="3"/>
        <v/>
      </c>
      <c r="M40" s="50" t="str">
        <f t="shared" si="4"/>
        <v/>
      </c>
      <c r="N40" s="2" t="str">
        <f>IF(A40="","",COUNTIFS(Relationships!$A$6:$A$205,A40,Relationships!$V$6:$V$205,1))</f>
        <v/>
      </c>
      <c r="O40" s="2" t="str">
        <f>IF(A40="","",IF(Q40&lt;&gt;1,"Outside cap universe",IF(R40&lt;&gt;1,"Duplicate network issuer",IF(C40&lt;&gt;"Yes","Review incomplete",IF(OR(NOT(ISNUMBER(D40)),D40&gt;Rules!$B$6,Rules!$B$6-D40&gt;Rules!$B$42,E40=""),"Check review date/log",IF(N40&gt;0,"Resolve included records",IF($B$8&lt;&gt;"Ready",$B$8,IF(F40=0,"Reviewed: no qualifying ties","Ranked"))))))))</f>
        <v/>
      </c>
      <c r="P40" s="2">
        <f>IF(A40="",0,IF(AND(Q40=1,R40=1,C40="Yes",ISNUMBER(D40),D40&lt;=Rules!$B$6,Rules!$B$6-D40&lt;=Rules!$B$42,E40&lt;&gt;"",N40=0),1,0))</f>
        <v>0</v>
      </c>
      <c r="Q40" s="2">
        <f t="array" ref="Q40">IF(A40="",0,IF(COUNTIF(Companies!$A$6:$A$55,A40)&lt;&gt;1,0,IF(AND(INDEX(Companies!$R$6:$R$55,MATCH(A40,Companies!$A$6:$A$55,0))=1,INDEX(Companies!$I$6:$I$55,MATCH(A40,Companies!$A$6:$A$55,0))&gt;=MAX(10,Rules!$B$22)),1,0)))</f>
        <v>0</v>
      </c>
      <c r="R40" s="2" t="str">
        <f t="shared" si="5"/>
        <v/>
      </c>
      <c r="S40" s="2" t="str">
        <f t="shared" si="6"/>
        <v/>
      </c>
    </row>
    <row r="41" ht="21.0" customHeight="1">
      <c r="A41" s="44"/>
      <c r="B41" s="2" t="str">
        <f t="array" ref="B41">IF(A41="","",IF(COUNTIF(Companies!$A$6:$A$55,A41)&lt;&gt;1,"n.a.",INDEX(Companies!$C$6:$C$55,MATCH(A41,Companies!$A$6:$A$55,0))))</f>
        <v/>
      </c>
      <c r="C41" s="44"/>
      <c r="D41" s="48"/>
      <c r="E41" s="44"/>
      <c r="F41" s="2" t="str">
        <f>IF(A41="","",COUNTIFS(Relationships!$A$6:$A$205,A41,Relationships!$U$6:$U$205,1))</f>
        <v/>
      </c>
      <c r="G41" s="2" t="str">
        <f>IF(A41="","",COUNTIFS(Relationships!$A$6:$A$205,A41,Relationships!$U$6:$U$205,1,Relationships!$C$6:$C$205,"Client")+COUNTIFS(Relationships!$A$6:$A$205,A41,Relationships!$U$6:$U$205,1,Relationships!$C$6:$C$205,"Client and partner"))</f>
        <v/>
      </c>
      <c r="H41" s="2" t="str">
        <f>IF(A41="","",COUNTIFS(Relationships!$A$6:$A$205,A41,Relationships!$U$6:$U$205,1,Relationships!$C$6:$C$205,"Partner")+COUNTIFS(Relationships!$A$6:$A$205,A41,Relationships!$U$6:$U$205,1,Relationships!$C$6:$C$205,"Client and partner"))</f>
        <v/>
      </c>
      <c r="I41" s="49" t="str">
        <f>IFERROR(__xludf.DUMMYFUNCTION("IF(A41="""","""",IF(F41=0,""n.a."",MEDIAN(FILTER(Relationships!$Q$6:$Q$205,Relationships!$A$6:$A$205=A41,Relationships!$U$6:$U$205=1))))"),"")</f>
        <v/>
      </c>
      <c r="J41" s="49" t="str">
        <f t="shared" si="1"/>
        <v/>
      </c>
      <c r="K41" s="49" t="str">
        <f t="shared" si="2"/>
        <v/>
      </c>
      <c r="L41" s="49" t="str">
        <f t="shared" si="3"/>
        <v/>
      </c>
      <c r="M41" s="50" t="str">
        <f t="shared" si="4"/>
        <v/>
      </c>
      <c r="N41" s="2" t="str">
        <f>IF(A41="","",COUNTIFS(Relationships!$A$6:$A$205,A41,Relationships!$V$6:$V$205,1))</f>
        <v/>
      </c>
      <c r="O41" s="2" t="str">
        <f>IF(A41="","",IF(Q41&lt;&gt;1,"Outside cap universe",IF(R41&lt;&gt;1,"Duplicate network issuer",IF(C41&lt;&gt;"Yes","Review incomplete",IF(OR(NOT(ISNUMBER(D41)),D41&gt;Rules!$B$6,Rules!$B$6-D41&gt;Rules!$B$42,E41=""),"Check review date/log",IF(N41&gt;0,"Resolve included records",IF($B$8&lt;&gt;"Ready",$B$8,IF(F41=0,"Reviewed: no qualifying ties","Ranked"))))))))</f>
        <v/>
      </c>
      <c r="P41" s="2">
        <f>IF(A41="",0,IF(AND(Q41=1,R41=1,C41="Yes",ISNUMBER(D41),D41&lt;=Rules!$B$6,Rules!$B$6-D41&lt;=Rules!$B$42,E41&lt;&gt;"",N41=0),1,0))</f>
        <v>0</v>
      </c>
      <c r="Q41" s="2">
        <f t="array" ref="Q41">IF(A41="",0,IF(COUNTIF(Companies!$A$6:$A$55,A41)&lt;&gt;1,0,IF(AND(INDEX(Companies!$R$6:$R$55,MATCH(A41,Companies!$A$6:$A$55,0))=1,INDEX(Companies!$I$6:$I$55,MATCH(A41,Companies!$A$6:$A$55,0))&gt;=MAX(10,Rules!$B$22)),1,0)))</f>
        <v>0</v>
      </c>
      <c r="R41" s="2" t="str">
        <f t="shared" si="5"/>
        <v/>
      </c>
      <c r="S41" s="2" t="str">
        <f t="shared" si="6"/>
        <v/>
      </c>
    </row>
    <row r="42" ht="21.0" customHeight="1">
      <c r="A42" s="44"/>
      <c r="B42" s="2" t="str">
        <f t="array" ref="B42">IF(A42="","",IF(COUNTIF(Companies!$A$6:$A$55,A42)&lt;&gt;1,"n.a.",INDEX(Companies!$C$6:$C$55,MATCH(A42,Companies!$A$6:$A$55,0))))</f>
        <v/>
      </c>
      <c r="C42" s="44"/>
      <c r="D42" s="48"/>
      <c r="E42" s="44"/>
      <c r="F42" s="2" t="str">
        <f>IF(A42="","",COUNTIFS(Relationships!$A$6:$A$205,A42,Relationships!$U$6:$U$205,1))</f>
        <v/>
      </c>
      <c r="G42" s="2" t="str">
        <f>IF(A42="","",COUNTIFS(Relationships!$A$6:$A$205,A42,Relationships!$U$6:$U$205,1,Relationships!$C$6:$C$205,"Client")+COUNTIFS(Relationships!$A$6:$A$205,A42,Relationships!$U$6:$U$205,1,Relationships!$C$6:$C$205,"Client and partner"))</f>
        <v/>
      </c>
      <c r="H42" s="2" t="str">
        <f>IF(A42="","",COUNTIFS(Relationships!$A$6:$A$205,A42,Relationships!$U$6:$U$205,1,Relationships!$C$6:$C$205,"Partner")+COUNTIFS(Relationships!$A$6:$A$205,A42,Relationships!$U$6:$U$205,1,Relationships!$C$6:$C$205,"Client and partner"))</f>
        <v/>
      </c>
      <c r="I42" s="49" t="str">
        <f>IFERROR(__xludf.DUMMYFUNCTION("IF(A42="""","""",IF(F42=0,""n.a."",MEDIAN(FILTER(Relationships!$Q$6:$Q$205,Relationships!$A$6:$A$205=A42,Relationships!$U$6:$U$205=1))))"),"")</f>
        <v/>
      </c>
      <c r="J42" s="49" t="str">
        <f t="shared" si="1"/>
        <v/>
      </c>
      <c r="K42" s="49" t="str">
        <f t="shared" si="2"/>
        <v/>
      </c>
      <c r="L42" s="49" t="str">
        <f t="shared" si="3"/>
        <v/>
      </c>
      <c r="M42" s="50" t="str">
        <f t="shared" si="4"/>
        <v/>
      </c>
      <c r="N42" s="2" t="str">
        <f>IF(A42="","",COUNTIFS(Relationships!$A$6:$A$205,A42,Relationships!$V$6:$V$205,1))</f>
        <v/>
      </c>
      <c r="O42" s="2" t="str">
        <f>IF(A42="","",IF(Q42&lt;&gt;1,"Outside cap universe",IF(R42&lt;&gt;1,"Duplicate network issuer",IF(C42&lt;&gt;"Yes","Review incomplete",IF(OR(NOT(ISNUMBER(D42)),D42&gt;Rules!$B$6,Rules!$B$6-D42&gt;Rules!$B$42,E42=""),"Check review date/log",IF(N42&gt;0,"Resolve included records",IF($B$8&lt;&gt;"Ready",$B$8,IF(F42=0,"Reviewed: no qualifying ties","Ranked"))))))))</f>
        <v/>
      </c>
      <c r="P42" s="2">
        <f>IF(A42="",0,IF(AND(Q42=1,R42=1,C42="Yes",ISNUMBER(D42),D42&lt;=Rules!$B$6,Rules!$B$6-D42&lt;=Rules!$B$42,E42&lt;&gt;"",N42=0),1,0))</f>
        <v>0</v>
      </c>
      <c r="Q42" s="2">
        <f t="array" ref="Q42">IF(A42="",0,IF(COUNTIF(Companies!$A$6:$A$55,A42)&lt;&gt;1,0,IF(AND(INDEX(Companies!$R$6:$R$55,MATCH(A42,Companies!$A$6:$A$55,0))=1,INDEX(Companies!$I$6:$I$55,MATCH(A42,Companies!$A$6:$A$55,0))&gt;=MAX(10,Rules!$B$22)),1,0)))</f>
        <v>0</v>
      </c>
      <c r="R42" s="2" t="str">
        <f t="shared" si="5"/>
        <v/>
      </c>
      <c r="S42" s="2" t="str">
        <f t="shared" si="6"/>
        <v/>
      </c>
    </row>
    <row r="43" ht="21.0" customHeight="1">
      <c r="A43" s="44"/>
      <c r="B43" s="2" t="str">
        <f t="array" ref="B43">IF(A43="","",IF(COUNTIF(Companies!$A$6:$A$55,A43)&lt;&gt;1,"n.a.",INDEX(Companies!$C$6:$C$55,MATCH(A43,Companies!$A$6:$A$55,0))))</f>
        <v/>
      </c>
      <c r="C43" s="44"/>
      <c r="D43" s="48"/>
      <c r="E43" s="44"/>
      <c r="F43" s="2" t="str">
        <f>IF(A43="","",COUNTIFS(Relationships!$A$6:$A$205,A43,Relationships!$U$6:$U$205,1))</f>
        <v/>
      </c>
      <c r="G43" s="2" t="str">
        <f>IF(A43="","",COUNTIFS(Relationships!$A$6:$A$205,A43,Relationships!$U$6:$U$205,1,Relationships!$C$6:$C$205,"Client")+COUNTIFS(Relationships!$A$6:$A$205,A43,Relationships!$U$6:$U$205,1,Relationships!$C$6:$C$205,"Client and partner"))</f>
        <v/>
      </c>
      <c r="H43" s="2" t="str">
        <f>IF(A43="","",COUNTIFS(Relationships!$A$6:$A$205,A43,Relationships!$U$6:$U$205,1,Relationships!$C$6:$C$205,"Partner")+COUNTIFS(Relationships!$A$6:$A$205,A43,Relationships!$U$6:$U$205,1,Relationships!$C$6:$C$205,"Client and partner"))</f>
        <v/>
      </c>
      <c r="I43" s="49" t="str">
        <f>IFERROR(__xludf.DUMMYFUNCTION("IF(A43="""","""",IF(F43=0,""n.a."",MEDIAN(FILTER(Relationships!$Q$6:$Q$205,Relationships!$A$6:$A$205=A43,Relationships!$U$6:$U$205=1))))"),"")</f>
        <v/>
      </c>
      <c r="J43" s="49" t="str">
        <f t="shared" si="1"/>
        <v/>
      </c>
      <c r="K43" s="49" t="str">
        <f t="shared" si="2"/>
        <v/>
      </c>
      <c r="L43" s="49" t="str">
        <f t="shared" si="3"/>
        <v/>
      </c>
      <c r="M43" s="50" t="str">
        <f t="shared" si="4"/>
        <v/>
      </c>
      <c r="N43" s="2" t="str">
        <f>IF(A43="","",COUNTIFS(Relationships!$A$6:$A$205,A43,Relationships!$V$6:$V$205,1))</f>
        <v/>
      </c>
      <c r="O43" s="2" t="str">
        <f>IF(A43="","",IF(Q43&lt;&gt;1,"Outside cap universe",IF(R43&lt;&gt;1,"Duplicate network issuer",IF(C43&lt;&gt;"Yes","Review incomplete",IF(OR(NOT(ISNUMBER(D43)),D43&gt;Rules!$B$6,Rules!$B$6-D43&gt;Rules!$B$42,E43=""),"Check review date/log",IF(N43&gt;0,"Resolve included records",IF($B$8&lt;&gt;"Ready",$B$8,IF(F43=0,"Reviewed: no qualifying ties","Ranked"))))))))</f>
        <v/>
      </c>
      <c r="P43" s="2">
        <f>IF(A43="",0,IF(AND(Q43=1,R43=1,C43="Yes",ISNUMBER(D43),D43&lt;=Rules!$B$6,Rules!$B$6-D43&lt;=Rules!$B$42,E43&lt;&gt;"",N43=0),1,0))</f>
        <v>0</v>
      </c>
      <c r="Q43" s="2">
        <f t="array" ref="Q43">IF(A43="",0,IF(COUNTIF(Companies!$A$6:$A$55,A43)&lt;&gt;1,0,IF(AND(INDEX(Companies!$R$6:$R$55,MATCH(A43,Companies!$A$6:$A$55,0))=1,INDEX(Companies!$I$6:$I$55,MATCH(A43,Companies!$A$6:$A$55,0))&gt;=MAX(10,Rules!$B$22)),1,0)))</f>
        <v>0</v>
      </c>
      <c r="R43" s="2" t="str">
        <f t="shared" si="5"/>
        <v/>
      </c>
      <c r="S43" s="2" t="str">
        <f t="shared" si="6"/>
        <v/>
      </c>
    </row>
    <row r="44" ht="21.0" customHeight="1">
      <c r="A44" s="44"/>
      <c r="B44" s="2" t="str">
        <f t="array" ref="B44">IF(A44="","",IF(COUNTIF(Companies!$A$6:$A$55,A44)&lt;&gt;1,"n.a.",INDEX(Companies!$C$6:$C$55,MATCH(A44,Companies!$A$6:$A$55,0))))</f>
        <v/>
      </c>
      <c r="C44" s="44"/>
      <c r="D44" s="48"/>
      <c r="E44" s="44"/>
      <c r="F44" s="2" t="str">
        <f>IF(A44="","",COUNTIFS(Relationships!$A$6:$A$205,A44,Relationships!$U$6:$U$205,1))</f>
        <v/>
      </c>
      <c r="G44" s="2" t="str">
        <f>IF(A44="","",COUNTIFS(Relationships!$A$6:$A$205,A44,Relationships!$U$6:$U$205,1,Relationships!$C$6:$C$205,"Client")+COUNTIFS(Relationships!$A$6:$A$205,A44,Relationships!$U$6:$U$205,1,Relationships!$C$6:$C$205,"Client and partner"))</f>
        <v/>
      </c>
      <c r="H44" s="2" t="str">
        <f>IF(A44="","",COUNTIFS(Relationships!$A$6:$A$205,A44,Relationships!$U$6:$U$205,1,Relationships!$C$6:$C$205,"Partner")+COUNTIFS(Relationships!$A$6:$A$205,A44,Relationships!$U$6:$U$205,1,Relationships!$C$6:$C$205,"Client and partner"))</f>
        <v/>
      </c>
      <c r="I44" s="49" t="str">
        <f>IFERROR(__xludf.DUMMYFUNCTION("IF(A44="""","""",IF(F44=0,""n.a."",MEDIAN(FILTER(Relationships!$Q$6:$Q$205,Relationships!$A$6:$A$205=A44,Relationships!$U$6:$U$205=1))))"),"")</f>
        <v/>
      </c>
      <c r="J44" s="49" t="str">
        <f t="shared" si="1"/>
        <v/>
      </c>
      <c r="K44" s="49" t="str">
        <f t="shared" si="2"/>
        <v/>
      </c>
      <c r="L44" s="49" t="str">
        <f t="shared" si="3"/>
        <v/>
      </c>
      <c r="M44" s="50" t="str">
        <f t="shared" si="4"/>
        <v/>
      </c>
      <c r="N44" s="2" t="str">
        <f>IF(A44="","",COUNTIFS(Relationships!$A$6:$A$205,A44,Relationships!$V$6:$V$205,1))</f>
        <v/>
      </c>
      <c r="O44" s="2" t="str">
        <f>IF(A44="","",IF(Q44&lt;&gt;1,"Outside cap universe",IF(R44&lt;&gt;1,"Duplicate network issuer",IF(C44&lt;&gt;"Yes","Review incomplete",IF(OR(NOT(ISNUMBER(D44)),D44&gt;Rules!$B$6,Rules!$B$6-D44&gt;Rules!$B$42,E44=""),"Check review date/log",IF(N44&gt;0,"Resolve included records",IF($B$8&lt;&gt;"Ready",$B$8,IF(F44=0,"Reviewed: no qualifying ties","Ranked"))))))))</f>
        <v/>
      </c>
      <c r="P44" s="2">
        <f>IF(A44="",0,IF(AND(Q44=1,R44=1,C44="Yes",ISNUMBER(D44),D44&lt;=Rules!$B$6,Rules!$B$6-D44&lt;=Rules!$B$42,E44&lt;&gt;"",N44=0),1,0))</f>
        <v>0</v>
      </c>
      <c r="Q44" s="2">
        <f t="array" ref="Q44">IF(A44="",0,IF(COUNTIF(Companies!$A$6:$A$55,A44)&lt;&gt;1,0,IF(AND(INDEX(Companies!$R$6:$R$55,MATCH(A44,Companies!$A$6:$A$55,0))=1,INDEX(Companies!$I$6:$I$55,MATCH(A44,Companies!$A$6:$A$55,0))&gt;=MAX(10,Rules!$B$22)),1,0)))</f>
        <v>0</v>
      </c>
      <c r="R44" s="2" t="str">
        <f t="shared" si="5"/>
        <v/>
      </c>
      <c r="S44" s="2" t="str">
        <f t="shared" si="6"/>
        <v/>
      </c>
    </row>
    <row r="45" ht="21.0" customHeight="1">
      <c r="A45" s="44"/>
      <c r="B45" s="2" t="str">
        <f t="array" ref="B45">IF(A45="","",IF(COUNTIF(Companies!$A$6:$A$55,A45)&lt;&gt;1,"n.a.",INDEX(Companies!$C$6:$C$55,MATCH(A45,Companies!$A$6:$A$55,0))))</f>
        <v/>
      </c>
      <c r="C45" s="44"/>
      <c r="D45" s="48"/>
      <c r="E45" s="44"/>
      <c r="F45" s="2" t="str">
        <f>IF(A45="","",COUNTIFS(Relationships!$A$6:$A$205,A45,Relationships!$U$6:$U$205,1))</f>
        <v/>
      </c>
      <c r="G45" s="2" t="str">
        <f>IF(A45="","",COUNTIFS(Relationships!$A$6:$A$205,A45,Relationships!$U$6:$U$205,1,Relationships!$C$6:$C$205,"Client")+COUNTIFS(Relationships!$A$6:$A$205,A45,Relationships!$U$6:$U$205,1,Relationships!$C$6:$C$205,"Client and partner"))</f>
        <v/>
      </c>
      <c r="H45" s="2" t="str">
        <f>IF(A45="","",COUNTIFS(Relationships!$A$6:$A$205,A45,Relationships!$U$6:$U$205,1,Relationships!$C$6:$C$205,"Partner")+COUNTIFS(Relationships!$A$6:$A$205,A45,Relationships!$U$6:$U$205,1,Relationships!$C$6:$C$205,"Client and partner"))</f>
        <v/>
      </c>
      <c r="I45" s="49" t="str">
        <f>IFERROR(__xludf.DUMMYFUNCTION("IF(A45="""","""",IF(F45=0,""n.a."",MEDIAN(FILTER(Relationships!$Q$6:$Q$205,Relationships!$A$6:$A$205=A45,Relationships!$U$6:$U$205=1))))"),"")</f>
        <v/>
      </c>
      <c r="J45" s="49" t="str">
        <f t="shared" si="1"/>
        <v/>
      </c>
      <c r="K45" s="49" t="str">
        <f t="shared" si="2"/>
        <v/>
      </c>
      <c r="L45" s="49" t="str">
        <f t="shared" si="3"/>
        <v/>
      </c>
      <c r="M45" s="50" t="str">
        <f t="shared" si="4"/>
        <v/>
      </c>
      <c r="N45" s="2" t="str">
        <f>IF(A45="","",COUNTIFS(Relationships!$A$6:$A$205,A45,Relationships!$V$6:$V$205,1))</f>
        <v/>
      </c>
      <c r="O45" s="2" t="str">
        <f>IF(A45="","",IF(Q45&lt;&gt;1,"Outside cap universe",IF(R45&lt;&gt;1,"Duplicate network issuer",IF(C45&lt;&gt;"Yes","Review incomplete",IF(OR(NOT(ISNUMBER(D45)),D45&gt;Rules!$B$6,Rules!$B$6-D45&gt;Rules!$B$42,E45=""),"Check review date/log",IF(N45&gt;0,"Resolve included records",IF($B$8&lt;&gt;"Ready",$B$8,IF(F45=0,"Reviewed: no qualifying ties","Ranked"))))))))</f>
        <v/>
      </c>
      <c r="P45" s="2">
        <f>IF(A45="",0,IF(AND(Q45=1,R45=1,C45="Yes",ISNUMBER(D45),D45&lt;=Rules!$B$6,Rules!$B$6-D45&lt;=Rules!$B$42,E45&lt;&gt;"",N45=0),1,0))</f>
        <v>0</v>
      </c>
      <c r="Q45" s="2">
        <f t="array" ref="Q45">IF(A45="",0,IF(COUNTIF(Companies!$A$6:$A$55,A45)&lt;&gt;1,0,IF(AND(INDEX(Companies!$R$6:$R$55,MATCH(A45,Companies!$A$6:$A$55,0))=1,INDEX(Companies!$I$6:$I$55,MATCH(A45,Companies!$A$6:$A$55,0))&gt;=MAX(10,Rules!$B$22)),1,0)))</f>
        <v>0</v>
      </c>
      <c r="R45" s="2" t="str">
        <f t="shared" si="5"/>
        <v/>
      </c>
      <c r="S45" s="2" t="str">
        <f t="shared" si="6"/>
        <v/>
      </c>
    </row>
    <row r="46" ht="21.0" customHeight="1">
      <c r="A46" s="44"/>
      <c r="B46" s="2" t="str">
        <f t="array" ref="B46">IF(A46="","",IF(COUNTIF(Companies!$A$6:$A$55,A46)&lt;&gt;1,"n.a.",INDEX(Companies!$C$6:$C$55,MATCH(A46,Companies!$A$6:$A$55,0))))</f>
        <v/>
      </c>
      <c r="C46" s="44"/>
      <c r="D46" s="48"/>
      <c r="E46" s="44"/>
      <c r="F46" s="2" t="str">
        <f>IF(A46="","",COUNTIFS(Relationships!$A$6:$A$205,A46,Relationships!$U$6:$U$205,1))</f>
        <v/>
      </c>
      <c r="G46" s="2" t="str">
        <f>IF(A46="","",COUNTIFS(Relationships!$A$6:$A$205,A46,Relationships!$U$6:$U$205,1,Relationships!$C$6:$C$205,"Client")+COUNTIFS(Relationships!$A$6:$A$205,A46,Relationships!$U$6:$U$205,1,Relationships!$C$6:$C$205,"Client and partner"))</f>
        <v/>
      </c>
      <c r="H46" s="2" t="str">
        <f>IF(A46="","",COUNTIFS(Relationships!$A$6:$A$205,A46,Relationships!$U$6:$U$205,1,Relationships!$C$6:$C$205,"Partner")+COUNTIFS(Relationships!$A$6:$A$205,A46,Relationships!$U$6:$U$205,1,Relationships!$C$6:$C$205,"Client and partner"))</f>
        <v/>
      </c>
      <c r="I46" s="49" t="str">
        <f>IFERROR(__xludf.DUMMYFUNCTION("IF(A46="""","""",IF(F46=0,""n.a."",MEDIAN(FILTER(Relationships!$Q$6:$Q$205,Relationships!$A$6:$A$205=A46,Relationships!$U$6:$U$205=1))))"),"")</f>
        <v/>
      </c>
      <c r="J46" s="49" t="str">
        <f t="shared" si="1"/>
        <v/>
      </c>
      <c r="K46" s="49" t="str">
        <f t="shared" si="2"/>
        <v/>
      </c>
      <c r="L46" s="49" t="str">
        <f t="shared" si="3"/>
        <v/>
      </c>
      <c r="M46" s="50" t="str">
        <f t="shared" si="4"/>
        <v/>
      </c>
      <c r="N46" s="2" t="str">
        <f>IF(A46="","",COUNTIFS(Relationships!$A$6:$A$205,A46,Relationships!$V$6:$V$205,1))</f>
        <v/>
      </c>
      <c r="O46" s="2" t="str">
        <f>IF(A46="","",IF(Q46&lt;&gt;1,"Outside cap universe",IF(R46&lt;&gt;1,"Duplicate network issuer",IF(C46&lt;&gt;"Yes","Review incomplete",IF(OR(NOT(ISNUMBER(D46)),D46&gt;Rules!$B$6,Rules!$B$6-D46&gt;Rules!$B$42,E46=""),"Check review date/log",IF(N46&gt;0,"Resolve included records",IF($B$8&lt;&gt;"Ready",$B$8,IF(F46=0,"Reviewed: no qualifying ties","Ranked"))))))))</f>
        <v/>
      </c>
      <c r="P46" s="2">
        <f>IF(A46="",0,IF(AND(Q46=1,R46=1,C46="Yes",ISNUMBER(D46),D46&lt;=Rules!$B$6,Rules!$B$6-D46&lt;=Rules!$B$42,E46&lt;&gt;"",N46=0),1,0))</f>
        <v>0</v>
      </c>
      <c r="Q46" s="2">
        <f t="array" ref="Q46">IF(A46="",0,IF(COUNTIF(Companies!$A$6:$A$55,A46)&lt;&gt;1,0,IF(AND(INDEX(Companies!$R$6:$R$55,MATCH(A46,Companies!$A$6:$A$55,0))=1,INDEX(Companies!$I$6:$I$55,MATCH(A46,Companies!$A$6:$A$55,0))&gt;=MAX(10,Rules!$B$22)),1,0)))</f>
        <v>0</v>
      </c>
      <c r="R46" s="2" t="str">
        <f t="shared" si="5"/>
        <v/>
      </c>
      <c r="S46" s="2" t="str">
        <f t="shared" si="6"/>
        <v/>
      </c>
    </row>
    <row r="47" ht="21.0" customHeight="1">
      <c r="A47" s="44"/>
      <c r="B47" s="2" t="str">
        <f t="array" ref="B47">IF(A47="","",IF(COUNTIF(Companies!$A$6:$A$55,A47)&lt;&gt;1,"n.a.",INDEX(Companies!$C$6:$C$55,MATCH(A47,Companies!$A$6:$A$55,0))))</f>
        <v/>
      </c>
      <c r="C47" s="44"/>
      <c r="D47" s="48"/>
      <c r="E47" s="44"/>
      <c r="F47" s="2" t="str">
        <f>IF(A47="","",COUNTIFS(Relationships!$A$6:$A$205,A47,Relationships!$U$6:$U$205,1))</f>
        <v/>
      </c>
      <c r="G47" s="2" t="str">
        <f>IF(A47="","",COUNTIFS(Relationships!$A$6:$A$205,A47,Relationships!$U$6:$U$205,1,Relationships!$C$6:$C$205,"Client")+COUNTIFS(Relationships!$A$6:$A$205,A47,Relationships!$U$6:$U$205,1,Relationships!$C$6:$C$205,"Client and partner"))</f>
        <v/>
      </c>
      <c r="H47" s="2" t="str">
        <f>IF(A47="","",COUNTIFS(Relationships!$A$6:$A$205,A47,Relationships!$U$6:$U$205,1,Relationships!$C$6:$C$205,"Partner")+COUNTIFS(Relationships!$A$6:$A$205,A47,Relationships!$U$6:$U$205,1,Relationships!$C$6:$C$205,"Client and partner"))</f>
        <v/>
      </c>
      <c r="I47" s="49" t="str">
        <f>IFERROR(__xludf.DUMMYFUNCTION("IF(A47="""","""",IF(F47=0,""n.a."",MEDIAN(FILTER(Relationships!$Q$6:$Q$205,Relationships!$A$6:$A$205=A47,Relationships!$U$6:$U$205=1))))"),"")</f>
        <v/>
      </c>
      <c r="J47" s="49" t="str">
        <f t="shared" si="1"/>
        <v/>
      </c>
      <c r="K47" s="49" t="str">
        <f t="shared" si="2"/>
        <v/>
      </c>
      <c r="L47" s="49" t="str">
        <f t="shared" si="3"/>
        <v/>
      </c>
      <c r="M47" s="50" t="str">
        <f t="shared" si="4"/>
        <v/>
      </c>
      <c r="N47" s="2" t="str">
        <f>IF(A47="","",COUNTIFS(Relationships!$A$6:$A$205,A47,Relationships!$V$6:$V$205,1))</f>
        <v/>
      </c>
      <c r="O47" s="2" t="str">
        <f>IF(A47="","",IF(Q47&lt;&gt;1,"Outside cap universe",IF(R47&lt;&gt;1,"Duplicate network issuer",IF(C47&lt;&gt;"Yes","Review incomplete",IF(OR(NOT(ISNUMBER(D47)),D47&gt;Rules!$B$6,Rules!$B$6-D47&gt;Rules!$B$42,E47=""),"Check review date/log",IF(N47&gt;0,"Resolve included records",IF($B$8&lt;&gt;"Ready",$B$8,IF(F47=0,"Reviewed: no qualifying ties","Ranked"))))))))</f>
        <v/>
      </c>
      <c r="P47" s="2">
        <f>IF(A47="",0,IF(AND(Q47=1,R47=1,C47="Yes",ISNUMBER(D47),D47&lt;=Rules!$B$6,Rules!$B$6-D47&lt;=Rules!$B$42,E47&lt;&gt;"",N47=0),1,0))</f>
        <v>0</v>
      </c>
      <c r="Q47" s="2">
        <f t="array" ref="Q47">IF(A47="",0,IF(COUNTIF(Companies!$A$6:$A$55,A47)&lt;&gt;1,0,IF(AND(INDEX(Companies!$R$6:$R$55,MATCH(A47,Companies!$A$6:$A$55,0))=1,INDEX(Companies!$I$6:$I$55,MATCH(A47,Companies!$A$6:$A$55,0))&gt;=MAX(10,Rules!$B$22)),1,0)))</f>
        <v>0</v>
      </c>
      <c r="R47" s="2" t="str">
        <f t="shared" si="5"/>
        <v/>
      </c>
      <c r="S47" s="2" t="str">
        <f t="shared" si="6"/>
        <v/>
      </c>
    </row>
    <row r="48" ht="21.0" customHeight="1">
      <c r="A48" s="44"/>
      <c r="B48" s="2" t="str">
        <f t="array" ref="B48">IF(A48="","",IF(COUNTIF(Companies!$A$6:$A$55,A48)&lt;&gt;1,"n.a.",INDEX(Companies!$C$6:$C$55,MATCH(A48,Companies!$A$6:$A$55,0))))</f>
        <v/>
      </c>
      <c r="C48" s="44"/>
      <c r="D48" s="48"/>
      <c r="E48" s="44"/>
      <c r="F48" s="2" t="str">
        <f>IF(A48="","",COUNTIFS(Relationships!$A$6:$A$205,A48,Relationships!$U$6:$U$205,1))</f>
        <v/>
      </c>
      <c r="G48" s="2" t="str">
        <f>IF(A48="","",COUNTIFS(Relationships!$A$6:$A$205,A48,Relationships!$U$6:$U$205,1,Relationships!$C$6:$C$205,"Client")+COUNTIFS(Relationships!$A$6:$A$205,A48,Relationships!$U$6:$U$205,1,Relationships!$C$6:$C$205,"Client and partner"))</f>
        <v/>
      </c>
      <c r="H48" s="2" t="str">
        <f>IF(A48="","",COUNTIFS(Relationships!$A$6:$A$205,A48,Relationships!$U$6:$U$205,1,Relationships!$C$6:$C$205,"Partner")+COUNTIFS(Relationships!$A$6:$A$205,A48,Relationships!$U$6:$U$205,1,Relationships!$C$6:$C$205,"Client and partner"))</f>
        <v/>
      </c>
      <c r="I48" s="49" t="str">
        <f>IFERROR(__xludf.DUMMYFUNCTION("IF(A48="""","""",IF(F48=0,""n.a."",MEDIAN(FILTER(Relationships!$Q$6:$Q$205,Relationships!$A$6:$A$205=A48,Relationships!$U$6:$U$205=1))))"),"")</f>
        <v/>
      </c>
      <c r="J48" s="49" t="str">
        <f t="shared" si="1"/>
        <v/>
      </c>
      <c r="K48" s="49" t="str">
        <f t="shared" si="2"/>
        <v/>
      </c>
      <c r="L48" s="49" t="str">
        <f t="shared" si="3"/>
        <v/>
      </c>
      <c r="M48" s="50" t="str">
        <f t="shared" si="4"/>
        <v/>
      </c>
      <c r="N48" s="2" t="str">
        <f>IF(A48="","",COUNTIFS(Relationships!$A$6:$A$205,A48,Relationships!$V$6:$V$205,1))</f>
        <v/>
      </c>
      <c r="O48" s="2" t="str">
        <f>IF(A48="","",IF(Q48&lt;&gt;1,"Outside cap universe",IF(R48&lt;&gt;1,"Duplicate network issuer",IF(C48&lt;&gt;"Yes","Review incomplete",IF(OR(NOT(ISNUMBER(D48)),D48&gt;Rules!$B$6,Rules!$B$6-D48&gt;Rules!$B$42,E48=""),"Check review date/log",IF(N48&gt;0,"Resolve included records",IF($B$8&lt;&gt;"Ready",$B$8,IF(F48=0,"Reviewed: no qualifying ties","Ranked"))))))))</f>
        <v/>
      </c>
      <c r="P48" s="2">
        <f>IF(A48="",0,IF(AND(Q48=1,R48=1,C48="Yes",ISNUMBER(D48),D48&lt;=Rules!$B$6,Rules!$B$6-D48&lt;=Rules!$B$42,E48&lt;&gt;"",N48=0),1,0))</f>
        <v>0</v>
      </c>
      <c r="Q48" s="2">
        <f t="array" ref="Q48">IF(A48="",0,IF(COUNTIF(Companies!$A$6:$A$55,A48)&lt;&gt;1,0,IF(AND(INDEX(Companies!$R$6:$R$55,MATCH(A48,Companies!$A$6:$A$55,0))=1,INDEX(Companies!$I$6:$I$55,MATCH(A48,Companies!$A$6:$A$55,0))&gt;=MAX(10,Rules!$B$22)),1,0)))</f>
        <v>0</v>
      </c>
      <c r="R48" s="2" t="str">
        <f t="shared" si="5"/>
        <v/>
      </c>
      <c r="S48" s="2" t="str">
        <f t="shared" si="6"/>
        <v/>
      </c>
    </row>
    <row r="49" ht="21.0" customHeight="1">
      <c r="A49" s="44"/>
      <c r="B49" s="2" t="str">
        <f t="array" ref="B49">IF(A49="","",IF(COUNTIF(Companies!$A$6:$A$55,A49)&lt;&gt;1,"n.a.",INDEX(Companies!$C$6:$C$55,MATCH(A49,Companies!$A$6:$A$55,0))))</f>
        <v/>
      </c>
      <c r="C49" s="44"/>
      <c r="D49" s="48"/>
      <c r="E49" s="44"/>
      <c r="F49" s="2" t="str">
        <f>IF(A49="","",COUNTIFS(Relationships!$A$6:$A$205,A49,Relationships!$U$6:$U$205,1))</f>
        <v/>
      </c>
      <c r="G49" s="2" t="str">
        <f>IF(A49="","",COUNTIFS(Relationships!$A$6:$A$205,A49,Relationships!$U$6:$U$205,1,Relationships!$C$6:$C$205,"Client")+COUNTIFS(Relationships!$A$6:$A$205,A49,Relationships!$U$6:$U$205,1,Relationships!$C$6:$C$205,"Client and partner"))</f>
        <v/>
      </c>
      <c r="H49" s="2" t="str">
        <f>IF(A49="","",COUNTIFS(Relationships!$A$6:$A$205,A49,Relationships!$U$6:$U$205,1,Relationships!$C$6:$C$205,"Partner")+COUNTIFS(Relationships!$A$6:$A$205,A49,Relationships!$U$6:$U$205,1,Relationships!$C$6:$C$205,"Client and partner"))</f>
        <v/>
      </c>
      <c r="I49" s="49" t="str">
        <f>IFERROR(__xludf.DUMMYFUNCTION("IF(A49="""","""",IF(F49=0,""n.a."",MEDIAN(FILTER(Relationships!$Q$6:$Q$205,Relationships!$A$6:$A$205=A49,Relationships!$U$6:$U$205=1))))"),"")</f>
        <v/>
      </c>
      <c r="J49" s="49" t="str">
        <f t="shared" si="1"/>
        <v/>
      </c>
      <c r="K49" s="49" t="str">
        <f t="shared" si="2"/>
        <v/>
      </c>
      <c r="L49" s="49" t="str">
        <f t="shared" si="3"/>
        <v/>
      </c>
      <c r="M49" s="50" t="str">
        <f t="shared" si="4"/>
        <v/>
      </c>
      <c r="N49" s="2" t="str">
        <f>IF(A49="","",COUNTIFS(Relationships!$A$6:$A$205,A49,Relationships!$V$6:$V$205,1))</f>
        <v/>
      </c>
      <c r="O49" s="2" t="str">
        <f>IF(A49="","",IF(Q49&lt;&gt;1,"Outside cap universe",IF(R49&lt;&gt;1,"Duplicate network issuer",IF(C49&lt;&gt;"Yes","Review incomplete",IF(OR(NOT(ISNUMBER(D49)),D49&gt;Rules!$B$6,Rules!$B$6-D49&gt;Rules!$B$42,E49=""),"Check review date/log",IF(N49&gt;0,"Resolve included records",IF($B$8&lt;&gt;"Ready",$B$8,IF(F49=0,"Reviewed: no qualifying ties","Ranked"))))))))</f>
        <v/>
      </c>
      <c r="P49" s="2">
        <f>IF(A49="",0,IF(AND(Q49=1,R49=1,C49="Yes",ISNUMBER(D49),D49&lt;=Rules!$B$6,Rules!$B$6-D49&lt;=Rules!$B$42,E49&lt;&gt;"",N49=0),1,0))</f>
        <v>0</v>
      </c>
      <c r="Q49" s="2">
        <f t="array" ref="Q49">IF(A49="",0,IF(COUNTIF(Companies!$A$6:$A$55,A49)&lt;&gt;1,0,IF(AND(INDEX(Companies!$R$6:$R$55,MATCH(A49,Companies!$A$6:$A$55,0))=1,INDEX(Companies!$I$6:$I$55,MATCH(A49,Companies!$A$6:$A$55,0))&gt;=MAX(10,Rules!$B$22)),1,0)))</f>
        <v>0</v>
      </c>
      <c r="R49" s="2" t="str">
        <f t="shared" si="5"/>
        <v/>
      </c>
      <c r="S49" s="2" t="str">
        <f t="shared" si="6"/>
        <v/>
      </c>
    </row>
    <row r="50" ht="21.0" customHeight="1">
      <c r="A50" s="44"/>
      <c r="B50" s="2" t="str">
        <f t="array" ref="B50">IF(A50="","",IF(COUNTIF(Companies!$A$6:$A$55,A50)&lt;&gt;1,"n.a.",INDEX(Companies!$C$6:$C$55,MATCH(A50,Companies!$A$6:$A$55,0))))</f>
        <v/>
      </c>
      <c r="C50" s="44"/>
      <c r="D50" s="48"/>
      <c r="E50" s="44"/>
      <c r="F50" s="2" t="str">
        <f>IF(A50="","",COUNTIFS(Relationships!$A$6:$A$205,A50,Relationships!$U$6:$U$205,1))</f>
        <v/>
      </c>
      <c r="G50" s="2" t="str">
        <f>IF(A50="","",COUNTIFS(Relationships!$A$6:$A$205,A50,Relationships!$U$6:$U$205,1,Relationships!$C$6:$C$205,"Client")+COUNTIFS(Relationships!$A$6:$A$205,A50,Relationships!$U$6:$U$205,1,Relationships!$C$6:$C$205,"Client and partner"))</f>
        <v/>
      </c>
      <c r="H50" s="2" t="str">
        <f>IF(A50="","",COUNTIFS(Relationships!$A$6:$A$205,A50,Relationships!$U$6:$U$205,1,Relationships!$C$6:$C$205,"Partner")+COUNTIFS(Relationships!$A$6:$A$205,A50,Relationships!$U$6:$U$205,1,Relationships!$C$6:$C$205,"Client and partner"))</f>
        <v/>
      </c>
      <c r="I50" s="49" t="str">
        <f>IFERROR(__xludf.DUMMYFUNCTION("IF(A50="""","""",IF(F50=0,""n.a."",MEDIAN(FILTER(Relationships!$Q$6:$Q$205,Relationships!$A$6:$A$205=A50,Relationships!$U$6:$U$205=1))))"),"")</f>
        <v/>
      </c>
      <c r="J50" s="49" t="str">
        <f t="shared" si="1"/>
        <v/>
      </c>
      <c r="K50" s="49" t="str">
        <f t="shared" si="2"/>
        <v/>
      </c>
      <c r="L50" s="49" t="str">
        <f t="shared" si="3"/>
        <v/>
      </c>
      <c r="M50" s="50" t="str">
        <f t="shared" si="4"/>
        <v/>
      </c>
      <c r="N50" s="2" t="str">
        <f>IF(A50="","",COUNTIFS(Relationships!$A$6:$A$205,A50,Relationships!$V$6:$V$205,1))</f>
        <v/>
      </c>
      <c r="O50" s="2" t="str">
        <f>IF(A50="","",IF(Q50&lt;&gt;1,"Outside cap universe",IF(R50&lt;&gt;1,"Duplicate network issuer",IF(C50&lt;&gt;"Yes","Review incomplete",IF(OR(NOT(ISNUMBER(D50)),D50&gt;Rules!$B$6,Rules!$B$6-D50&gt;Rules!$B$42,E50=""),"Check review date/log",IF(N50&gt;0,"Resolve included records",IF($B$8&lt;&gt;"Ready",$B$8,IF(F50=0,"Reviewed: no qualifying ties","Ranked"))))))))</f>
        <v/>
      </c>
      <c r="P50" s="2">
        <f>IF(A50="",0,IF(AND(Q50=1,R50=1,C50="Yes",ISNUMBER(D50),D50&lt;=Rules!$B$6,Rules!$B$6-D50&lt;=Rules!$B$42,E50&lt;&gt;"",N50=0),1,0))</f>
        <v>0</v>
      </c>
      <c r="Q50" s="2">
        <f t="array" ref="Q50">IF(A50="",0,IF(COUNTIF(Companies!$A$6:$A$55,A50)&lt;&gt;1,0,IF(AND(INDEX(Companies!$R$6:$R$55,MATCH(A50,Companies!$A$6:$A$55,0))=1,INDEX(Companies!$I$6:$I$55,MATCH(A50,Companies!$A$6:$A$55,0))&gt;=MAX(10,Rules!$B$22)),1,0)))</f>
        <v>0</v>
      </c>
      <c r="R50" s="2" t="str">
        <f t="shared" si="5"/>
        <v/>
      </c>
      <c r="S50" s="2" t="str">
        <f t="shared" si="6"/>
        <v/>
      </c>
    </row>
    <row r="51" ht="21.0" customHeight="1">
      <c r="A51" s="44"/>
      <c r="B51" s="2" t="str">
        <f t="array" ref="B51">IF(A51="","",IF(COUNTIF(Companies!$A$6:$A$55,A51)&lt;&gt;1,"n.a.",INDEX(Companies!$C$6:$C$55,MATCH(A51,Companies!$A$6:$A$55,0))))</f>
        <v/>
      </c>
      <c r="C51" s="44"/>
      <c r="D51" s="48"/>
      <c r="E51" s="44"/>
      <c r="F51" s="2" t="str">
        <f>IF(A51="","",COUNTIFS(Relationships!$A$6:$A$205,A51,Relationships!$U$6:$U$205,1))</f>
        <v/>
      </c>
      <c r="G51" s="2" t="str">
        <f>IF(A51="","",COUNTIFS(Relationships!$A$6:$A$205,A51,Relationships!$U$6:$U$205,1,Relationships!$C$6:$C$205,"Client")+COUNTIFS(Relationships!$A$6:$A$205,A51,Relationships!$U$6:$U$205,1,Relationships!$C$6:$C$205,"Client and partner"))</f>
        <v/>
      </c>
      <c r="H51" s="2" t="str">
        <f>IF(A51="","",COUNTIFS(Relationships!$A$6:$A$205,A51,Relationships!$U$6:$U$205,1,Relationships!$C$6:$C$205,"Partner")+COUNTIFS(Relationships!$A$6:$A$205,A51,Relationships!$U$6:$U$205,1,Relationships!$C$6:$C$205,"Client and partner"))</f>
        <v/>
      </c>
      <c r="I51" s="49" t="str">
        <f>IFERROR(__xludf.DUMMYFUNCTION("IF(A51="""","""",IF(F51=0,""n.a."",MEDIAN(FILTER(Relationships!$Q$6:$Q$205,Relationships!$A$6:$A$205=A51,Relationships!$U$6:$U$205=1))))"),"")</f>
        <v/>
      </c>
      <c r="J51" s="49" t="str">
        <f t="shared" si="1"/>
        <v/>
      </c>
      <c r="K51" s="49" t="str">
        <f t="shared" si="2"/>
        <v/>
      </c>
      <c r="L51" s="49" t="str">
        <f t="shared" si="3"/>
        <v/>
      </c>
      <c r="M51" s="50" t="str">
        <f t="shared" si="4"/>
        <v/>
      </c>
      <c r="N51" s="2" t="str">
        <f>IF(A51="","",COUNTIFS(Relationships!$A$6:$A$205,A51,Relationships!$V$6:$V$205,1))</f>
        <v/>
      </c>
      <c r="O51" s="2" t="str">
        <f>IF(A51="","",IF(Q51&lt;&gt;1,"Outside cap universe",IF(R51&lt;&gt;1,"Duplicate network issuer",IF(C51&lt;&gt;"Yes","Review incomplete",IF(OR(NOT(ISNUMBER(D51)),D51&gt;Rules!$B$6,Rules!$B$6-D51&gt;Rules!$B$42,E51=""),"Check review date/log",IF(N51&gt;0,"Resolve included records",IF($B$8&lt;&gt;"Ready",$B$8,IF(F51=0,"Reviewed: no qualifying ties","Ranked"))))))))</f>
        <v/>
      </c>
      <c r="P51" s="2">
        <f>IF(A51="",0,IF(AND(Q51=1,R51=1,C51="Yes",ISNUMBER(D51),D51&lt;=Rules!$B$6,Rules!$B$6-D51&lt;=Rules!$B$42,E51&lt;&gt;"",N51=0),1,0))</f>
        <v>0</v>
      </c>
      <c r="Q51" s="2">
        <f t="array" ref="Q51">IF(A51="",0,IF(COUNTIF(Companies!$A$6:$A$55,A51)&lt;&gt;1,0,IF(AND(INDEX(Companies!$R$6:$R$55,MATCH(A51,Companies!$A$6:$A$55,0))=1,INDEX(Companies!$I$6:$I$55,MATCH(A51,Companies!$A$6:$A$55,0))&gt;=MAX(10,Rules!$B$22)),1,0)))</f>
        <v>0</v>
      </c>
      <c r="R51" s="2" t="str">
        <f t="shared" si="5"/>
        <v/>
      </c>
      <c r="S51" s="2" t="str">
        <f t="shared" si="6"/>
        <v/>
      </c>
    </row>
    <row r="52" ht="21.0" customHeight="1">
      <c r="A52" s="44"/>
      <c r="B52" s="2" t="str">
        <f t="array" ref="B52">IF(A52="","",IF(COUNTIF(Companies!$A$6:$A$55,A52)&lt;&gt;1,"n.a.",INDEX(Companies!$C$6:$C$55,MATCH(A52,Companies!$A$6:$A$55,0))))</f>
        <v/>
      </c>
      <c r="C52" s="44"/>
      <c r="D52" s="48"/>
      <c r="E52" s="44"/>
      <c r="F52" s="2" t="str">
        <f>IF(A52="","",COUNTIFS(Relationships!$A$6:$A$205,A52,Relationships!$U$6:$U$205,1))</f>
        <v/>
      </c>
      <c r="G52" s="2" t="str">
        <f>IF(A52="","",COUNTIFS(Relationships!$A$6:$A$205,A52,Relationships!$U$6:$U$205,1,Relationships!$C$6:$C$205,"Client")+COUNTIFS(Relationships!$A$6:$A$205,A52,Relationships!$U$6:$U$205,1,Relationships!$C$6:$C$205,"Client and partner"))</f>
        <v/>
      </c>
      <c r="H52" s="2" t="str">
        <f>IF(A52="","",COUNTIFS(Relationships!$A$6:$A$205,A52,Relationships!$U$6:$U$205,1,Relationships!$C$6:$C$205,"Partner")+COUNTIFS(Relationships!$A$6:$A$205,A52,Relationships!$U$6:$U$205,1,Relationships!$C$6:$C$205,"Client and partner"))</f>
        <v/>
      </c>
      <c r="I52" s="49" t="str">
        <f>IFERROR(__xludf.DUMMYFUNCTION("IF(A52="""","""",IF(F52=0,""n.a."",MEDIAN(FILTER(Relationships!$Q$6:$Q$205,Relationships!$A$6:$A$205=A52,Relationships!$U$6:$U$205=1))))"),"")</f>
        <v/>
      </c>
      <c r="J52" s="49" t="str">
        <f t="shared" si="1"/>
        <v/>
      </c>
      <c r="K52" s="49" t="str">
        <f t="shared" si="2"/>
        <v/>
      </c>
      <c r="L52" s="49" t="str">
        <f t="shared" si="3"/>
        <v/>
      </c>
      <c r="M52" s="50" t="str">
        <f t="shared" si="4"/>
        <v/>
      </c>
      <c r="N52" s="2" t="str">
        <f>IF(A52="","",COUNTIFS(Relationships!$A$6:$A$205,A52,Relationships!$V$6:$V$205,1))</f>
        <v/>
      </c>
      <c r="O52" s="2" t="str">
        <f>IF(A52="","",IF(Q52&lt;&gt;1,"Outside cap universe",IF(R52&lt;&gt;1,"Duplicate network issuer",IF(C52&lt;&gt;"Yes","Review incomplete",IF(OR(NOT(ISNUMBER(D52)),D52&gt;Rules!$B$6,Rules!$B$6-D52&gt;Rules!$B$42,E52=""),"Check review date/log",IF(N52&gt;0,"Resolve included records",IF($B$8&lt;&gt;"Ready",$B$8,IF(F52=0,"Reviewed: no qualifying ties","Ranked"))))))))</f>
        <v/>
      </c>
      <c r="P52" s="2">
        <f>IF(A52="",0,IF(AND(Q52=1,R52=1,C52="Yes",ISNUMBER(D52),D52&lt;=Rules!$B$6,Rules!$B$6-D52&lt;=Rules!$B$42,E52&lt;&gt;"",N52=0),1,0))</f>
        <v>0</v>
      </c>
      <c r="Q52" s="2">
        <f t="array" ref="Q52">IF(A52="",0,IF(COUNTIF(Companies!$A$6:$A$55,A52)&lt;&gt;1,0,IF(AND(INDEX(Companies!$R$6:$R$55,MATCH(A52,Companies!$A$6:$A$55,0))=1,INDEX(Companies!$I$6:$I$55,MATCH(A52,Companies!$A$6:$A$55,0))&gt;=MAX(10,Rules!$B$22)),1,0)))</f>
        <v>0</v>
      </c>
      <c r="R52" s="2" t="str">
        <f t="shared" si="5"/>
        <v/>
      </c>
      <c r="S52" s="2" t="str">
        <f t="shared" si="6"/>
        <v/>
      </c>
    </row>
    <row r="53" ht="21.0" customHeight="1">
      <c r="A53" s="44"/>
      <c r="B53" s="2" t="str">
        <f t="array" ref="B53">IF(A53="","",IF(COUNTIF(Companies!$A$6:$A$55,A53)&lt;&gt;1,"n.a.",INDEX(Companies!$C$6:$C$55,MATCH(A53,Companies!$A$6:$A$55,0))))</f>
        <v/>
      </c>
      <c r="C53" s="44"/>
      <c r="D53" s="48"/>
      <c r="E53" s="44"/>
      <c r="F53" s="2" t="str">
        <f>IF(A53="","",COUNTIFS(Relationships!$A$6:$A$205,A53,Relationships!$U$6:$U$205,1))</f>
        <v/>
      </c>
      <c r="G53" s="2" t="str">
        <f>IF(A53="","",COUNTIFS(Relationships!$A$6:$A$205,A53,Relationships!$U$6:$U$205,1,Relationships!$C$6:$C$205,"Client")+COUNTIFS(Relationships!$A$6:$A$205,A53,Relationships!$U$6:$U$205,1,Relationships!$C$6:$C$205,"Client and partner"))</f>
        <v/>
      </c>
      <c r="H53" s="2" t="str">
        <f>IF(A53="","",COUNTIFS(Relationships!$A$6:$A$205,A53,Relationships!$U$6:$U$205,1,Relationships!$C$6:$C$205,"Partner")+COUNTIFS(Relationships!$A$6:$A$205,A53,Relationships!$U$6:$U$205,1,Relationships!$C$6:$C$205,"Client and partner"))</f>
        <v/>
      </c>
      <c r="I53" s="49" t="str">
        <f>IFERROR(__xludf.DUMMYFUNCTION("IF(A53="""","""",IF(F53=0,""n.a."",MEDIAN(FILTER(Relationships!$Q$6:$Q$205,Relationships!$A$6:$A$205=A53,Relationships!$U$6:$U$205=1))))"),"")</f>
        <v/>
      </c>
      <c r="J53" s="49" t="str">
        <f t="shared" si="1"/>
        <v/>
      </c>
      <c r="K53" s="49" t="str">
        <f t="shared" si="2"/>
        <v/>
      </c>
      <c r="L53" s="49" t="str">
        <f t="shared" si="3"/>
        <v/>
      </c>
      <c r="M53" s="50" t="str">
        <f t="shared" si="4"/>
        <v/>
      </c>
      <c r="N53" s="2" t="str">
        <f>IF(A53="","",COUNTIFS(Relationships!$A$6:$A$205,A53,Relationships!$V$6:$V$205,1))</f>
        <v/>
      </c>
      <c r="O53" s="2" t="str">
        <f>IF(A53="","",IF(Q53&lt;&gt;1,"Outside cap universe",IF(R53&lt;&gt;1,"Duplicate network issuer",IF(C53&lt;&gt;"Yes","Review incomplete",IF(OR(NOT(ISNUMBER(D53)),D53&gt;Rules!$B$6,Rules!$B$6-D53&gt;Rules!$B$42,E53=""),"Check review date/log",IF(N53&gt;0,"Resolve included records",IF($B$8&lt;&gt;"Ready",$B$8,IF(F53=0,"Reviewed: no qualifying ties","Ranked"))))))))</f>
        <v/>
      </c>
      <c r="P53" s="2">
        <f>IF(A53="",0,IF(AND(Q53=1,R53=1,C53="Yes",ISNUMBER(D53),D53&lt;=Rules!$B$6,Rules!$B$6-D53&lt;=Rules!$B$42,E53&lt;&gt;"",N53=0),1,0))</f>
        <v>0</v>
      </c>
      <c r="Q53" s="2">
        <f t="array" ref="Q53">IF(A53="",0,IF(COUNTIF(Companies!$A$6:$A$55,A53)&lt;&gt;1,0,IF(AND(INDEX(Companies!$R$6:$R$55,MATCH(A53,Companies!$A$6:$A$55,0))=1,INDEX(Companies!$I$6:$I$55,MATCH(A53,Companies!$A$6:$A$55,0))&gt;=MAX(10,Rules!$B$22)),1,0)))</f>
        <v>0</v>
      </c>
      <c r="R53" s="2" t="str">
        <f t="shared" si="5"/>
        <v/>
      </c>
      <c r="S53" s="2" t="str">
        <f t="shared" si="6"/>
        <v/>
      </c>
    </row>
    <row r="54" ht="21.0" customHeight="1">
      <c r="A54" s="44"/>
      <c r="B54" s="2" t="str">
        <f t="array" ref="B54">IF(A54="","",IF(COUNTIF(Companies!$A$6:$A$55,A54)&lt;&gt;1,"n.a.",INDEX(Companies!$C$6:$C$55,MATCH(A54,Companies!$A$6:$A$55,0))))</f>
        <v/>
      </c>
      <c r="C54" s="44"/>
      <c r="D54" s="48"/>
      <c r="E54" s="44"/>
      <c r="F54" s="2" t="str">
        <f>IF(A54="","",COUNTIFS(Relationships!$A$6:$A$205,A54,Relationships!$U$6:$U$205,1))</f>
        <v/>
      </c>
      <c r="G54" s="2" t="str">
        <f>IF(A54="","",COUNTIFS(Relationships!$A$6:$A$205,A54,Relationships!$U$6:$U$205,1,Relationships!$C$6:$C$205,"Client")+COUNTIFS(Relationships!$A$6:$A$205,A54,Relationships!$U$6:$U$205,1,Relationships!$C$6:$C$205,"Client and partner"))</f>
        <v/>
      </c>
      <c r="H54" s="2" t="str">
        <f>IF(A54="","",COUNTIFS(Relationships!$A$6:$A$205,A54,Relationships!$U$6:$U$205,1,Relationships!$C$6:$C$205,"Partner")+COUNTIFS(Relationships!$A$6:$A$205,A54,Relationships!$U$6:$U$205,1,Relationships!$C$6:$C$205,"Client and partner"))</f>
        <v/>
      </c>
      <c r="I54" s="49" t="str">
        <f>IFERROR(__xludf.DUMMYFUNCTION("IF(A54="""","""",IF(F54=0,""n.a."",MEDIAN(FILTER(Relationships!$Q$6:$Q$205,Relationships!$A$6:$A$205=A54,Relationships!$U$6:$U$205=1))))"),"")</f>
        <v/>
      </c>
      <c r="J54" s="49" t="str">
        <f t="shared" si="1"/>
        <v/>
      </c>
      <c r="K54" s="49" t="str">
        <f t="shared" si="2"/>
        <v/>
      </c>
      <c r="L54" s="49" t="str">
        <f t="shared" si="3"/>
        <v/>
      </c>
      <c r="M54" s="50" t="str">
        <f t="shared" si="4"/>
        <v/>
      </c>
      <c r="N54" s="2" t="str">
        <f>IF(A54="","",COUNTIFS(Relationships!$A$6:$A$205,A54,Relationships!$V$6:$V$205,1))</f>
        <v/>
      </c>
      <c r="O54" s="2" t="str">
        <f>IF(A54="","",IF(Q54&lt;&gt;1,"Outside cap universe",IF(R54&lt;&gt;1,"Duplicate network issuer",IF(C54&lt;&gt;"Yes","Review incomplete",IF(OR(NOT(ISNUMBER(D54)),D54&gt;Rules!$B$6,Rules!$B$6-D54&gt;Rules!$B$42,E54=""),"Check review date/log",IF(N54&gt;0,"Resolve included records",IF($B$8&lt;&gt;"Ready",$B$8,IF(F54=0,"Reviewed: no qualifying ties","Ranked"))))))))</f>
        <v/>
      </c>
      <c r="P54" s="2">
        <f>IF(A54="",0,IF(AND(Q54=1,R54=1,C54="Yes",ISNUMBER(D54),D54&lt;=Rules!$B$6,Rules!$B$6-D54&lt;=Rules!$B$42,E54&lt;&gt;"",N54=0),1,0))</f>
        <v>0</v>
      </c>
      <c r="Q54" s="2">
        <f t="array" ref="Q54">IF(A54="",0,IF(COUNTIF(Companies!$A$6:$A$55,A54)&lt;&gt;1,0,IF(AND(INDEX(Companies!$R$6:$R$55,MATCH(A54,Companies!$A$6:$A$55,0))=1,INDEX(Companies!$I$6:$I$55,MATCH(A54,Companies!$A$6:$A$55,0))&gt;=MAX(10,Rules!$B$22)),1,0)))</f>
        <v>0</v>
      </c>
      <c r="R54" s="2" t="str">
        <f t="shared" si="5"/>
        <v/>
      </c>
      <c r="S54" s="2" t="str">
        <f t="shared" si="6"/>
        <v/>
      </c>
    </row>
    <row r="55" ht="21.0" customHeight="1">
      <c r="A55" s="44"/>
      <c r="B55" s="2" t="str">
        <f t="array" ref="B55">IF(A55="","",IF(COUNTIF(Companies!$A$6:$A$55,A55)&lt;&gt;1,"n.a.",INDEX(Companies!$C$6:$C$55,MATCH(A55,Companies!$A$6:$A$55,0))))</f>
        <v/>
      </c>
      <c r="C55" s="44"/>
      <c r="D55" s="48"/>
      <c r="E55" s="44"/>
      <c r="F55" s="2" t="str">
        <f>IF(A55="","",COUNTIFS(Relationships!$A$6:$A$205,A55,Relationships!$U$6:$U$205,1))</f>
        <v/>
      </c>
      <c r="G55" s="2" t="str">
        <f>IF(A55="","",COUNTIFS(Relationships!$A$6:$A$205,A55,Relationships!$U$6:$U$205,1,Relationships!$C$6:$C$205,"Client")+COUNTIFS(Relationships!$A$6:$A$205,A55,Relationships!$U$6:$U$205,1,Relationships!$C$6:$C$205,"Client and partner"))</f>
        <v/>
      </c>
      <c r="H55" s="2" t="str">
        <f>IF(A55="","",COUNTIFS(Relationships!$A$6:$A$205,A55,Relationships!$U$6:$U$205,1,Relationships!$C$6:$C$205,"Partner")+COUNTIFS(Relationships!$A$6:$A$205,A55,Relationships!$U$6:$U$205,1,Relationships!$C$6:$C$205,"Client and partner"))</f>
        <v/>
      </c>
      <c r="I55" s="49" t="str">
        <f>IFERROR(__xludf.DUMMYFUNCTION("IF(A55="""","""",IF(F55=0,""n.a."",MEDIAN(FILTER(Relationships!$Q$6:$Q$205,Relationships!$A$6:$A$205=A55,Relationships!$U$6:$U$205=1))))"),"")</f>
        <v/>
      </c>
      <c r="J55" s="49" t="str">
        <f t="shared" si="1"/>
        <v/>
      </c>
      <c r="K55" s="49" t="str">
        <f t="shared" si="2"/>
        <v/>
      </c>
      <c r="L55" s="49" t="str">
        <f t="shared" si="3"/>
        <v/>
      </c>
      <c r="M55" s="50" t="str">
        <f t="shared" si="4"/>
        <v/>
      </c>
      <c r="N55" s="2" t="str">
        <f>IF(A55="","",COUNTIFS(Relationships!$A$6:$A$205,A55,Relationships!$V$6:$V$205,1))</f>
        <v/>
      </c>
      <c r="O55" s="2" t="str">
        <f>IF(A55="","",IF(Q55&lt;&gt;1,"Outside cap universe",IF(R55&lt;&gt;1,"Duplicate network issuer",IF(C55&lt;&gt;"Yes","Review incomplete",IF(OR(NOT(ISNUMBER(D55)),D55&gt;Rules!$B$6,Rules!$B$6-D55&gt;Rules!$B$42,E55=""),"Check review date/log",IF(N55&gt;0,"Resolve included records",IF($B$8&lt;&gt;"Ready",$B$8,IF(F55=0,"Reviewed: no qualifying ties","Ranked"))))))))</f>
        <v/>
      </c>
      <c r="P55" s="2">
        <f>IF(A55="",0,IF(AND(Q55=1,R55=1,C55="Yes",ISNUMBER(D55),D55&lt;=Rules!$B$6,Rules!$B$6-D55&lt;=Rules!$B$42,E55&lt;&gt;"",N55=0),1,0))</f>
        <v>0</v>
      </c>
      <c r="Q55" s="2">
        <f t="array" ref="Q55">IF(A55="",0,IF(COUNTIF(Companies!$A$6:$A$55,A55)&lt;&gt;1,0,IF(AND(INDEX(Companies!$R$6:$R$55,MATCH(A55,Companies!$A$6:$A$55,0))=1,INDEX(Companies!$I$6:$I$55,MATCH(A55,Companies!$A$6:$A$55,0))&gt;=MAX(10,Rules!$B$22)),1,0)))</f>
        <v>0</v>
      </c>
      <c r="R55" s="2" t="str">
        <f t="shared" si="5"/>
        <v/>
      </c>
      <c r="S55" s="2" t="str">
        <f t="shared" si="6"/>
        <v/>
      </c>
    </row>
    <row r="56" ht="21.0" customHeight="1">
      <c r="A56" s="44"/>
      <c r="B56" s="2" t="str">
        <f t="array" ref="B56">IF(A56="","",IF(COUNTIF(Companies!$A$6:$A$55,A56)&lt;&gt;1,"n.a.",INDEX(Companies!$C$6:$C$55,MATCH(A56,Companies!$A$6:$A$55,0))))</f>
        <v/>
      </c>
      <c r="C56" s="44"/>
      <c r="D56" s="48"/>
      <c r="E56" s="44"/>
      <c r="F56" s="2" t="str">
        <f>IF(A56="","",COUNTIFS(Relationships!$A$6:$A$205,A56,Relationships!$U$6:$U$205,1))</f>
        <v/>
      </c>
      <c r="G56" s="2" t="str">
        <f>IF(A56="","",COUNTIFS(Relationships!$A$6:$A$205,A56,Relationships!$U$6:$U$205,1,Relationships!$C$6:$C$205,"Client")+COUNTIFS(Relationships!$A$6:$A$205,A56,Relationships!$U$6:$U$205,1,Relationships!$C$6:$C$205,"Client and partner"))</f>
        <v/>
      </c>
      <c r="H56" s="2" t="str">
        <f>IF(A56="","",COUNTIFS(Relationships!$A$6:$A$205,A56,Relationships!$U$6:$U$205,1,Relationships!$C$6:$C$205,"Partner")+COUNTIFS(Relationships!$A$6:$A$205,A56,Relationships!$U$6:$U$205,1,Relationships!$C$6:$C$205,"Client and partner"))</f>
        <v/>
      </c>
      <c r="I56" s="49" t="str">
        <f>IFERROR(__xludf.DUMMYFUNCTION("IF(A56="""","""",IF(F56=0,""n.a."",MEDIAN(FILTER(Relationships!$Q$6:$Q$205,Relationships!$A$6:$A$205=A56,Relationships!$U$6:$U$205=1))))"),"")</f>
        <v/>
      </c>
      <c r="J56" s="49" t="str">
        <f t="shared" si="1"/>
        <v/>
      </c>
      <c r="K56" s="49" t="str">
        <f t="shared" si="2"/>
        <v/>
      </c>
      <c r="L56" s="49" t="str">
        <f t="shared" si="3"/>
        <v/>
      </c>
      <c r="M56" s="50" t="str">
        <f t="shared" si="4"/>
        <v/>
      </c>
      <c r="N56" s="2" t="str">
        <f>IF(A56="","",COUNTIFS(Relationships!$A$6:$A$205,A56,Relationships!$V$6:$V$205,1))</f>
        <v/>
      </c>
      <c r="O56" s="2" t="str">
        <f>IF(A56="","",IF(Q56&lt;&gt;1,"Outside cap universe",IF(R56&lt;&gt;1,"Duplicate network issuer",IF(C56&lt;&gt;"Yes","Review incomplete",IF(OR(NOT(ISNUMBER(D56)),D56&gt;Rules!$B$6,Rules!$B$6-D56&gt;Rules!$B$42,E56=""),"Check review date/log",IF(N56&gt;0,"Resolve included records",IF($B$8&lt;&gt;"Ready",$B$8,IF(F56=0,"Reviewed: no qualifying ties","Ranked"))))))))</f>
        <v/>
      </c>
      <c r="P56" s="2">
        <f>IF(A56="",0,IF(AND(Q56=1,R56=1,C56="Yes",ISNUMBER(D56),D56&lt;=Rules!$B$6,Rules!$B$6-D56&lt;=Rules!$B$42,E56&lt;&gt;"",N56=0),1,0))</f>
        <v>0</v>
      </c>
      <c r="Q56" s="2">
        <f t="array" ref="Q56">IF(A56="",0,IF(COUNTIF(Companies!$A$6:$A$55,A56)&lt;&gt;1,0,IF(AND(INDEX(Companies!$R$6:$R$55,MATCH(A56,Companies!$A$6:$A$55,0))=1,INDEX(Companies!$I$6:$I$55,MATCH(A56,Companies!$A$6:$A$55,0))&gt;=MAX(10,Rules!$B$22)),1,0)))</f>
        <v>0</v>
      </c>
      <c r="R56" s="2" t="str">
        <f t="shared" si="5"/>
        <v/>
      </c>
      <c r="S56" s="2" t="str">
        <f t="shared" si="6"/>
        <v/>
      </c>
    </row>
    <row r="57" ht="21.0" customHeight="1">
      <c r="A57" s="44"/>
      <c r="B57" s="2" t="str">
        <f t="array" ref="B57">IF(A57="","",IF(COUNTIF(Companies!$A$6:$A$55,A57)&lt;&gt;1,"n.a.",INDEX(Companies!$C$6:$C$55,MATCH(A57,Companies!$A$6:$A$55,0))))</f>
        <v/>
      </c>
      <c r="C57" s="44"/>
      <c r="D57" s="48"/>
      <c r="E57" s="44"/>
      <c r="F57" s="2" t="str">
        <f>IF(A57="","",COUNTIFS(Relationships!$A$6:$A$205,A57,Relationships!$U$6:$U$205,1))</f>
        <v/>
      </c>
      <c r="G57" s="2" t="str">
        <f>IF(A57="","",COUNTIFS(Relationships!$A$6:$A$205,A57,Relationships!$U$6:$U$205,1,Relationships!$C$6:$C$205,"Client")+COUNTIFS(Relationships!$A$6:$A$205,A57,Relationships!$U$6:$U$205,1,Relationships!$C$6:$C$205,"Client and partner"))</f>
        <v/>
      </c>
      <c r="H57" s="2" t="str">
        <f>IF(A57="","",COUNTIFS(Relationships!$A$6:$A$205,A57,Relationships!$U$6:$U$205,1,Relationships!$C$6:$C$205,"Partner")+COUNTIFS(Relationships!$A$6:$A$205,A57,Relationships!$U$6:$U$205,1,Relationships!$C$6:$C$205,"Client and partner"))</f>
        <v/>
      </c>
      <c r="I57" s="49" t="str">
        <f>IFERROR(__xludf.DUMMYFUNCTION("IF(A57="""","""",IF(F57=0,""n.a."",MEDIAN(FILTER(Relationships!$Q$6:$Q$205,Relationships!$A$6:$A$205=A57,Relationships!$U$6:$U$205=1))))"),"")</f>
        <v/>
      </c>
      <c r="J57" s="49" t="str">
        <f t="shared" si="1"/>
        <v/>
      </c>
      <c r="K57" s="49" t="str">
        <f t="shared" si="2"/>
        <v/>
      </c>
      <c r="L57" s="49" t="str">
        <f t="shared" si="3"/>
        <v/>
      </c>
      <c r="M57" s="50" t="str">
        <f t="shared" si="4"/>
        <v/>
      </c>
      <c r="N57" s="2" t="str">
        <f>IF(A57="","",COUNTIFS(Relationships!$A$6:$A$205,A57,Relationships!$V$6:$V$205,1))</f>
        <v/>
      </c>
      <c r="O57" s="2" t="str">
        <f>IF(A57="","",IF(Q57&lt;&gt;1,"Outside cap universe",IF(R57&lt;&gt;1,"Duplicate network issuer",IF(C57&lt;&gt;"Yes","Review incomplete",IF(OR(NOT(ISNUMBER(D57)),D57&gt;Rules!$B$6,Rules!$B$6-D57&gt;Rules!$B$42,E57=""),"Check review date/log",IF(N57&gt;0,"Resolve included records",IF($B$8&lt;&gt;"Ready",$B$8,IF(F57=0,"Reviewed: no qualifying ties","Ranked"))))))))</f>
        <v/>
      </c>
      <c r="P57" s="2">
        <f>IF(A57="",0,IF(AND(Q57=1,R57=1,C57="Yes",ISNUMBER(D57),D57&lt;=Rules!$B$6,Rules!$B$6-D57&lt;=Rules!$B$42,E57&lt;&gt;"",N57=0),1,0))</f>
        <v>0</v>
      </c>
      <c r="Q57" s="2">
        <f t="array" ref="Q57">IF(A57="",0,IF(COUNTIF(Companies!$A$6:$A$55,A57)&lt;&gt;1,0,IF(AND(INDEX(Companies!$R$6:$R$55,MATCH(A57,Companies!$A$6:$A$55,0))=1,INDEX(Companies!$I$6:$I$55,MATCH(A57,Companies!$A$6:$A$55,0))&gt;=MAX(10,Rules!$B$22)),1,0)))</f>
        <v>0</v>
      </c>
      <c r="R57" s="2" t="str">
        <f t="shared" si="5"/>
        <v/>
      </c>
      <c r="S57" s="2" t="str">
        <f t="shared" si="6"/>
        <v/>
      </c>
    </row>
    <row r="58" ht="21.0" customHeight="1">
      <c r="A58" s="44"/>
      <c r="B58" s="2" t="str">
        <f t="array" ref="B58">IF(A58="","",IF(COUNTIF(Companies!$A$6:$A$55,A58)&lt;&gt;1,"n.a.",INDEX(Companies!$C$6:$C$55,MATCH(A58,Companies!$A$6:$A$55,0))))</f>
        <v/>
      </c>
      <c r="C58" s="44"/>
      <c r="D58" s="48"/>
      <c r="E58" s="44"/>
      <c r="F58" s="2" t="str">
        <f>IF(A58="","",COUNTIFS(Relationships!$A$6:$A$205,A58,Relationships!$U$6:$U$205,1))</f>
        <v/>
      </c>
      <c r="G58" s="2" t="str">
        <f>IF(A58="","",COUNTIFS(Relationships!$A$6:$A$205,A58,Relationships!$U$6:$U$205,1,Relationships!$C$6:$C$205,"Client")+COUNTIFS(Relationships!$A$6:$A$205,A58,Relationships!$U$6:$U$205,1,Relationships!$C$6:$C$205,"Client and partner"))</f>
        <v/>
      </c>
      <c r="H58" s="2" t="str">
        <f>IF(A58="","",COUNTIFS(Relationships!$A$6:$A$205,A58,Relationships!$U$6:$U$205,1,Relationships!$C$6:$C$205,"Partner")+COUNTIFS(Relationships!$A$6:$A$205,A58,Relationships!$U$6:$U$205,1,Relationships!$C$6:$C$205,"Client and partner"))</f>
        <v/>
      </c>
      <c r="I58" s="49" t="str">
        <f>IFERROR(__xludf.DUMMYFUNCTION("IF(A58="""","""",IF(F58=0,""n.a."",MEDIAN(FILTER(Relationships!$Q$6:$Q$205,Relationships!$A$6:$A$205=A58,Relationships!$U$6:$U$205=1))))"),"")</f>
        <v/>
      </c>
      <c r="J58" s="49" t="str">
        <f t="shared" si="1"/>
        <v/>
      </c>
      <c r="K58" s="49" t="str">
        <f t="shared" si="2"/>
        <v/>
      </c>
      <c r="L58" s="49" t="str">
        <f t="shared" si="3"/>
        <v/>
      </c>
      <c r="M58" s="50" t="str">
        <f t="shared" si="4"/>
        <v/>
      </c>
      <c r="N58" s="2" t="str">
        <f>IF(A58="","",COUNTIFS(Relationships!$A$6:$A$205,A58,Relationships!$V$6:$V$205,1))</f>
        <v/>
      </c>
      <c r="O58" s="2" t="str">
        <f>IF(A58="","",IF(Q58&lt;&gt;1,"Outside cap universe",IF(R58&lt;&gt;1,"Duplicate network issuer",IF(C58&lt;&gt;"Yes","Review incomplete",IF(OR(NOT(ISNUMBER(D58)),D58&gt;Rules!$B$6,Rules!$B$6-D58&gt;Rules!$B$42,E58=""),"Check review date/log",IF(N58&gt;0,"Resolve included records",IF($B$8&lt;&gt;"Ready",$B$8,IF(F58=0,"Reviewed: no qualifying ties","Ranked"))))))))</f>
        <v/>
      </c>
      <c r="P58" s="2">
        <f>IF(A58="",0,IF(AND(Q58=1,R58=1,C58="Yes",ISNUMBER(D58),D58&lt;=Rules!$B$6,Rules!$B$6-D58&lt;=Rules!$B$42,E58&lt;&gt;"",N58=0),1,0))</f>
        <v>0</v>
      </c>
      <c r="Q58" s="2">
        <f t="array" ref="Q58">IF(A58="",0,IF(COUNTIF(Companies!$A$6:$A$55,A58)&lt;&gt;1,0,IF(AND(INDEX(Companies!$R$6:$R$55,MATCH(A58,Companies!$A$6:$A$55,0))=1,INDEX(Companies!$I$6:$I$55,MATCH(A58,Companies!$A$6:$A$55,0))&gt;=MAX(10,Rules!$B$22)),1,0)))</f>
        <v>0</v>
      </c>
      <c r="R58" s="2" t="str">
        <f t="shared" si="5"/>
        <v/>
      </c>
      <c r="S58" s="2" t="str">
        <f t="shared" si="6"/>
        <v/>
      </c>
    </row>
    <row r="59" ht="21.0" customHeight="1">
      <c r="A59" s="44"/>
      <c r="B59" s="2" t="str">
        <f t="array" ref="B59">IF(A59="","",IF(COUNTIF(Companies!$A$6:$A$55,A59)&lt;&gt;1,"n.a.",INDEX(Companies!$C$6:$C$55,MATCH(A59,Companies!$A$6:$A$55,0))))</f>
        <v/>
      </c>
      <c r="C59" s="44"/>
      <c r="D59" s="48"/>
      <c r="E59" s="44"/>
      <c r="F59" s="2" t="str">
        <f>IF(A59="","",COUNTIFS(Relationships!$A$6:$A$205,A59,Relationships!$U$6:$U$205,1))</f>
        <v/>
      </c>
      <c r="G59" s="2" t="str">
        <f>IF(A59="","",COUNTIFS(Relationships!$A$6:$A$205,A59,Relationships!$U$6:$U$205,1,Relationships!$C$6:$C$205,"Client")+COUNTIFS(Relationships!$A$6:$A$205,A59,Relationships!$U$6:$U$205,1,Relationships!$C$6:$C$205,"Client and partner"))</f>
        <v/>
      </c>
      <c r="H59" s="2" t="str">
        <f>IF(A59="","",COUNTIFS(Relationships!$A$6:$A$205,A59,Relationships!$U$6:$U$205,1,Relationships!$C$6:$C$205,"Partner")+COUNTIFS(Relationships!$A$6:$A$205,A59,Relationships!$U$6:$U$205,1,Relationships!$C$6:$C$205,"Client and partner"))</f>
        <v/>
      </c>
      <c r="I59" s="49" t="str">
        <f>IFERROR(__xludf.DUMMYFUNCTION("IF(A59="""","""",IF(F59=0,""n.a."",MEDIAN(FILTER(Relationships!$Q$6:$Q$205,Relationships!$A$6:$A$205=A59,Relationships!$U$6:$U$205=1))))"),"")</f>
        <v/>
      </c>
      <c r="J59" s="49" t="str">
        <f t="shared" si="1"/>
        <v/>
      </c>
      <c r="K59" s="49" t="str">
        <f t="shared" si="2"/>
        <v/>
      </c>
      <c r="L59" s="49" t="str">
        <f t="shared" si="3"/>
        <v/>
      </c>
      <c r="M59" s="50" t="str">
        <f t="shared" si="4"/>
        <v/>
      </c>
      <c r="N59" s="2" t="str">
        <f>IF(A59="","",COUNTIFS(Relationships!$A$6:$A$205,A59,Relationships!$V$6:$V$205,1))</f>
        <v/>
      </c>
      <c r="O59" s="2" t="str">
        <f>IF(A59="","",IF(Q59&lt;&gt;1,"Outside cap universe",IF(R59&lt;&gt;1,"Duplicate network issuer",IF(C59&lt;&gt;"Yes","Review incomplete",IF(OR(NOT(ISNUMBER(D59)),D59&gt;Rules!$B$6,Rules!$B$6-D59&gt;Rules!$B$42,E59=""),"Check review date/log",IF(N59&gt;0,"Resolve included records",IF($B$8&lt;&gt;"Ready",$B$8,IF(F59=0,"Reviewed: no qualifying ties","Ranked"))))))))</f>
        <v/>
      </c>
      <c r="P59" s="2">
        <f>IF(A59="",0,IF(AND(Q59=1,R59=1,C59="Yes",ISNUMBER(D59),D59&lt;=Rules!$B$6,Rules!$B$6-D59&lt;=Rules!$B$42,E59&lt;&gt;"",N59=0),1,0))</f>
        <v>0</v>
      </c>
      <c r="Q59" s="2">
        <f t="array" ref="Q59">IF(A59="",0,IF(COUNTIF(Companies!$A$6:$A$55,A59)&lt;&gt;1,0,IF(AND(INDEX(Companies!$R$6:$R$55,MATCH(A59,Companies!$A$6:$A$55,0))=1,INDEX(Companies!$I$6:$I$55,MATCH(A59,Companies!$A$6:$A$55,0))&gt;=MAX(10,Rules!$B$22)),1,0)))</f>
        <v>0</v>
      </c>
      <c r="R59" s="2" t="str">
        <f t="shared" si="5"/>
        <v/>
      </c>
      <c r="S59" s="2" t="str">
        <f t="shared" si="6"/>
        <v/>
      </c>
    </row>
    <row r="60" ht="21.0" customHeight="1">
      <c r="A60" s="44"/>
      <c r="B60" s="2" t="str">
        <f t="array" ref="B60">IF(A60="","",IF(COUNTIF(Companies!$A$6:$A$55,A60)&lt;&gt;1,"n.a.",INDEX(Companies!$C$6:$C$55,MATCH(A60,Companies!$A$6:$A$55,0))))</f>
        <v/>
      </c>
      <c r="C60" s="44"/>
      <c r="D60" s="48"/>
      <c r="E60" s="44"/>
      <c r="F60" s="2" t="str">
        <f>IF(A60="","",COUNTIFS(Relationships!$A$6:$A$205,A60,Relationships!$U$6:$U$205,1))</f>
        <v/>
      </c>
      <c r="G60" s="2" t="str">
        <f>IF(A60="","",COUNTIFS(Relationships!$A$6:$A$205,A60,Relationships!$U$6:$U$205,1,Relationships!$C$6:$C$205,"Client")+COUNTIFS(Relationships!$A$6:$A$205,A60,Relationships!$U$6:$U$205,1,Relationships!$C$6:$C$205,"Client and partner"))</f>
        <v/>
      </c>
      <c r="H60" s="2" t="str">
        <f>IF(A60="","",COUNTIFS(Relationships!$A$6:$A$205,A60,Relationships!$U$6:$U$205,1,Relationships!$C$6:$C$205,"Partner")+COUNTIFS(Relationships!$A$6:$A$205,A60,Relationships!$U$6:$U$205,1,Relationships!$C$6:$C$205,"Client and partner"))</f>
        <v/>
      </c>
      <c r="I60" s="49" t="str">
        <f>IFERROR(__xludf.DUMMYFUNCTION("IF(A60="""","""",IF(F60=0,""n.a."",MEDIAN(FILTER(Relationships!$Q$6:$Q$205,Relationships!$A$6:$A$205=A60,Relationships!$U$6:$U$205=1))))"),"")</f>
        <v/>
      </c>
      <c r="J60" s="49" t="str">
        <f t="shared" si="1"/>
        <v/>
      </c>
      <c r="K60" s="49" t="str">
        <f t="shared" si="2"/>
        <v/>
      </c>
      <c r="L60" s="49" t="str">
        <f t="shared" si="3"/>
        <v/>
      </c>
      <c r="M60" s="50" t="str">
        <f t="shared" si="4"/>
        <v/>
      </c>
      <c r="N60" s="2" t="str">
        <f>IF(A60="","",COUNTIFS(Relationships!$A$6:$A$205,A60,Relationships!$V$6:$V$205,1))</f>
        <v/>
      </c>
      <c r="O60" s="2" t="str">
        <f>IF(A60="","",IF(Q60&lt;&gt;1,"Outside cap universe",IF(R60&lt;&gt;1,"Duplicate network issuer",IF(C60&lt;&gt;"Yes","Review incomplete",IF(OR(NOT(ISNUMBER(D60)),D60&gt;Rules!$B$6,Rules!$B$6-D60&gt;Rules!$B$42,E60=""),"Check review date/log",IF(N60&gt;0,"Resolve included records",IF($B$8&lt;&gt;"Ready",$B$8,IF(F60=0,"Reviewed: no qualifying ties","Ranked"))))))))</f>
        <v/>
      </c>
      <c r="P60" s="2">
        <f>IF(A60="",0,IF(AND(Q60=1,R60=1,C60="Yes",ISNUMBER(D60),D60&lt;=Rules!$B$6,Rules!$B$6-D60&lt;=Rules!$B$42,E60&lt;&gt;"",N60=0),1,0))</f>
        <v>0</v>
      </c>
      <c r="Q60" s="2">
        <f t="array" ref="Q60">IF(A60="",0,IF(COUNTIF(Companies!$A$6:$A$55,A60)&lt;&gt;1,0,IF(AND(INDEX(Companies!$R$6:$R$55,MATCH(A60,Companies!$A$6:$A$55,0))=1,INDEX(Companies!$I$6:$I$55,MATCH(A60,Companies!$A$6:$A$55,0))&gt;=MAX(10,Rules!$B$22)),1,0)))</f>
        <v>0</v>
      </c>
      <c r="R60" s="2" t="str">
        <f t="shared" si="5"/>
        <v/>
      </c>
      <c r="S60" s="2" t="str">
        <f t="shared" si="6"/>
        <v/>
      </c>
    </row>
    <row r="61" ht="21.0" customHeight="1">
      <c r="A61" s="44"/>
      <c r="B61" s="2" t="str">
        <f t="array" ref="B61">IF(A61="","",IF(COUNTIF(Companies!$A$6:$A$55,A61)&lt;&gt;1,"n.a.",INDEX(Companies!$C$6:$C$55,MATCH(A61,Companies!$A$6:$A$55,0))))</f>
        <v/>
      </c>
      <c r="C61" s="44"/>
      <c r="D61" s="48"/>
      <c r="E61" s="44"/>
      <c r="F61" s="2" t="str">
        <f>IF(A61="","",COUNTIFS(Relationships!$A$6:$A$205,A61,Relationships!$U$6:$U$205,1))</f>
        <v/>
      </c>
      <c r="G61" s="2" t="str">
        <f>IF(A61="","",COUNTIFS(Relationships!$A$6:$A$205,A61,Relationships!$U$6:$U$205,1,Relationships!$C$6:$C$205,"Client")+COUNTIFS(Relationships!$A$6:$A$205,A61,Relationships!$U$6:$U$205,1,Relationships!$C$6:$C$205,"Client and partner"))</f>
        <v/>
      </c>
      <c r="H61" s="2" t="str">
        <f>IF(A61="","",COUNTIFS(Relationships!$A$6:$A$205,A61,Relationships!$U$6:$U$205,1,Relationships!$C$6:$C$205,"Partner")+COUNTIFS(Relationships!$A$6:$A$205,A61,Relationships!$U$6:$U$205,1,Relationships!$C$6:$C$205,"Client and partner"))</f>
        <v/>
      </c>
      <c r="I61" s="49" t="str">
        <f>IFERROR(__xludf.DUMMYFUNCTION("IF(A61="""","""",IF(F61=0,""n.a."",MEDIAN(FILTER(Relationships!$Q$6:$Q$205,Relationships!$A$6:$A$205=A61,Relationships!$U$6:$U$205=1))))"),"")</f>
        <v/>
      </c>
      <c r="J61" s="49" t="str">
        <f t="shared" si="1"/>
        <v/>
      </c>
      <c r="K61" s="49" t="str">
        <f t="shared" si="2"/>
        <v/>
      </c>
      <c r="L61" s="49" t="str">
        <f t="shared" si="3"/>
        <v/>
      </c>
      <c r="M61" s="50" t="str">
        <f t="shared" si="4"/>
        <v/>
      </c>
      <c r="N61" s="2" t="str">
        <f>IF(A61="","",COUNTIFS(Relationships!$A$6:$A$205,A61,Relationships!$V$6:$V$205,1))</f>
        <v/>
      </c>
      <c r="O61" s="2" t="str">
        <f>IF(A61="","",IF(Q61&lt;&gt;1,"Outside cap universe",IF(R61&lt;&gt;1,"Duplicate network issuer",IF(C61&lt;&gt;"Yes","Review incomplete",IF(OR(NOT(ISNUMBER(D61)),D61&gt;Rules!$B$6,Rules!$B$6-D61&gt;Rules!$B$42,E61=""),"Check review date/log",IF(N61&gt;0,"Resolve included records",IF($B$8&lt;&gt;"Ready",$B$8,IF(F61=0,"Reviewed: no qualifying ties","Ranked"))))))))</f>
        <v/>
      </c>
      <c r="P61" s="2">
        <f>IF(A61="",0,IF(AND(Q61=1,R61=1,C61="Yes",ISNUMBER(D61),D61&lt;=Rules!$B$6,Rules!$B$6-D61&lt;=Rules!$B$42,E61&lt;&gt;"",N61=0),1,0))</f>
        <v>0</v>
      </c>
      <c r="Q61" s="2">
        <f t="array" ref="Q61">IF(A61="",0,IF(COUNTIF(Companies!$A$6:$A$55,A61)&lt;&gt;1,0,IF(AND(INDEX(Companies!$R$6:$R$55,MATCH(A61,Companies!$A$6:$A$55,0))=1,INDEX(Companies!$I$6:$I$55,MATCH(A61,Companies!$A$6:$A$55,0))&gt;=MAX(10,Rules!$B$22)),1,0)))</f>
        <v>0</v>
      </c>
      <c r="R61" s="2" t="str">
        <f t="shared" si="5"/>
        <v/>
      </c>
      <c r="S61" s="2" t="str">
        <f t="shared" si="6"/>
        <v/>
      </c>
    </row>
    <row r="62" ht="21.0" customHeight="1">
      <c r="A62" s="44"/>
      <c r="B62" s="2" t="str">
        <f t="array" ref="B62">IF(A62="","",IF(COUNTIF(Companies!$A$6:$A$55,A62)&lt;&gt;1,"n.a.",INDEX(Companies!$C$6:$C$55,MATCH(A62,Companies!$A$6:$A$55,0))))</f>
        <v/>
      </c>
      <c r="C62" s="44"/>
      <c r="D62" s="48"/>
      <c r="E62" s="44"/>
      <c r="F62" s="2" t="str">
        <f>IF(A62="","",COUNTIFS(Relationships!$A$6:$A$205,A62,Relationships!$U$6:$U$205,1))</f>
        <v/>
      </c>
      <c r="G62" s="2" t="str">
        <f>IF(A62="","",COUNTIFS(Relationships!$A$6:$A$205,A62,Relationships!$U$6:$U$205,1,Relationships!$C$6:$C$205,"Client")+COUNTIFS(Relationships!$A$6:$A$205,A62,Relationships!$U$6:$U$205,1,Relationships!$C$6:$C$205,"Client and partner"))</f>
        <v/>
      </c>
      <c r="H62" s="2" t="str">
        <f>IF(A62="","",COUNTIFS(Relationships!$A$6:$A$205,A62,Relationships!$U$6:$U$205,1,Relationships!$C$6:$C$205,"Partner")+COUNTIFS(Relationships!$A$6:$A$205,A62,Relationships!$U$6:$U$205,1,Relationships!$C$6:$C$205,"Client and partner"))</f>
        <v/>
      </c>
      <c r="I62" s="49" t="str">
        <f>IFERROR(__xludf.DUMMYFUNCTION("IF(A62="""","""",IF(F62=0,""n.a."",MEDIAN(FILTER(Relationships!$Q$6:$Q$205,Relationships!$A$6:$A$205=A62,Relationships!$U$6:$U$205=1))))"),"")</f>
        <v/>
      </c>
      <c r="J62" s="49" t="str">
        <f t="shared" si="1"/>
        <v/>
      </c>
      <c r="K62" s="49" t="str">
        <f t="shared" si="2"/>
        <v/>
      </c>
      <c r="L62" s="49" t="str">
        <f t="shared" si="3"/>
        <v/>
      </c>
      <c r="M62" s="50" t="str">
        <f t="shared" si="4"/>
        <v/>
      </c>
      <c r="N62" s="2" t="str">
        <f>IF(A62="","",COUNTIFS(Relationships!$A$6:$A$205,A62,Relationships!$V$6:$V$205,1))</f>
        <v/>
      </c>
      <c r="O62" s="2" t="str">
        <f>IF(A62="","",IF(Q62&lt;&gt;1,"Outside cap universe",IF(R62&lt;&gt;1,"Duplicate network issuer",IF(C62&lt;&gt;"Yes","Review incomplete",IF(OR(NOT(ISNUMBER(D62)),D62&gt;Rules!$B$6,Rules!$B$6-D62&gt;Rules!$B$42,E62=""),"Check review date/log",IF(N62&gt;0,"Resolve included records",IF($B$8&lt;&gt;"Ready",$B$8,IF(F62=0,"Reviewed: no qualifying ties","Ranked"))))))))</f>
        <v/>
      </c>
      <c r="P62" s="2">
        <f>IF(A62="",0,IF(AND(Q62=1,R62=1,C62="Yes",ISNUMBER(D62),D62&lt;=Rules!$B$6,Rules!$B$6-D62&lt;=Rules!$B$42,E62&lt;&gt;"",N62=0),1,0))</f>
        <v>0</v>
      </c>
      <c r="Q62" s="2">
        <f t="array" ref="Q62">IF(A62="",0,IF(COUNTIF(Companies!$A$6:$A$55,A62)&lt;&gt;1,0,IF(AND(INDEX(Companies!$R$6:$R$55,MATCH(A62,Companies!$A$6:$A$55,0))=1,INDEX(Companies!$I$6:$I$55,MATCH(A62,Companies!$A$6:$A$55,0))&gt;=MAX(10,Rules!$B$22)),1,0)))</f>
        <v>0</v>
      </c>
      <c r="R62" s="2" t="str">
        <f t="shared" si="5"/>
        <v/>
      </c>
      <c r="S62" s="2" t="str">
        <f t="shared" si="6"/>
        <v/>
      </c>
    </row>
    <row r="63" ht="21.0" customHeight="1">
      <c r="A63" s="44"/>
      <c r="B63" s="2" t="str">
        <f t="array" ref="B63">IF(A63="","",IF(COUNTIF(Companies!$A$6:$A$55,A63)&lt;&gt;1,"n.a.",INDEX(Companies!$C$6:$C$55,MATCH(A63,Companies!$A$6:$A$55,0))))</f>
        <v/>
      </c>
      <c r="C63" s="44"/>
      <c r="D63" s="48"/>
      <c r="E63" s="44"/>
      <c r="F63" s="2" t="str">
        <f>IF(A63="","",COUNTIFS(Relationships!$A$6:$A$205,A63,Relationships!$U$6:$U$205,1))</f>
        <v/>
      </c>
      <c r="G63" s="2" t="str">
        <f>IF(A63="","",COUNTIFS(Relationships!$A$6:$A$205,A63,Relationships!$U$6:$U$205,1,Relationships!$C$6:$C$205,"Client")+COUNTIFS(Relationships!$A$6:$A$205,A63,Relationships!$U$6:$U$205,1,Relationships!$C$6:$C$205,"Client and partner"))</f>
        <v/>
      </c>
      <c r="H63" s="2" t="str">
        <f>IF(A63="","",COUNTIFS(Relationships!$A$6:$A$205,A63,Relationships!$U$6:$U$205,1,Relationships!$C$6:$C$205,"Partner")+COUNTIFS(Relationships!$A$6:$A$205,A63,Relationships!$U$6:$U$205,1,Relationships!$C$6:$C$205,"Client and partner"))</f>
        <v/>
      </c>
      <c r="I63" s="49" t="str">
        <f>IFERROR(__xludf.DUMMYFUNCTION("IF(A63="""","""",IF(F63=0,""n.a."",MEDIAN(FILTER(Relationships!$Q$6:$Q$205,Relationships!$A$6:$A$205=A63,Relationships!$U$6:$U$205=1))))"),"")</f>
        <v/>
      </c>
      <c r="J63" s="49" t="str">
        <f t="shared" si="1"/>
        <v/>
      </c>
      <c r="K63" s="49" t="str">
        <f t="shared" si="2"/>
        <v/>
      </c>
      <c r="L63" s="49" t="str">
        <f t="shared" si="3"/>
        <v/>
      </c>
      <c r="M63" s="50" t="str">
        <f t="shared" si="4"/>
        <v/>
      </c>
      <c r="N63" s="2" t="str">
        <f>IF(A63="","",COUNTIFS(Relationships!$A$6:$A$205,A63,Relationships!$V$6:$V$205,1))</f>
        <v/>
      </c>
      <c r="O63" s="2" t="str">
        <f>IF(A63="","",IF(Q63&lt;&gt;1,"Outside cap universe",IF(R63&lt;&gt;1,"Duplicate network issuer",IF(C63&lt;&gt;"Yes","Review incomplete",IF(OR(NOT(ISNUMBER(D63)),D63&gt;Rules!$B$6,Rules!$B$6-D63&gt;Rules!$B$42,E63=""),"Check review date/log",IF(N63&gt;0,"Resolve included records",IF($B$8&lt;&gt;"Ready",$B$8,IF(F63=0,"Reviewed: no qualifying ties","Ranked"))))))))</f>
        <v/>
      </c>
      <c r="P63" s="2">
        <f>IF(A63="",0,IF(AND(Q63=1,R63=1,C63="Yes",ISNUMBER(D63),D63&lt;=Rules!$B$6,Rules!$B$6-D63&lt;=Rules!$B$42,E63&lt;&gt;"",N63=0),1,0))</f>
        <v>0</v>
      </c>
      <c r="Q63" s="2">
        <f t="array" ref="Q63">IF(A63="",0,IF(COUNTIF(Companies!$A$6:$A$55,A63)&lt;&gt;1,0,IF(AND(INDEX(Companies!$R$6:$R$55,MATCH(A63,Companies!$A$6:$A$55,0))=1,INDEX(Companies!$I$6:$I$55,MATCH(A63,Companies!$A$6:$A$55,0))&gt;=MAX(10,Rules!$B$22)),1,0)))</f>
        <v>0</v>
      </c>
      <c r="R63" s="2" t="str">
        <f t="shared" si="5"/>
        <v/>
      </c>
      <c r="S63" s="2" t="str">
        <f t="shared" si="6"/>
        <v/>
      </c>
    </row>
  </sheetData>
  <autoFilter ref="$A$13:$S$63"/>
  <mergeCells count="4">
    <mergeCell ref="A2:B2"/>
    <mergeCell ref="A3:B3"/>
    <mergeCell ref="F11:J11"/>
    <mergeCell ref="F12:J12"/>
  </mergeCells>
  <conditionalFormatting sqref="L14:L63">
    <cfRule type="colorScale" priority="1">
      <colorScale>
        <cfvo type="formula" val="0"/>
        <cfvo type="formula" val="100"/>
        <color rgb="FFFFFFFF"/>
        <color rgb="FFC4DDFF"/>
      </colorScale>
    </cfRule>
  </conditionalFormatting>
  <dataValidations>
    <dataValidation type="list" allowBlank="1" showErrorMessage="1" sqref="C14:C63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1" width="31.38"/>
    <col customWidth="1" min="2" max="2" width="30.75"/>
    <col customWidth="1" min="3" max="11" width="21.38"/>
    <col customWidth="1" min="12" max="13" width="24.5"/>
    <col customWidth="1" min="14" max="18" width="21.38"/>
    <col customWidth="1" min="19" max="19" width="32.0"/>
    <col customWidth="1" hidden="1" min="20" max="25" width="21.38"/>
  </cols>
  <sheetData>
    <row r="1" ht="18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>
      <c r="A2" s="6" t="s">
        <v>5</v>
      </c>
      <c r="B2" s="6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8.75" customHeight="1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75" customHeight="1">
      <c r="A4" s="14" t="s">
        <v>21</v>
      </c>
      <c r="B4" s="14" t="str">
        <f>IFERROR(__xludf.DUMMYFUNCTION("IF(REGEXMATCH(LOWER(Rules!B7&amp;"" ""&amp;Rules!B8),""financial|bank|insurance|reit|real estate""),""Needs sector profile"",IF(LOWER(Rules!B7)=""utilities"",""Utilities"",""General operating""))"),"General operating")</f>
        <v>General operating</v>
      </c>
      <c r="C4" s="2"/>
      <c r="D4" s="2"/>
      <c r="E4" s="2"/>
      <c r="F4" s="19" t="s">
        <v>25</v>
      </c>
      <c r="G4" s="19" t="s">
        <v>27</v>
      </c>
      <c r="H4" s="19" t="s">
        <v>29</v>
      </c>
      <c r="I4" s="19" t="s">
        <v>30</v>
      </c>
      <c r="J4" s="2"/>
      <c r="K4" s="2"/>
      <c r="L4" s="19" t="s">
        <v>31</v>
      </c>
      <c r="M4" s="19" t="s">
        <v>11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4.75" customHeight="1">
      <c r="A5" s="14" t="s">
        <v>36</v>
      </c>
      <c r="B5" s="14">
        <f>Rules!B12</f>
        <v>3</v>
      </c>
      <c r="C5" s="2"/>
      <c r="D5" s="2"/>
      <c r="E5" s="2"/>
      <c r="F5" s="2" t="s">
        <v>45</v>
      </c>
      <c r="G5" s="25">
        <f t="shared" ref="G5:G8" si="1">IF($B$4="Utilities",I5,IF($B$4="General operating",H5,0))</f>
        <v>0.35</v>
      </c>
      <c r="H5" s="26">
        <v>0.35</v>
      </c>
      <c r="I5" s="26">
        <v>0.4</v>
      </c>
      <c r="J5" s="2"/>
      <c r="K5" s="2"/>
      <c r="L5" s="2" t="s">
        <v>45</v>
      </c>
      <c r="M5" s="29" t="str">
        <f>IF($B$7&lt;$B$5,"n.a.",IF(COUNT($V$15:$V$64)=0,"n.a.",MEDIAN($V$15:$V$64)))</f>
        <v>n.a.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4.75" customHeight="1">
      <c r="A6" s="14" t="s">
        <v>8</v>
      </c>
      <c r="B6" s="14">
        <f>COUNTIFS(Companies!$R$6:$R$55,1)</f>
        <v>0</v>
      </c>
      <c r="C6" s="2"/>
      <c r="D6" s="2"/>
      <c r="E6" s="2"/>
      <c r="F6" s="2" t="s">
        <v>80</v>
      </c>
      <c r="G6" s="25">
        <f t="shared" si="1"/>
        <v>0.35</v>
      </c>
      <c r="H6" s="26">
        <v>0.35</v>
      </c>
      <c r="I6" s="26">
        <v>0.4</v>
      </c>
      <c r="J6" s="2"/>
      <c r="K6" s="2"/>
      <c r="L6" s="2" t="s">
        <v>80</v>
      </c>
      <c r="M6" s="29" t="str">
        <f>IF($B$7&lt;$B$5,"n.a.",IF(COUNT($W$15:$W$64)=0,"n.a.",MEDIAN($W$15:$W$64)))</f>
        <v>n.a.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4.75" customHeight="1">
      <c r="A7" s="14" t="s">
        <v>102</v>
      </c>
      <c r="B7" s="14">
        <f>COUNTIFS($T$15:$T$64,1)</f>
        <v>0</v>
      </c>
      <c r="C7" s="2"/>
      <c r="D7" s="2"/>
      <c r="E7" s="2"/>
      <c r="F7" s="2" t="s">
        <v>111</v>
      </c>
      <c r="G7" s="25">
        <f t="shared" si="1"/>
        <v>0.3</v>
      </c>
      <c r="H7" s="26">
        <v>0.3</v>
      </c>
      <c r="I7" s="26">
        <v>0.0</v>
      </c>
      <c r="J7" s="2"/>
      <c r="K7" s="2"/>
      <c r="L7" s="2" t="s">
        <v>111</v>
      </c>
      <c r="M7" s="34" t="str">
        <f>IF($B$7&lt;$B$5,"n.a.",IF(COUNT($X$15:$X$64)=0,"n.a.",MEDIAN($X$15:$X$64)))</f>
        <v>n.a.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4.75" customHeight="1">
      <c r="A8" s="14" t="s">
        <v>127</v>
      </c>
      <c r="B8" s="37">
        <f>SUM($G$5:$G$8)</f>
        <v>1</v>
      </c>
      <c r="C8" s="2"/>
      <c r="D8" s="2"/>
      <c r="E8" s="2"/>
      <c r="F8" s="2" t="s">
        <v>135</v>
      </c>
      <c r="G8" s="25">
        <f t="shared" si="1"/>
        <v>0</v>
      </c>
      <c r="H8" s="26">
        <v>0.0</v>
      </c>
      <c r="I8" s="26">
        <v>0.2</v>
      </c>
      <c r="J8" s="2"/>
      <c r="K8" s="2"/>
      <c r="L8" s="2" t="s">
        <v>135</v>
      </c>
      <c r="M8" s="29" t="str">
        <f>IF($B$7&lt;$B$5,"n.a.",IF(COUNT($Y$15:$Y$64)=0,"n.a.",MEDIAN($Y$15:$Y$64)))</f>
        <v>n.a.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4.75" customHeight="1">
      <c r="A9" s="14" t="s">
        <v>173</v>
      </c>
      <c r="B9" s="37" t="str">
        <f>IF(B6=0,"n.a.",B7/B6)</f>
        <v>n.a.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4.75" customHeight="1">
      <c r="A10" s="14" t="s">
        <v>186</v>
      </c>
      <c r="B10" s="40" t="s">
        <v>189</v>
      </c>
      <c r="C10" s="2"/>
      <c r="D10" s="2"/>
      <c r="E10" s="2"/>
      <c r="F10" s="2" t="s">
        <v>191</v>
      </c>
      <c r="G10" s="7" t="s">
        <v>192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4.75" customHeight="1">
      <c r="A11" s="14" t="s">
        <v>196</v>
      </c>
      <c r="B11" s="20">
        <f>EDATE(Rules!B6,12)</f>
        <v>46663</v>
      </c>
      <c r="C11" s="2"/>
      <c r="D11" s="2"/>
      <c r="E11" s="2"/>
      <c r="F11" s="2"/>
      <c r="G11" s="7" t="s">
        <v>208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4.75" customHeight="1">
      <c r="A12" s="14" t="s">
        <v>217</v>
      </c>
      <c r="B12" s="14" t="str">
        <f>IF(Rules!B15&lt;&gt;"Yes","Confirm issuer universe",IF(B4="Needs sector profile","Sector profile required",IF(OR(COUNT($G$5:$G$8)&lt;&gt;4,MIN($G$5:$G$8)&lt;0,ABS(B8-1)&gt;0.000001),"Check profile weights",IF(B7&lt;B5,"Too few scorable companies","Ready"))))</f>
        <v>Confirm issuer universe</v>
      </c>
      <c r="C12" s="2"/>
      <c r="D12" s="2"/>
      <c r="E12" s="2"/>
      <c r="F12" s="2"/>
      <c r="G12" s="7" t="s">
        <v>245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46.5" customHeight="1">
      <c r="A14" s="47" t="s">
        <v>139</v>
      </c>
      <c r="B14" s="47" t="s">
        <v>141</v>
      </c>
      <c r="C14" s="47" t="s">
        <v>258</v>
      </c>
      <c r="D14" s="47" t="s">
        <v>45</v>
      </c>
      <c r="E14" s="47" t="s">
        <v>80</v>
      </c>
      <c r="F14" s="47" t="s">
        <v>111</v>
      </c>
      <c r="G14" s="47" t="s">
        <v>135</v>
      </c>
      <c r="H14" s="47" t="s">
        <v>259</v>
      </c>
      <c r="I14" s="47" t="s">
        <v>260</v>
      </c>
      <c r="J14" s="47" t="s">
        <v>261</v>
      </c>
      <c r="K14" s="47" t="s">
        <v>262</v>
      </c>
      <c r="L14" s="47" t="s">
        <v>263</v>
      </c>
      <c r="M14" s="47" t="s">
        <v>264</v>
      </c>
      <c r="N14" s="47" t="s">
        <v>265</v>
      </c>
      <c r="O14" s="47" t="s">
        <v>266</v>
      </c>
      <c r="P14" s="47" t="s">
        <v>267</v>
      </c>
      <c r="Q14" s="47" t="s">
        <v>268</v>
      </c>
      <c r="R14" s="47" t="s">
        <v>269</v>
      </c>
      <c r="S14" s="47" t="s">
        <v>238</v>
      </c>
      <c r="T14" s="47" t="s">
        <v>239</v>
      </c>
      <c r="U14" s="47" t="s">
        <v>270</v>
      </c>
      <c r="V14" s="47" t="s">
        <v>271</v>
      </c>
      <c r="W14" s="47" t="s">
        <v>272</v>
      </c>
      <c r="X14" s="47" t="s">
        <v>273</v>
      </c>
      <c r="Y14" s="47" t="s">
        <v>274</v>
      </c>
    </row>
    <row r="15" ht="18.75" customHeight="1">
      <c r="A15" s="2" t="str">
        <f>IF('Valuation inputs'!A6="","",'Valuation inputs'!A6)</f>
        <v/>
      </c>
      <c r="B15" s="2" t="str">
        <f>IF(A15="","",'Valuation inputs'!B6)</f>
        <v/>
      </c>
      <c r="C15" s="2" t="str">
        <f>IF(A15="","",'Valuation inputs'!D6)</f>
        <v/>
      </c>
      <c r="D15" s="29" t="str">
        <f>IF(A15="","",IF('Valuation inputs'!Y6&lt;&gt;1,"n.a.",IF(NOT(ISNUMBER('Valuation inputs'!F6)),"n.a.",IF('Valuation inputs'!F6&lt;=0,"NM",'Valuation inputs'!E6/'Valuation inputs'!F6))))</f>
        <v/>
      </c>
      <c r="E15" s="29" t="str">
        <f>IF(A15="","",IF(OR('Valuation inputs'!Y6&lt;&gt;1,NOT(ISNUMBER('Valuation inputs'!Z6)),NOT(ISNUMBER('Valuation inputs'!G6))),"n.a.",IF(OR('Valuation inputs'!Z6&lt;=0,'Valuation inputs'!G6&lt;=0),"NM",'Valuation inputs'!Z6/'Valuation inputs'!G6)))</f>
        <v/>
      </c>
      <c r="F15" s="34" t="str">
        <f>IF(A15="","",IF(OR('Valuation inputs'!Y6&lt;&gt;1,NOT(ISNUMBER('Valuation inputs'!AA6))),"n.a.",'Valuation inputs'!AA6/'Valuation inputs'!D6))</f>
        <v/>
      </c>
      <c r="G15" s="29" t="str">
        <f>IF(A15="","",IF(OR('Valuation inputs'!Y6&lt;&gt;1,NOT(ISNUMBER('Valuation inputs'!J6))),"n.a.",IF('Valuation inputs'!J6&lt;=0,"NM",'Valuation inputs'!D6/'Valuation inputs'!J6)))</f>
        <v/>
      </c>
      <c r="H15" s="49" t="str">
        <f t="shared" ref="H15:H64" si="2">IF(A15="","",IF(OR(T15&lt;&gt;1,$B$12&lt;&gt;"Ready",NOT(ISNUMBER(D15))),"n.a.",100*(COUNTIFS($T$15:$T$64,1,$D$15:$D$64,"&gt;"&amp;D15)+0.5*(COUNTIFS($T$15:$T$64,1,$D$15:$D$64,D15)-1))/($B$7-1)))</f>
        <v/>
      </c>
      <c r="I15" s="49" t="str">
        <f t="shared" ref="I15:I64" si="3">IF(A15="","",IF(OR(T15&lt;&gt;1,$B$12&lt;&gt;"Ready",NOT(ISNUMBER(E15))),"n.a.",100*(COUNTIFS($T$15:$T$64,1,$E$15:$E$64,"&gt;"&amp;E15)+0.5*(COUNTIFS($T$15:$T$64,1,$E$15:$E$64,E15)-1))/($B$7-1)))</f>
        <v/>
      </c>
      <c r="J15" s="49" t="str">
        <f t="shared" ref="J15:J64" si="4">IF(A15="","",IF(OR(T15&lt;&gt;1,$B$12&lt;&gt;"Ready",NOT(ISNUMBER(F15))),"n.a.",100*(COUNTIFS($T$15:$T$64,1,$F$15:$F$64,"&lt;"&amp;F15)+0.5*(COUNTIFS($T$15:$T$64,1,$F$15:$F$64,F15)-1))/($B$7-1)))</f>
        <v/>
      </c>
      <c r="K15" s="49" t="str">
        <f t="shared" ref="K15:K64" si="5">IF(A15="","",IF(OR(T15&lt;&gt;1,$B$12&lt;&gt;"Ready",NOT(ISNUMBER(G15))),"n.a.",100*(COUNTIFS($T$15:$T$64,1,$G$15:$G$64,"&gt;"&amp;G15)+0.5*(COUNTIFS($T$15:$T$64,1,$G$15:$G$64,G15)-1))/($B$7-1)))</f>
        <v/>
      </c>
      <c r="L15" s="49" t="str">
        <f t="shared" ref="L15:L64" si="6">IF(A15="","",IF(OR(T15&lt;&gt;1,$B$12&lt;&gt;"Ready"),"n.a.",IF($G$5=0,0,$G$5*H15)+IF($G$6=0,0,$G$6*I15)+IF($G$7=0,0,$G$7*J15)+IF($G$8=0,0,$G$8*K15)))</f>
        <v/>
      </c>
      <c r="M15" s="2" t="str">
        <f t="shared" ref="M15:M64" si="7">IF(A15="","",IF(NOT(ISNUMBER(L15)),"n.a.",1+COUNTIFS($T$15:$T$64,1,$L$15:$L$64,"&gt;"&amp;L15)))</f>
        <v/>
      </c>
      <c r="N15" s="34" t="str">
        <f t="shared" ref="N15:N64" si="8">IF(A15="","",IF(OR(NOT(ISNUMBER(D15)),NOT(ISNUMBER($M$5))),"n.a.",IF($M$5=0,"n.a.",D15/$M$5-1)))</f>
        <v/>
      </c>
      <c r="O15" s="34" t="str">
        <f t="shared" ref="O15:O64" si="9">IF(A15="","",IF(OR(NOT(ISNUMBER(E15)),NOT(ISNUMBER($M$6))),"n.a.",IF($M$6=0,"n.a.",E15/$M$6-1)))</f>
        <v/>
      </c>
      <c r="P15" s="34" t="str">
        <f t="shared" ref="P15:P64" si="10">IF(A15="","",IF(OR(NOT(ISNUMBER(F15)),NOT(ISNUMBER($M$7))),"n.a.",F15-$M$7))</f>
        <v/>
      </c>
      <c r="Q15" s="34" t="str">
        <f t="shared" ref="Q15:Q64" si="11">IF(A15="","",IF(OR(NOT(ISNUMBER(G15)),NOT(ISNUMBER($M$8))),"n.a.",IF($M$8=0,"n.a.",G15/$M$8-1)))</f>
        <v/>
      </c>
      <c r="R15" s="34" t="str">
        <f t="shared" ref="R15:R64" si="12">IF(A15="","",IF(COUNTIFS($G$5:$G$8,"&gt;0")=0,"n.a.",(IF(AND($G$5&gt;0,ISNUMBER(D15)),1,0)+IF(AND($G$6&gt;0,ISNUMBER(E15)),1,0)+IF(AND($G$7&gt;0,ISNUMBER(F15)),1,0)+IF(AND($G$8&gt;0,ISNUMBER(G15)),1,0))/COUNTIFS($G$5:$G$8,"&gt;0")))</f>
        <v/>
      </c>
      <c r="S15" s="2" t="str">
        <f>IF(A15="","",IF('Valuation inputs'!Y6&lt;&gt;1,'Valuation inputs'!AB6,IF(T15&lt;&gt;1,"Missing/NM required metric",IF($B$12&lt;&gt;"Ready",$B$12,"Ranked"))))</f>
        <v/>
      </c>
      <c r="T15" s="2" t="str">
        <f>IF(A15="","",IF(AND('Valuation inputs'!Y6=1,$B$4&lt;&gt;"Needs sector profile",COUNT($G$5:$G$8)=4,MIN($G$5:$G$8)&gt;=0,ABS($B$8-1)&lt;=0.000001,OR($G$5=0,ISNUMBER(D15)),OR($G$6=0,ISNUMBER(E15)),OR($G$7=0,ISNUMBER(F15)),OR($G$8=0,ISNUMBER(G15))),1,0))</f>
        <v/>
      </c>
      <c r="U15" s="2" t="str">
        <f t="shared" ref="U15:U64" si="13">IF(NOT(ISNUMBER(L15)),"",M15+COUNTIFS($T$15:T15,1,$L$15:L15,L15)-1)</f>
        <v/>
      </c>
      <c r="V15" s="2" t="str">
        <f t="shared" ref="V15:V64" si="14">IF(AND(A15&lt;&gt;"",T15=1,ISNUMBER(D15)),D15,"")</f>
        <v/>
      </c>
      <c r="W15" s="2" t="str">
        <f t="shared" ref="W15:W64" si="15">IF(AND(A15&lt;&gt;"",T15=1,ISNUMBER(E15)),E15,"")</f>
        <v/>
      </c>
      <c r="X15" s="2" t="str">
        <f t="shared" ref="X15:X64" si="16">IF(AND(A15&lt;&gt;"",T15=1,ISNUMBER(F15)),F15,"")</f>
        <v/>
      </c>
      <c r="Y15" s="2" t="str">
        <f t="shared" ref="Y15:Y64" si="17">IF(AND(A15&lt;&gt;"",T15=1,ISNUMBER(G15)),G15,"")</f>
        <v/>
      </c>
    </row>
    <row r="16" ht="18.75" customHeight="1">
      <c r="A16" s="2" t="str">
        <f>IF('Valuation inputs'!A7="","",'Valuation inputs'!A7)</f>
        <v/>
      </c>
      <c r="B16" s="2" t="str">
        <f>IF(A16="","",'Valuation inputs'!B7)</f>
        <v/>
      </c>
      <c r="C16" s="2" t="str">
        <f>IF(A16="","",'Valuation inputs'!D7)</f>
        <v/>
      </c>
      <c r="D16" s="29" t="str">
        <f>IF(A16="","",IF('Valuation inputs'!Y7&lt;&gt;1,"n.a.",IF(NOT(ISNUMBER('Valuation inputs'!F7)),"n.a.",IF('Valuation inputs'!F7&lt;=0,"NM",'Valuation inputs'!E7/'Valuation inputs'!F7))))</f>
        <v/>
      </c>
      <c r="E16" s="29" t="str">
        <f>IF(A16="","",IF(OR('Valuation inputs'!Y7&lt;&gt;1,NOT(ISNUMBER('Valuation inputs'!Z7)),NOT(ISNUMBER('Valuation inputs'!G7))),"n.a.",IF(OR('Valuation inputs'!Z7&lt;=0,'Valuation inputs'!G7&lt;=0),"NM",'Valuation inputs'!Z7/'Valuation inputs'!G7)))</f>
        <v/>
      </c>
      <c r="F16" s="34" t="str">
        <f>IF(A16="","",IF(OR('Valuation inputs'!Y7&lt;&gt;1,NOT(ISNUMBER('Valuation inputs'!AA7))),"n.a.",'Valuation inputs'!AA7/'Valuation inputs'!D7))</f>
        <v/>
      </c>
      <c r="G16" s="29" t="str">
        <f>IF(A16="","",IF(OR('Valuation inputs'!Y7&lt;&gt;1,NOT(ISNUMBER('Valuation inputs'!J7))),"n.a.",IF('Valuation inputs'!J7&lt;=0,"NM",'Valuation inputs'!D7/'Valuation inputs'!J7)))</f>
        <v/>
      </c>
      <c r="H16" s="49" t="str">
        <f t="shared" si="2"/>
        <v/>
      </c>
      <c r="I16" s="49" t="str">
        <f t="shared" si="3"/>
        <v/>
      </c>
      <c r="J16" s="49" t="str">
        <f t="shared" si="4"/>
        <v/>
      </c>
      <c r="K16" s="49" t="str">
        <f t="shared" si="5"/>
        <v/>
      </c>
      <c r="L16" s="49" t="str">
        <f t="shared" si="6"/>
        <v/>
      </c>
      <c r="M16" s="2" t="str">
        <f t="shared" si="7"/>
        <v/>
      </c>
      <c r="N16" s="34" t="str">
        <f t="shared" si="8"/>
        <v/>
      </c>
      <c r="O16" s="34" t="str">
        <f t="shared" si="9"/>
        <v/>
      </c>
      <c r="P16" s="34" t="str">
        <f t="shared" si="10"/>
        <v/>
      </c>
      <c r="Q16" s="34" t="str">
        <f t="shared" si="11"/>
        <v/>
      </c>
      <c r="R16" s="34" t="str">
        <f t="shared" si="12"/>
        <v/>
      </c>
      <c r="S16" s="2" t="str">
        <f>IF(A16="","",IF('Valuation inputs'!Y7&lt;&gt;1,'Valuation inputs'!AB7,IF(T16&lt;&gt;1,"Missing/NM required metric",IF($B$12&lt;&gt;"Ready",$B$12,"Ranked"))))</f>
        <v/>
      </c>
      <c r="T16" s="2" t="str">
        <f>IF(A16="","",IF(AND('Valuation inputs'!Y7=1,$B$4&lt;&gt;"Needs sector profile",COUNT($G$5:$G$8)=4,MIN($G$5:$G$8)&gt;=0,ABS($B$8-1)&lt;=0.000001,OR($G$5=0,ISNUMBER(D16)),OR($G$6=0,ISNUMBER(E16)),OR($G$7=0,ISNUMBER(F16)),OR($G$8=0,ISNUMBER(G16))),1,0))</f>
        <v/>
      </c>
      <c r="U16" s="2" t="str">
        <f t="shared" si="13"/>
        <v/>
      </c>
      <c r="V16" s="2" t="str">
        <f t="shared" si="14"/>
        <v/>
      </c>
      <c r="W16" s="2" t="str">
        <f t="shared" si="15"/>
        <v/>
      </c>
      <c r="X16" s="2" t="str">
        <f t="shared" si="16"/>
        <v/>
      </c>
      <c r="Y16" s="2" t="str">
        <f t="shared" si="17"/>
        <v/>
      </c>
    </row>
    <row r="17" ht="18.75" customHeight="1">
      <c r="A17" s="2" t="str">
        <f>IF('Valuation inputs'!A8="","",'Valuation inputs'!A8)</f>
        <v/>
      </c>
      <c r="B17" s="2" t="str">
        <f>IF(A17="","",'Valuation inputs'!B8)</f>
        <v/>
      </c>
      <c r="C17" s="2" t="str">
        <f>IF(A17="","",'Valuation inputs'!D8)</f>
        <v/>
      </c>
      <c r="D17" s="29" t="str">
        <f>IF(A17="","",IF('Valuation inputs'!Y8&lt;&gt;1,"n.a.",IF(NOT(ISNUMBER('Valuation inputs'!F8)),"n.a.",IF('Valuation inputs'!F8&lt;=0,"NM",'Valuation inputs'!E8/'Valuation inputs'!F8))))</f>
        <v/>
      </c>
      <c r="E17" s="29" t="str">
        <f>IF(A17="","",IF(OR('Valuation inputs'!Y8&lt;&gt;1,NOT(ISNUMBER('Valuation inputs'!Z8)),NOT(ISNUMBER('Valuation inputs'!G8))),"n.a.",IF(OR('Valuation inputs'!Z8&lt;=0,'Valuation inputs'!G8&lt;=0),"NM",'Valuation inputs'!Z8/'Valuation inputs'!G8)))</f>
        <v/>
      </c>
      <c r="F17" s="34" t="str">
        <f>IF(A17="","",IF(OR('Valuation inputs'!Y8&lt;&gt;1,NOT(ISNUMBER('Valuation inputs'!AA8))),"n.a.",'Valuation inputs'!AA8/'Valuation inputs'!D8))</f>
        <v/>
      </c>
      <c r="G17" s="29" t="str">
        <f>IF(A17="","",IF(OR('Valuation inputs'!Y8&lt;&gt;1,NOT(ISNUMBER('Valuation inputs'!J8))),"n.a.",IF('Valuation inputs'!J8&lt;=0,"NM",'Valuation inputs'!D8/'Valuation inputs'!J8)))</f>
        <v/>
      </c>
      <c r="H17" s="49" t="str">
        <f t="shared" si="2"/>
        <v/>
      </c>
      <c r="I17" s="49" t="str">
        <f t="shared" si="3"/>
        <v/>
      </c>
      <c r="J17" s="49" t="str">
        <f t="shared" si="4"/>
        <v/>
      </c>
      <c r="K17" s="49" t="str">
        <f t="shared" si="5"/>
        <v/>
      </c>
      <c r="L17" s="49" t="str">
        <f t="shared" si="6"/>
        <v/>
      </c>
      <c r="M17" s="2" t="str">
        <f t="shared" si="7"/>
        <v/>
      </c>
      <c r="N17" s="34" t="str">
        <f t="shared" si="8"/>
        <v/>
      </c>
      <c r="O17" s="34" t="str">
        <f t="shared" si="9"/>
        <v/>
      </c>
      <c r="P17" s="34" t="str">
        <f t="shared" si="10"/>
        <v/>
      </c>
      <c r="Q17" s="34" t="str">
        <f t="shared" si="11"/>
        <v/>
      </c>
      <c r="R17" s="34" t="str">
        <f t="shared" si="12"/>
        <v/>
      </c>
      <c r="S17" s="2" t="str">
        <f>IF(A17="","",IF('Valuation inputs'!Y8&lt;&gt;1,'Valuation inputs'!AB8,IF(T17&lt;&gt;1,"Missing/NM required metric",IF($B$12&lt;&gt;"Ready",$B$12,"Ranked"))))</f>
        <v/>
      </c>
      <c r="T17" s="2" t="str">
        <f>IF(A17="","",IF(AND('Valuation inputs'!Y8=1,$B$4&lt;&gt;"Needs sector profile",COUNT($G$5:$G$8)=4,MIN($G$5:$G$8)&gt;=0,ABS($B$8-1)&lt;=0.000001,OR($G$5=0,ISNUMBER(D17)),OR($G$6=0,ISNUMBER(E17)),OR($G$7=0,ISNUMBER(F17)),OR($G$8=0,ISNUMBER(G17))),1,0))</f>
        <v/>
      </c>
      <c r="U17" s="2" t="str">
        <f t="shared" si="13"/>
        <v/>
      </c>
      <c r="V17" s="2" t="str">
        <f t="shared" si="14"/>
        <v/>
      </c>
      <c r="W17" s="2" t="str">
        <f t="shared" si="15"/>
        <v/>
      </c>
      <c r="X17" s="2" t="str">
        <f t="shared" si="16"/>
        <v/>
      </c>
      <c r="Y17" s="2" t="str">
        <f t="shared" si="17"/>
        <v/>
      </c>
    </row>
    <row r="18" ht="18.75" customHeight="1">
      <c r="A18" s="2" t="str">
        <f>IF('Valuation inputs'!A9="","",'Valuation inputs'!A9)</f>
        <v/>
      </c>
      <c r="B18" s="2" t="str">
        <f>IF(A18="","",'Valuation inputs'!B9)</f>
        <v/>
      </c>
      <c r="C18" s="2" t="str">
        <f>IF(A18="","",'Valuation inputs'!D9)</f>
        <v/>
      </c>
      <c r="D18" s="29" t="str">
        <f>IF(A18="","",IF('Valuation inputs'!Y9&lt;&gt;1,"n.a.",IF(NOT(ISNUMBER('Valuation inputs'!F9)),"n.a.",IF('Valuation inputs'!F9&lt;=0,"NM",'Valuation inputs'!E9/'Valuation inputs'!F9))))</f>
        <v/>
      </c>
      <c r="E18" s="29" t="str">
        <f>IF(A18="","",IF(OR('Valuation inputs'!Y9&lt;&gt;1,NOT(ISNUMBER('Valuation inputs'!Z9)),NOT(ISNUMBER('Valuation inputs'!G9))),"n.a.",IF(OR('Valuation inputs'!Z9&lt;=0,'Valuation inputs'!G9&lt;=0),"NM",'Valuation inputs'!Z9/'Valuation inputs'!G9)))</f>
        <v/>
      </c>
      <c r="F18" s="34" t="str">
        <f>IF(A18="","",IF(OR('Valuation inputs'!Y9&lt;&gt;1,NOT(ISNUMBER('Valuation inputs'!AA9))),"n.a.",'Valuation inputs'!AA9/'Valuation inputs'!D9))</f>
        <v/>
      </c>
      <c r="G18" s="29" t="str">
        <f>IF(A18="","",IF(OR('Valuation inputs'!Y9&lt;&gt;1,NOT(ISNUMBER('Valuation inputs'!J9))),"n.a.",IF('Valuation inputs'!J9&lt;=0,"NM",'Valuation inputs'!D9/'Valuation inputs'!J9)))</f>
        <v/>
      </c>
      <c r="H18" s="49" t="str">
        <f t="shared" si="2"/>
        <v/>
      </c>
      <c r="I18" s="49" t="str">
        <f t="shared" si="3"/>
        <v/>
      </c>
      <c r="J18" s="49" t="str">
        <f t="shared" si="4"/>
        <v/>
      </c>
      <c r="K18" s="49" t="str">
        <f t="shared" si="5"/>
        <v/>
      </c>
      <c r="L18" s="49" t="str">
        <f t="shared" si="6"/>
        <v/>
      </c>
      <c r="M18" s="2" t="str">
        <f t="shared" si="7"/>
        <v/>
      </c>
      <c r="N18" s="34" t="str">
        <f t="shared" si="8"/>
        <v/>
      </c>
      <c r="O18" s="34" t="str">
        <f t="shared" si="9"/>
        <v/>
      </c>
      <c r="P18" s="34" t="str">
        <f t="shared" si="10"/>
        <v/>
      </c>
      <c r="Q18" s="34" t="str">
        <f t="shared" si="11"/>
        <v/>
      </c>
      <c r="R18" s="34" t="str">
        <f t="shared" si="12"/>
        <v/>
      </c>
      <c r="S18" s="2" t="str">
        <f>IF(A18="","",IF('Valuation inputs'!Y9&lt;&gt;1,'Valuation inputs'!AB9,IF(T18&lt;&gt;1,"Missing/NM required metric",IF($B$12&lt;&gt;"Ready",$B$12,"Ranked"))))</f>
        <v/>
      </c>
      <c r="T18" s="2" t="str">
        <f>IF(A18="","",IF(AND('Valuation inputs'!Y9=1,$B$4&lt;&gt;"Needs sector profile",COUNT($G$5:$G$8)=4,MIN($G$5:$G$8)&gt;=0,ABS($B$8-1)&lt;=0.000001,OR($G$5=0,ISNUMBER(D18)),OR($G$6=0,ISNUMBER(E18)),OR($G$7=0,ISNUMBER(F18)),OR($G$8=0,ISNUMBER(G18))),1,0))</f>
        <v/>
      </c>
      <c r="U18" s="2" t="str">
        <f t="shared" si="13"/>
        <v/>
      </c>
      <c r="V18" s="2" t="str">
        <f t="shared" si="14"/>
        <v/>
      </c>
      <c r="W18" s="2" t="str">
        <f t="shared" si="15"/>
        <v/>
      </c>
      <c r="X18" s="2" t="str">
        <f t="shared" si="16"/>
        <v/>
      </c>
      <c r="Y18" s="2" t="str">
        <f t="shared" si="17"/>
        <v/>
      </c>
    </row>
    <row r="19" ht="18.75" customHeight="1">
      <c r="A19" s="2" t="str">
        <f>IF('Valuation inputs'!A10="","",'Valuation inputs'!A10)</f>
        <v/>
      </c>
      <c r="B19" s="2" t="str">
        <f>IF(A19="","",'Valuation inputs'!B10)</f>
        <v/>
      </c>
      <c r="C19" s="2" t="str">
        <f>IF(A19="","",'Valuation inputs'!D10)</f>
        <v/>
      </c>
      <c r="D19" s="29" t="str">
        <f>IF(A19="","",IF('Valuation inputs'!Y10&lt;&gt;1,"n.a.",IF(NOT(ISNUMBER('Valuation inputs'!F10)),"n.a.",IF('Valuation inputs'!F10&lt;=0,"NM",'Valuation inputs'!E10/'Valuation inputs'!F10))))</f>
        <v/>
      </c>
      <c r="E19" s="29" t="str">
        <f>IF(A19="","",IF(OR('Valuation inputs'!Y10&lt;&gt;1,NOT(ISNUMBER('Valuation inputs'!Z10)),NOT(ISNUMBER('Valuation inputs'!G10))),"n.a.",IF(OR('Valuation inputs'!Z10&lt;=0,'Valuation inputs'!G10&lt;=0),"NM",'Valuation inputs'!Z10/'Valuation inputs'!G10)))</f>
        <v/>
      </c>
      <c r="F19" s="34" t="str">
        <f>IF(A19="","",IF(OR('Valuation inputs'!Y10&lt;&gt;1,NOT(ISNUMBER('Valuation inputs'!AA10))),"n.a.",'Valuation inputs'!AA10/'Valuation inputs'!D10))</f>
        <v/>
      </c>
      <c r="G19" s="29" t="str">
        <f>IF(A19="","",IF(OR('Valuation inputs'!Y10&lt;&gt;1,NOT(ISNUMBER('Valuation inputs'!J10))),"n.a.",IF('Valuation inputs'!J10&lt;=0,"NM",'Valuation inputs'!D10/'Valuation inputs'!J10)))</f>
        <v/>
      </c>
      <c r="H19" s="49" t="str">
        <f t="shared" si="2"/>
        <v/>
      </c>
      <c r="I19" s="49" t="str">
        <f t="shared" si="3"/>
        <v/>
      </c>
      <c r="J19" s="49" t="str">
        <f t="shared" si="4"/>
        <v/>
      </c>
      <c r="K19" s="49" t="str">
        <f t="shared" si="5"/>
        <v/>
      </c>
      <c r="L19" s="49" t="str">
        <f t="shared" si="6"/>
        <v/>
      </c>
      <c r="M19" s="2" t="str">
        <f t="shared" si="7"/>
        <v/>
      </c>
      <c r="N19" s="34" t="str">
        <f t="shared" si="8"/>
        <v/>
      </c>
      <c r="O19" s="34" t="str">
        <f t="shared" si="9"/>
        <v/>
      </c>
      <c r="P19" s="34" t="str">
        <f t="shared" si="10"/>
        <v/>
      </c>
      <c r="Q19" s="34" t="str">
        <f t="shared" si="11"/>
        <v/>
      </c>
      <c r="R19" s="34" t="str">
        <f t="shared" si="12"/>
        <v/>
      </c>
      <c r="S19" s="2" t="str">
        <f>IF(A19="","",IF('Valuation inputs'!Y10&lt;&gt;1,'Valuation inputs'!AB10,IF(T19&lt;&gt;1,"Missing/NM required metric",IF($B$12&lt;&gt;"Ready",$B$12,"Ranked"))))</f>
        <v/>
      </c>
      <c r="T19" s="2" t="str">
        <f>IF(A19="","",IF(AND('Valuation inputs'!Y10=1,$B$4&lt;&gt;"Needs sector profile",COUNT($G$5:$G$8)=4,MIN($G$5:$G$8)&gt;=0,ABS($B$8-1)&lt;=0.000001,OR($G$5=0,ISNUMBER(D19)),OR($G$6=0,ISNUMBER(E19)),OR($G$7=0,ISNUMBER(F19)),OR($G$8=0,ISNUMBER(G19))),1,0))</f>
        <v/>
      </c>
      <c r="U19" s="2" t="str">
        <f t="shared" si="13"/>
        <v/>
      </c>
      <c r="V19" s="2" t="str">
        <f t="shared" si="14"/>
        <v/>
      </c>
      <c r="W19" s="2" t="str">
        <f t="shared" si="15"/>
        <v/>
      </c>
      <c r="X19" s="2" t="str">
        <f t="shared" si="16"/>
        <v/>
      </c>
      <c r="Y19" s="2" t="str">
        <f t="shared" si="17"/>
        <v/>
      </c>
    </row>
    <row r="20" ht="18.75" customHeight="1">
      <c r="A20" s="2" t="str">
        <f>IF('Valuation inputs'!A11="","",'Valuation inputs'!A11)</f>
        <v/>
      </c>
      <c r="B20" s="2" t="str">
        <f>IF(A20="","",'Valuation inputs'!B11)</f>
        <v/>
      </c>
      <c r="C20" s="2" t="str">
        <f>IF(A20="","",'Valuation inputs'!D11)</f>
        <v/>
      </c>
      <c r="D20" s="29" t="str">
        <f>IF(A20="","",IF('Valuation inputs'!Y11&lt;&gt;1,"n.a.",IF(NOT(ISNUMBER('Valuation inputs'!F11)),"n.a.",IF('Valuation inputs'!F11&lt;=0,"NM",'Valuation inputs'!E11/'Valuation inputs'!F11))))</f>
        <v/>
      </c>
      <c r="E20" s="29" t="str">
        <f>IF(A20="","",IF(OR('Valuation inputs'!Y11&lt;&gt;1,NOT(ISNUMBER('Valuation inputs'!Z11)),NOT(ISNUMBER('Valuation inputs'!G11))),"n.a.",IF(OR('Valuation inputs'!Z11&lt;=0,'Valuation inputs'!G11&lt;=0),"NM",'Valuation inputs'!Z11/'Valuation inputs'!G11)))</f>
        <v/>
      </c>
      <c r="F20" s="34" t="str">
        <f>IF(A20="","",IF(OR('Valuation inputs'!Y11&lt;&gt;1,NOT(ISNUMBER('Valuation inputs'!AA11))),"n.a.",'Valuation inputs'!AA11/'Valuation inputs'!D11))</f>
        <v/>
      </c>
      <c r="G20" s="29" t="str">
        <f>IF(A20="","",IF(OR('Valuation inputs'!Y11&lt;&gt;1,NOT(ISNUMBER('Valuation inputs'!J11))),"n.a.",IF('Valuation inputs'!J11&lt;=0,"NM",'Valuation inputs'!D11/'Valuation inputs'!J11)))</f>
        <v/>
      </c>
      <c r="H20" s="49" t="str">
        <f t="shared" si="2"/>
        <v/>
      </c>
      <c r="I20" s="49" t="str">
        <f t="shared" si="3"/>
        <v/>
      </c>
      <c r="J20" s="49" t="str">
        <f t="shared" si="4"/>
        <v/>
      </c>
      <c r="K20" s="49" t="str">
        <f t="shared" si="5"/>
        <v/>
      </c>
      <c r="L20" s="49" t="str">
        <f t="shared" si="6"/>
        <v/>
      </c>
      <c r="M20" s="2" t="str">
        <f t="shared" si="7"/>
        <v/>
      </c>
      <c r="N20" s="34" t="str">
        <f t="shared" si="8"/>
        <v/>
      </c>
      <c r="O20" s="34" t="str">
        <f t="shared" si="9"/>
        <v/>
      </c>
      <c r="P20" s="34" t="str">
        <f t="shared" si="10"/>
        <v/>
      </c>
      <c r="Q20" s="34" t="str">
        <f t="shared" si="11"/>
        <v/>
      </c>
      <c r="R20" s="34" t="str">
        <f t="shared" si="12"/>
        <v/>
      </c>
      <c r="S20" s="2" t="str">
        <f>IF(A20="","",IF('Valuation inputs'!Y11&lt;&gt;1,'Valuation inputs'!AB11,IF(T20&lt;&gt;1,"Missing/NM required metric",IF($B$12&lt;&gt;"Ready",$B$12,"Ranked"))))</f>
        <v/>
      </c>
      <c r="T20" s="2" t="str">
        <f>IF(A20="","",IF(AND('Valuation inputs'!Y11=1,$B$4&lt;&gt;"Needs sector profile",COUNT($G$5:$G$8)=4,MIN($G$5:$G$8)&gt;=0,ABS($B$8-1)&lt;=0.000001,OR($G$5=0,ISNUMBER(D20)),OR($G$6=0,ISNUMBER(E20)),OR($G$7=0,ISNUMBER(F20)),OR($G$8=0,ISNUMBER(G20))),1,0))</f>
        <v/>
      </c>
      <c r="U20" s="2" t="str">
        <f t="shared" si="13"/>
        <v/>
      </c>
      <c r="V20" s="2" t="str">
        <f t="shared" si="14"/>
        <v/>
      </c>
      <c r="W20" s="2" t="str">
        <f t="shared" si="15"/>
        <v/>
      </c>
      <c r="X20" s="2" t="str">
        <f t="shared" si="16"/>
        <v/>
      </c>
      <c r="Y20" s="2" t="str">
        <f t="shared" si="17"/>
        <v/>
      </c>
    </row>
    <row r="21" ht="18.75" customHeight="1">
      <c r="A21" s="2" t="str">
        <f>IF('Valuation inputs'!A12="","",'Valuation inputs'!A12)</f>
        <v/>
      </c>
      <c r="B21" s="2" t="str">
        <f>IF(A21="","",'Valuation inputs'!B12)</f>
        <v/>
      </c>
      <c r="C21" s="2" t="str">
        <f>IF(A21="","",'Valuation inputs'!D12)</f>
        <v/>
      </c>
      <c r="D21" s="29" t="str">
        <f>IF(A21="","",IF('Valuation inputs'!Y12&lt;&gt;1,"n.a.",IF(NOT(ISNUMBER('Valuation inputs'!F12)),"n.a.",IF('Valuation inputs'!F12&lt;=0,"NM",'Valuation inputs'!E12/'Valuation inputs'!F12))))</f>
        <v/>
      </c>
      <c r="E21" s="29" t="str">
        <f>IF(A21="","",IF(OR('Valuation inputs'!Y12&lt;&gt;1,NOT(ISNUMBER('Valuation inputs'!Z12)),NOT(ISNUMBER('Valuation inputs'!G12))),"n.a.",IF(OR('Valuation inputs'!Z12&lt;=0,'Valuation inputs'!G12&lt;=0),"NM",'Valuation inputs'!Z12/'Valuation inputs'!G12)))</f>
        <v/>
      </c>
      <c r="F21" s="34" t="str">
        <f>IF(A21="","",IF(OR('Valuation inputs'!Y12&lt;&gt;1,NOT(ISNUMBER('Valuation inputs'!AA12))),"n.a.",'Valuation inputs'!AA12/'Valuation inputs'!D12))</f>
        <v/>
      </c>
      <c r="G21" s="29" t="str">
        <f>IF(A21="","",IF(OR('Valuation inputs'!Y12&lt;&gt;1,NOT(ISNUMBER('Valuation inputs'!J12))),"n.a.",IF('Valuation inputs'!J12&lt;=0,"NM",'Valuation inputs'!D12/'Valuation inputs'!J12)))</f>
        <v/>
      </c>
      <c r="H21" s="49" t="str">
        <f t="shared" si="2"/>
        <v/>
      </c>
      <c r="I21" s="49" t="str">
        <f t="shared" si="3"/>
        <v/>
      </c>
      <c r="J21" s="49" t="str">
        <f t="shared" si="4"/>
        <v/>
      </c>
      <c r="K21" s="49" t="str">
        <f t="shared" si="5"/>
        <v/>
      </c>
      <c r="L21" s="49" t="str">
        <f t="shared" si="6"/>
        <v/>
      </c>
      <c r="M21" s="2" t="str">
        <f t="shared" si="7"/>
        <v/>
      </c>
      <c r="N21" s="34" t="str">
        <f t="shared" si="8"/>
        <v/>
      </c>
      <c r="O21" s="34" t="str">
        <f t="shared" si="9"/>
        <v/>
      </c>
      <c r="P21" s="34" t="str">
        <f t="shared" si="10"/>
        <v/>
      </c>
      <c r="Q21" s="34" t="str">
        <f t="shared" si="11"/>
        <v/>
      </c>
      <c r="R21" s="34" t="str">
        <f t="shared" si="12"/>
        <v/>
      </c>
      <c r="S21" s="2" t="str">
        <f>IF(A21="","",IF('Valuation inputs'!Y12&lt;&gt;1,'Valuation inputs'!AB12,IF(T21&lt;&gt;1,"Missing/NM required metric",IF($B$12&lt;&gt;"Ready",$B$12,"Ranked"))))</f>
        <v/>
      </c>
      <c r="T21" s="2" t="str">
        <f>IF(A21="","",IF(AND('Valuation inputs'!Y12=1,$B$4&lt;&gt;"Needs sector profile",COUNT($G$5:$G$8)=4,MIN($G$5:$G$8)&gt;=0,ABS($B$8-1)&lt;=0.000001,OR($G$5=0,ISNUMBER(D21)),OR($G$6=0,ISNUMBER(E21)),OR($G$7=0,ISNUMBER(F21)),OR($G$8=0,ISNUMBER(G21))),1,0))</f>
        <v/>
      </c>
      <c r="U21" s="2" t="str">
        <f t="shared" si="13"/>
        <v/>
      </c>
      <c r="V21" s="2" t="str">
        <f t="shared" si="14"/>
        <v/>
      </c>
      <c r="W21" s="2" t="str">
        <f t="shared" si="15"/>
        <v/>
      </c>
      <c r="X21" s="2" t="str">
        <f t="shared" si="16"/>
        <v/>
      </c>
      <c r="Y21" s="2" t="str">
        <f t="shared" si="17"/>
        <v/>
      </c>
    </row>
    <row r="22" ht="18.75" customHeight="1">
      <c r="A22" s="2" t="str">
        <f>IF('Valuation inputs'!A13="","",'Valuation inputs'!A13)</f>
        <v/>
      </c>
      <c r="B22" s="2" t="str">
        <f>IF(A22="","",'Valuation inputs'!B13)</f>
        <v/>
      </c>
      <c r="C22" s="2" t="str">
        <f>IF(A22="","",'Valuation inputs'!D13)</f>
        <v/>
      </c>
      <c r="D22" s="29" t="str">
        <f>IF(A22="","",IF('Valuation inputs'!Y13&lt;&gt;1,"n.a.",IF(NOT(ISNUMBER('Valuation inputs'!F13)),"n.a.",IF('Valuation inputs'!F13&lt;=0,"NM",'Valuation inputs'!E13/'Valuation inputs'!F13))))</f>
        <v/>
      </c>
      <c r="E22" s="29" t="str">
        <f>IF(A22="","",IF(OR('Valuation inputs'!Y13&lt;&gt;1,NOT(ISNUMBER('Valuation inputs'!Z13)),NOT(ISNUMBER('Valuation inputs'!G13))),"n.a.",IF(OR('Valuation inputs'!Z13&lt;=0,'Valuation inputs'!G13&lt;=0),"NM",'Valuation inputs'!Z13/'Valuation inputs'!G13)))</f>
        <v/>
      </c>
      <c r="F22" s="34" t="str">
        <f>IF(A22="","",IF(OR('Valuation inputs'!Y13&lt;&gt;1,NOT(ISNUMBER('Valuation inputs'!AA13))),"n.a.",'Valuation inputs'!AA13/'Valuation inputs'!D13))</f>
        <v/>
      </c>
      <c r="G22" s="29" t="str">
        <f>IF(A22="","",IF(OR('Valuation inputs'!Y13&lt;&gt;1,NOT(ISNUMBER('Valuation inputs'!J13))),"n.a.",IF('Valuation inputs'!J13&lt;=0,"NM",'Valuation inputs'!D13/'Valuation inputs'!J13)))</f>
        <v/>
      </c>
      <c r="H22" s="49" t="str">
        <f t="shared" si="2"/>
        <v/>
      </c>
      <c r="I22" s="49" t="str">
        <f t="shared" si="3"/>
        <v/>
      </c>
      <c r="J22" s="49" t="str">
        <f t="shared" si="4"/>
        <v/>
      </c>
      <c r="K22" s="49" t="str">
        <f t="shared" si="5"/>
        <v/>
      </c>
      <c r="L22" s="49" t="str">
        <f t="shared" si="6"/>
        <v/>
      </c>
      <c r="M22" s="2" t="str">
        <f t="shared" si="7"/>
        <v/>
      </c>
      <c r="N22" s="34" t="str">
        <f t="shared" si="8"/>
        <v/>
      </c>
      <c r="O22" s="34" t="str">
        <f t="shared" si="9"/>
        <v/>
      </c>
      <c r="P22" s="34" t="str">
        <f t="shared" si="10"/>
        <v/>
      </c>
      <c r="Q22" s="34" t="str">
        <f t="shared" si="11"/>
        <v/>
      </c>
      <c r="R22" s="34" t="str">
        <f t="shared" si="12"/>
        <v/>
      </c>
      <c r="S22" s="2" t="str">
        <f>IF(A22="","",IF('Valuation inputs'!Y13&lt;&gt;1,'Valuation inputs'!AB13,IF(T22&lt;&gt;1,"Missing/NM required metric",IF($B$12&lt;&gt;"Ready",$B$12,"Ranked"))))</f>
        <v/>
      </c>
      <c r="T22" s="2" t="str">
        <f>IF(A22="","",IF(AND('Valuation inputs'!Y13=1,$B$4&lt;&gt;"Needs sector profile",COUNT($G$5:$G$8)=4,MIN($G$5:$G$8)&gt;=0,ABS($B$8-1)&lt;=0.000001,OR($G$5=0,ISNUMBER(D22)),OR($G$6=0,ISNUMBER(E22)),OR($G$7=0,ISNUMBER(F22)),OR($G$8=0,ISNUMBER(G22))),1,0))</f>
        <v/>
      </c>
      <c r="U22" s="2" t="str">
        <f t="shared" si="13"/>
        <v/>
      </c>
      <c r="V22" s="2" t="str">
        <f t="shared" si="14"/>
        <v/>
      </c>
      <c r="W22" s="2" t="str">
        <f t="shared" si="15"/>
        <v/>
      </c>
      <c r="X22" s="2" t="str">
        <f t="shared" si="16"/>
        <v/>
      </c>
      <c r="Y22" s="2" t="str">
        <f t="shared" si="17"/>
        <v/>
      </c>
    </row>
    <row r="23" ht="18.75" customHeight="1">
      <c r="A23" s="2" t="str">
        <f>IF('Valuation inputs'!A14="","",'Valuation inputs'!A14)</f>
        <v/>
      </c>
      <c r="B23" s="2" t="str">
        <f>IF(A23="","",'Valuation inputs'!B14)</f>
        <v/>
      </c>
      <c r="C23" s="2" t="str">
        <f>IF(A23="","",'Valuation inputs'!D14)</f>
        <v/>
      </c>
      <c r="D23" s="29" t="str">
        <f>IF(A23="","",IF('Valuation inputs'!Y14&lt;&gt;1,"n.a.",IF(NOT(ISNUMBER('Valuation inputs'!F14)),"n.a.",IF('Valuation inputs'!F14&lt;=0,"NM",'Valuation inputs'!E14/'Valuation inputs'!F14))))</f>
        <v/>
      </c>
      <c r="E23" s="29" t="str">
        <f>IF(A23="","",IF(OR('Valuation inputs'!Y14&lt;&gt;1,NOT(ISNUMBER('Valuation inputs'!Z14)),NOT(ISNUMBER('Valuation inputs'!G14))),"n.a.",IF(OR('Valuation inputs'!Z14&lt;=0,'Valuation inputs'!G14&lt;=0),"NM",'Valuation inputs'!Z14/'Valuation inputs'!G14)))</f>
        <v/>
      </c>
      <c r="F23" s="34" t="str">
        <f>IF(A23="","",IF(OR('Valuation inputs'!Y14&lt;&gt;1,NOT(ISNUMBER('Valuation inputs'!AA14))),"n.a.",'Valuation inputs'!AA14/'Valuation inputs'!D14))</f>
        <v/>
      </c>
      <c r="G23" s="29" t="str">
        <f>IF(A23="","",IF(OR('Valuation inputs'!Y14&lt;&gt;1,NOT(ISNUMBER('Valuation inputs'!J14))),"n.a.",IF('Valuation inputs'!J14&lt;=0,"NM",'Valuation inputs'!D14/'Valuation inputs'!J14)))</f>
        <v/>
      </c>
      <c r="H23" s="49" t="str">
        <f t="shared" si="2"/>
        <v/>
      </c>
      <c r="I23" s="49" t="str">
        <f t="shared" si="3"/>
        <v/>
      </c>
      <c r="J23" s="49" t="str">
        <f t="shared" si="4"/>
        <v/>
      </c>
      <c r="K23" s="49" t="str">
        <f t="shared" si="5"/>
        <v/>
      </c>
      <c r="L23" s="49" t="str">
        <f t="shared" si="6"/>
        <v/>
      </c>
      <c r="M23" s="2" t="str">
        <f t="shared" si="7"/>
        <v/>
      </c>
      <c r="N23" s="34" t="str">
        <f t="shared" si="8"/>
        <v/>
      </c>
      <c r="O23" s="34" t="str">
        <f t="shared" si="9"/>
        <v/>
      </c>
      <c r="P23" s="34" t="str">
        <f t="shared" si="10"/>
        <v/>
      </c>
      <c r="Q23" s="34" t="str">
        <f t="shared" si="11"/>
        <v/>
      </c>
      <c r="R23" s="34" t="str">
        <f t="shared" si="12"/>
        <v/>
      </c>
      <c r="S23" s="2" t="str">
        <f>IF(A23="","",IF('Valuation inputs'!Y14&lt;&gt;1,'Valuation inputs'!AB14,IF(T23&lt;&gt;1,"Missing/NM required metric",IF($B$12&lt;&gt;"Ready",$B$12,"Ranked"))))</f>
        <v/>
      </c>
      <c r="T23" s="2" t="str">
        <f>IF(A23="","",IF(AND('Valuation inputs'!Y14=1,$B$4&lt;&gt;"Needs sector profile",COUNT($G$5:$G$8)=4,MIN($G$5:$G$8)&gt;=0,ABS($B$8-1)&lt;=0.000001,OR($G$5=0,ISNUMBER(D23)),OR($G$6=0,ISNUMBER(E23)),OR($G$7=0,ISNUMBER(F23)),OR($G$8=0,ISNUMBER(G23))),1,0))</f>
        <v/>
      </c>
      <c r="U23" s="2" t="str">
        <f t="shared" si="13"/>
        <v/>
      </c>
      <c r="V23" s="2" t="str">
        <f t="shared" si="14"/>
        <v/>
      </c>
      <c r="W23" s="2" t="str">
        <f t="shared" si="15"/>
        <v/>
      </c>
      <c r="X23" s="2" t="str">
        <f t="shared" si="16"/>
        <v/>
      </c>
      <c r="Y23" s="2" t="str">
        <f t="shared" si="17"/>
        <v/>
      </c>
    </row>
    <row r="24" ht="18.75" customHeight="1">
      <c r="A24" s="2" t="str">
        <f>IF('Valuation inputs'!A15="","",'Valuation inputs'!A15)</f>
        <v/>
      </c>
      <c r="B24" s="2" t="str">
        <f>IF(A24="","",'Valuation inputs'!B15)</f>
        <v/>
      </c>
      <c r="C24" s="2" t="str">
        <f>IF(A24="","",'Valuation inputs'!D15)</f>
        <v/>
      </c>
      <c r="D24" s="29" t="str">
        <f>IF(A24="","",IF('Valuation inputs'!Y15&lt;&gt;1,"n.a.",IF(NOT(ISNUMBER('Valuation inputs'!F15)),"n.a.",IF('Valuation inputs'!F15&lt;=0,"NM",'Valuation inputs'!E15/'Valuation inputs'!F15))))</f>
        <v/>
      </c>
      <c r="E24" s="29" t="str">
        <f>IF(A24="","",IF(OR('Valuation inputs'!Y15&lt;&gt;1,NOT(ISNUMBER('Valuation inputs'!Z15)),NOT(ISNUMBER('Valuation inputs'!G15))),"n.a.",IF(OR('Valuation inputs'!Z15&lt;=0,'Valuation inputs'!G15&lt;=0),"NM",'Valuation inputs'!Z15/'Valuation inputs'!G15)))</f>
        <v/>
      </c>
      <c r="F24" s="34" t="str">
        <f>IF(A24="","",IF(OR('Valuation inputs'!Y15&lt;&gt;1,NOT(ISNUMBER('Valuation inputs'!AA15))),"n.a.",'Valuation inputs'!AA15/'Valuation inputs'!D15))</f>
        <v/>
      </c>
      <c r="G24" s="29" t="str">
        <f>IF(A24="","",IF(OR('Valuation inputs'!Y15&lt;&gt;1,NOT(ISNUMBER('Valuation inputs'!J15))),"n.a.",IF('Valuation inputs'!J15&lt;=0,"NM",'Valuation inputs'!D15/'Valuation inputs'!J15)))</f>
        <v/>
      </c>
      <c r="H24" s="49" t="str">
        <f t="shared" si="2"/>
        <v/>
      </c>
      <c r="I24" s="49" t="str">
        <f t="shared" si="3"/>
        <v/>
      </c>
      <c r="J24" s="49" t="str">
        <f t="shared" si="4"/>
        <v/>
      </c>
      <c r="K24" s="49" t="str">
        <f t="shared" si="5"/>
        <v/>
      </c>
      <c r="L24" s="49" t="str">
        <f t="shared" si="6"/>
        <v/>
      </c>
      <c r="M24" s="2" t="str">
        <f t="shared" si="7"/>
        <v/>
      </c>
      <c r="N24" s="34" t="str">
        <f t="shared" si="8"/>
        <v/>
      </c>
      <c r="O24" s="34" t="str">
        <f t="shared" si="9"/>
        <v/>
      </c>
      <c r="P24" s="34" t="str">
        <f t="shared" si="10"/>
        <v/>
      </c>
      <c r="Q24" s="34" t="str">
        <f t="shared" si="11"/>
        <v/>
      </c>
      <c r="R24" s="34" t="str">
        <f t="shared" si="12"/>
        <v/>
      </c>
      <c r="S24" s="2" t="str">
        <f>IF(A24="","",IF('Valuation inputs'!Y15&lt;&gt;1,'Valuation inputs'!AB15,IF(T24&lt;&gt;1,"Missing/NM required metric",IF($B$12&lt;&gt;"Ready",$B$12,"Ranked"))))</f>
        <v/>
      </c>
      <c r="T24" s="2" t="str">
        <f>IF(A24="","",IF(AND('Valuation inputs'!Y15=1,$B$4&lt;&gt;"Needs sector profile",COUNT($G$5:$G$8)=4,MIN($G$5:$G$8)&gt;=0,ABS($B$8-1)&lt;=0.000001,OR($G$5=0,ISNUMBER(D24)),OR($G$6=0,ISNUMBER(E24)),OR($G$7=0,ISNUMBER(F24)),OR($G$8=0,ISNUMBER(G24))),1,0))</f>
        <v/>
      </c>
      <c r="U24" s="2" t="str">
        <f t="shared" si="13"/>
        <v/>
      </c>
      <c r="V24" s="2" t="str">
        <f t="shared" si="14"/>
        <v/>
      </c>
      <c r="W24" s="2" t="str">
        <f t="shared" si="15"/>
        <v/>
      </c>
      <c r="X24" s="2" t="str">
        <f t="shared" si="16"/>
        <v/>
      </c>
      <c r="Y24" s="2" t="str">
        <f t="shared" si="17"/>
        <v/>
      </c>
    </row>
    <row r="25" ht="18.75" customHeight="1">
      <c r="A25" s="2" t="str">
        <f>IF('Valuation inputs'!A16="","",'Valuation inputs'!A16)</f>
        <v/>
      </c>
      <c r="B25" s="2" t="str">
        <f>IF(A25="","",'Valuation inputs'!B16)</f>
        <v/>
      </c>
      <c r="C25" s="2" t="str">
        <f>IF(A25="","",'Valuation inputs'!D16)</f>
        <v/>
      </c>
      <c r="D25" s="29" t="str">
        <f>IF(A25="","",IF('Valuation inputs'!Y16&lt;&gt;1,"n.a.",IF(NOT(ISNUMBER('Valuation inputs'!F16)),"n.a.",IF('Valuation inputs'!F16&lt;=0,"NM",'Valuation inputs'!E16/'Valuation inputs'!F16))))</f>
        <v/>
      </c>
      <c r="E25" s="29" t="str">
        <f>IF(A25="","",IF(OR('Valuation inputs'!Y16&lt;&gt;1,NOT(ISNUMBER('Valuation inputs'!Z16)),NOT(ISNUMBER('Valuation inputs'!G16))),"n.a.",IF(OR('Valuation inputs'!Z16&lt;=0,'Valuation inputs'!G16&lt;=0),"NM",'Valuation inputs'!Z16/'Valuation inputs'!G16)))</f>
        <v/>
      </c>
      <c r="F25" s="34" t="str">
        <f>IF(A25="","",IF(OR('Valuation inputs'!Y16&lt;&gt;1,NOT(ISNUMBER('Valuation inputs'!AA16))),"n.a.",'Valuation inputs'!AA16/'Valuation inputs'!D16))</f>
        <v/>
      </c>
      <c r="G25" s="29" t="str">
        <f>IF(A25="","",IF(OR('Valuation inputs'!Y16&lt;&gt;1,NOT(ISNUMBER('Valuation inputs'!J16))),"n.a.",IF('Valuation inputs'!J16&lt;=0,"NM",'Valuation inputs'!D16/'Valuation inputs'!J16)))</f>
        <v/>
      </c>
      <c r="H25" s="49" t="str">
        <f t="shared" si="2"/>
        <v/>
      </c>
      <c r="I25" s="49" t="str">
        <f t="shared" si="3"/>
        <v/>
      </c>
      <c r="J25" s="49" t="str">
        <f t="shared" si="4"/>
        <v/>
      </c>
      <c r="K25" s="49" t="str">
        <f t="shared" si="5"/>
        <v/>
      </c>
      <c r="L25" s="49" t="str">
        <f t="shared" si="6"/>
        <v/>
      </c>
      <c r="M25" s="2" t="str">
        <f t="shared" si="7"/>
        <v/>
      </c>
      <c r="N25" s="34" t="str">
        <f t="shared" si="8"/>
        <v/>
      </c>
      <c r="O25" s="34" t="str">
        <f t="shared" si="9"/>
        <v/>
      </c>
      <c r="P25" s="34" t="str">
        <f t="shared" si="10"/>
        <v/>
      </c>
      <c r="Q25" s="34" t="str">
        <f t="shared" si="11"/>
        <v/>
      </c>
      <c r="R25" s="34" t="str">
        <f t="shared" si="12"/>
        <v/>
      </c>
      <c r="S25" s="2" t="str">
        <f>IF(A25="","",IF('Valuation inputs'!Y16&lt;&gt;1,'Valuation inputs'!AB16,IF(T25&lt;&gt;1,"Missing/NM required metric",IF($B$12&lt;&gt;"Ready",$B$12,"Ranked"))))</f>
        <v/>
      </c>
      <c r="T25" s="2" t="str">
        <f>IF(A25="","",IF(AND('Valuation inputs'!Y16=1,$B$4&lt;&gt;"Needs sector profile",COUNT($G$5:$G$8)=4,MIN($G$5:$G$8)&gt;=0,ABS($B$8-1)&lt;=0.000001,OR($G$5=0,ISNUMBER(D25)),OR($G$6=0,ISNUMBER(E25)),OR($G$7=0,ISNUMBER(F25)),OR($G$8=0,ISNUMBER(G25))),1,0))</f>
        <v/>
      </c>
      <c r="U25" s="2" t="str">
        <f t="shared" si="13"/>
        <v/>
      </c>
      <c r="V25" s="2" t="str">
        <f t="shared" si="14"/>
        <v/>
      </c>
      <c r="W25" s="2" t="str">
        <f t="shared" si="15"/>
        <v/>
      </c>
      <c r="X25" s="2" t="str">
        <f t="shared" si="16"/>
        <v/>
      </c>
      <c r="Y25" s="2" t="str">
        <f t="shared" si="17"/>
        <v/>
      </c>
    </row>
    <row r="26" ht="18.75" customHeight="1">
      <c r="A26" s="2" t="str">
        <f>IF('Valuation inputs'!A17="","",'Valuation inputs'!A17)</f>
        <v/>
      </c>
      <c r="B26" s="2" t="str">
        <f>IF(A26="","",'Valuation inputs'!B17)</f>
        <v/>
      </c>
      <c r="C26" s="2" t="str">
        <f>IF(A26="","",'Valuation inputs'!D17)</f>
        <v/>
      </c>
      <c r="D26" s="29" t="str">
        <f>IF(A26="","",IF('Valuation inputs'!Y17&lt;&gt;1,"n.a.",IF(NOT(ISNUMBER('Valuation inputs'!F17)),"n.a.",IF('Valuation inputs'!F17&lt;=0,"NM",'Valuation inputs'!E17/'Valuation inputs'!F17))))</f>
        <v/>
      </c>
      <c r="E26" s="29" t="str">
        <f>IF(A26="","",IF(OR('Valuation inputs'!Y17&lt;&gt;1,NOT(ISNUMBER('Valuation inputs'!Z17)),NOT(ISNUMBER('Valuation inputs'!G17))),"n.a.",IF(OR('Valuation inputs'!Z17&lt;=0,'Valuation inputs'!G17&lt;=0),"NM",'Valuation inputs'!Z17/'Valuation inputs'!G17)))</f>
        <v/>
      </c>
      <c r="F26" s="34" t="str">
        <f>IF(A26="","",IF(OR('Valuation inputs'!Y17&lt;&gt;1,NOT(ISNUMBER('Valuation inputs'!AA17))),"n.a.",'Valuation inputs'!AA17/'Valuation inputs'!D17))</f>
        <v/>
      </c>
      <c r="G26" s="29" t="str">
        <f>IF(A26="","",IF(OR('Valuation inputs'!Y17&lt;&gt;1,NOT(ISNUMBER('Valuation inputs'!J17))),"n.a.",IF('Valuation inputs'!J17&lt;=0,"NM",'Valuation inputs'!D17/'Valuation inputs'!J17)))</f>
        <v/>
      </c>
      <c r="H26" s="49" t="str">
        <f t="shared" si="2"/>
        <v/>
      </c>
      <c r="I26" s="49" t="str">
        <f t="shared" si="3"/>
        <v/>
      </c>
      <c r="J26" s="49" t="str">
        <f t="shared" si="4"/>
        <v/>
      </c>
      <c r="K26" s="49" t="str">
        <f t="shared" si="5"/>
        <v/>
      </c>
      <c r="L26" s="49" t="str">
        <f t="shared" si="6"/>
        <v/>
      </c>
      <c r="M26" s="2" t="str">
        <f t="shared" si="7"/>
        <v/>
      </c>
      <c r="N26" s="34" t="str">
        <f t="shared" si="8"/>
        <v/>
      </c>
      <c r="O26" s="34" t="str">
        <f t="shared" si="9"/>
        <v/>
      </c>
      <c r="P26" s="34" t="str">
        <f t="shared" si="10"/>
        <v/>
      </c>
      <c r="Q26" s="34" t="str">
        <f t="shared" si="11"/>
        <v/>
      </c>
      <c r="R26" s="34" t="str">
        <f t="shared" si="12"/>
        <v/>
      </c>
      <c r="S26" s="2" t="str">
        <f>IF(A26="","",IF('Valuation inputs'!Y17&lt;&gt;1,'Valuation inputs'!AB17,IF(T26&lt;&gt;1,"Missing/NM required metric",IF($B$12&lt;&gt;"Ready",$B$12,"Ranked"))))</f>
        <v/>
      </c>
      <c r="T26" s="2" t="str">
        <f>IF(A26="","",IF(AND('Valuation inputs'!Y17=1,$B$4&lt;&gt;"Needs sector profile",COUNT($G$5:$G$8)=4,MIN($G$5:$G$8)&gt;=0,ABS($B$8-1)&lt;=0.000001,OR($G$5=0,ISNUMBER(D26)),OR($G$6=0,ISNUMBER(E26)),OR($G$7=0,ISNUMBER(F26)),OR($G$8=0,ISNUMBER(G26))),1,0))</f>
        <v/>
      </c>
      <c r="U26" s="2" t="str">
        <f t="shared" si="13"/>
        <v/>
      </c>
      <c r="V26" s="2" t="str">
        <f t="shared" si="14"/>
        <v/>
      </c>
      <c r="W26" s="2" t="str">
        <f t="shared" si="15"/>
        <v/>
      </c>
      <c r="X26" s="2" t="str">
        <f t="shared" si="16"/>
        <v/>
      </c>
      <c r="Y26" s="2" t="str">
        <f t="shared" si="17"/>
        <v/>
      </c>
    </row>
    <row r="27" ht="18.75" customHeight="1">
      <c r="A27" s="2" t="str">
        <f>IF('Valuation inputs'!A18="","",'Valuation inputs'!A18)</f>
        <v/>
      </c>
      <c r="B27" s="2" t="str">
        <f>IF(A27="","",'Valuation inputs'!B18)</f>
        <v/>
      </c>
      <c r="C27" s="2" t="str">
        <f>IF(A27="","",'Valuation inputs'!D18)</f>
        <v/>
      </c>
      <c r="D27" s="29" t="str">
        <f>IF(A27="","",IF('Valuation inputs'!Y18&lt;&gt;1,"n.a.",IF(NOT(ISNUMBER('Valuation inputs'!F18)),"n.a.",IF('Valuation inputs'!F18&lt;=0,"NM",'Valuation inputs'!E18/'Valuation inputs'!F18))))</f>
        <v/>
      </c>
      <c r="E27" s="29" t="str">
        <f>IF(A27="","",IF(OR('Valuation inputs'!Y18&lt;&gt;1,NOT(ISNUMBER('Valuation inputs'!Z18)),NOT(ISNUMBER('Valuation inputs'!G18))),"n.a.",IF(OR('Valuation inputs'!Z18&lt;=0,'Valuation inputs'!G18&lt;=0),"NM",'Valuation inputs'!Z18/'Valuation inputs'!G18)))</f>
        <v/>
      </c>
      <c r="F27" s="34" t="str">
        <f>IF(A27="","",IF(OR('Valuation inputs'!Y18&lt;&gt;1,NOT(ISNUMBER('Valuation inputs'!AA18))),"n.a.",'Valuation inputs'!AA18/'Valuation inputs'!D18))</f>
        <v/>
      </c>
      <c r="G27" s="29" t="str">
        <f>IF(A27="","",IF(OR('Valuation inputs'!Y18&lt;&gt;1,NOT(ISNUMBER('Valuation inputs'!J18))),"n.a.",IF('Valuation inputs'!J18&lt;=0,"NM",'Valuation inputs'!D18/'Valuation inputs'!J18)))</f>
        <v/>
      </c>
      <c r="H27" s="49" t="str">
        <f t="shared" si="2"/>
        <v/>
      </c>
      <c r="I27" s="49" t="str">
        <f t="shared" si="3"/>
        <v/>
      </c>
      <c r="J27" s="49" t="str">
        <f t="shared" si="4"/>
        <v/>
      </c>
      <c r="K27" s="49" t="str">
        <f t="shared" si="5"/>
        <v/>
      </c>
      <c r="L27" s="49" t="str">
        <f t="shared" si="6"/>
        <v/>
      </c>
      <c r="M27" s="2" t="str">
        <f t="shared" si="7"/>
        <v/>
      </c>
      <c r="N27" s="34" t="str">
        <f t="shared" si="8"/>
        <v/>
      </c>
      <c r="O27" s="34" t="str">
        <f t="shared" si="9"/>
        <v/>
      </c>
      <c r="P27" s="34" t="str">
        <f t="shared" si="10"/>
        <v/>
      </c>
      <c r="Q27" s="34" t="str">
        <f t="shared" si="11"/>
        <v/>
      </c>
      <c r="R27" s="34" t="str">
        <f t="shared" si="12"/>
        <v/>
      </c>
      <c r="S27" s="2" t="str">
        <f>IF(A27="","",IF('Valuation inputs'!Y18&lt;&gt;1,'Valuation inputs'!AB18,IF(T27&lt;&gt;1,"Missing/NM required metric",IF($B$12&lt;&gt;"Ready",$B$12,"Ranked"))))</f>
        <v/>
      </c>
      <c r="T27" s="2" t="str">
        <f>IF(A27="","",IF(AND('Valuation inputs'!Y18=1,$B$4&lt;&gt;"Needs sector profile",COUNT($G$5:$G$8)=4,MIN($G$5:$G$8)&gt;=0,ABS($B$8-1)&lt;=0.000001,OR($G$5=0,ISNUMBER(D27)),OR($G$6=0,ISNUMBER(E27)),OR($G$7=0,ISNUMBER(F27)),OR($G$8=0,ISNUMBER(G27))),1,0))</f>
        <v/>
      </c>
      <c r="U27" s="2" t="str">
        <f t="shared" si="13"/>
        <v/>
      </c>
      <c r="V27" s="2" t="str">
        <f t="shared" si="14"/>
        <v/>
      </c>
      <c r="W27" s="2" t="str">
        <f t="shared" si="15"/>
        <v/>
      </c>
      <c r="X27" s="2" t="str">
        <f t="shared" si="16"/>
        <v/>
      </c>
      <c r="Y27" s="2" t="str">
        <f t="shared" si="17"/>
        <v/>
      </c>
    </row>
    <row r="28" ht="18.75" customHeight="1">
      <c r="A28" s="2" t="str">
        <f>IF('Valuation inputs'!A19="","",'Valuation inputs'!A19)</f>
        <v/>
      </c>
      <c r="B28" s="2" t="str">
        <f>IF(A28="","",'Valuation inputs'!B19)</f>
        <v/>
      </c>
      <c r="C28" s="2" t="str">
        <f>IF(A28="","",'Valuation inputs'!D19)</f>
        <v/>
      </c>
      <c r="D28" s="29" t="str">
        <f>IF(A28="","",IF('Valuation inputs'!Y19&lt;&gt;1,"n.a.",IF(NOT(ISNUMBER('Valuation inputs'!F19)),"n.a.",IF('Valuation inputs'!F19&lt;=0,"NM",'Valuation inputs'!E19/'Valuation inputs'!F19))))</f>
        <v/>
      </c>
      <c r="E28" s="29" t="str">
        <f>IF(A28="","",IF(OR('Valuation inputs'!Y19&lt;&gt;1,NOT(ISNUMBER('Valuation inputs'!Z19)),NOT(ISNUMBER('Valuation inputs'!G19))),"n.a.",IF(OR('Valuation inputs'!Z19&lt;=0,'Valuation inputs'!G19&lt;=0),"NM",'Valuation inputs'!Z19/'Valuation inputs'!G19)))</f>
        <v/>
      </c>
      <c r="F28" s="34" t="str">
        <f>IF(A28="","",IF(OR('Valuation inputs'!Y19&lt;&gt;1,NOT(ISNUMBER('Valuation inputs'!AA19))),"n.a.",'Valuation inputs'!AA19/'Valuation inputs'!D19))</f>
        <v/>
      </c>
      <c r="G28" s="29" t="str">
        <f>IF(A28="","",IF(OR('Valuation inputs'!Y19&lt;&gt;1,NOT(ISNUMBER('Valuation inputs'!J19))),"n.a.",IF('Valuation inputs'!J19&lt;=0,"NM",'Valuation inputs'!D19/'Valuation inputs'!J19)))</f>
        <v/>
      </c>
      <c r="H28" s="49" t="str">
        <f t="shared" si="2"/>
        <v/>
      </c>
      <c r="I28" s="49" t="str">
        <f t="shared" si="3"/>
        <v/>
      </c>
      <c r="J28" s="49" t="str">
        <f t="shared" si="4"/>
        <v/>
      </c>
      <c r="K28" s="49" t="str">
        <f t="shared" si="5"/>
        <v/>
      </c>
      <c r="L28" s="49" t="str">
        <f t="shared" si="6"/>
        <v/>
      </c>
      <c r="M28" s="2" t="str">
        <f t="shared" si="7"/>
        <v/>
      </c>
      <c r="N28" s="34" t="str">
        <f t="shared" si="8"/>
        <v/>
      </c>
      <c r="O28" s="34" t="str">
        <f t="shared" si="9"/>
        <v/>
      </c>
      <c r="P28" s="34" t="str">
        <f t="shared" si="10"/>
        <v/>
      </c>
      <c r="Q28" s="34" t="str">
        <f t="shared" si="11"/>
        <v/>
      </c>
      <c r="R28" s="34" t="str">
        <f t="shared" si="12"/>
        <v/>
      </c>
      <c r="S28" s="2" t="str">
        <f>IF(A28="","",IF('Valuation inputs'!Y19&lt;&gt;1,'Valuation inputs'!AB19,IF(T28&lt;&gt;1,"Missing/NM required metric",IF($B$12&lt;&gt;"Ready",$B$12,"Ranked"))))</f>
        <v/>
      </c>
      <c r="T28" s="2" t="str">
        <f>IF(A28="","",IF(AND('Valuation inputs'!Y19=1,$B$4&lt;&gt;"Needs sector profile",COUNT($G$5:$G$8)=4,MIN($G$5:$G$8)&gt;=0,ABS($B$8-1)&lt;=0.000001,OR($G$5=0,ISNUMBER(D28)),OR($G$6=0,ISNUMBER(E28)),OR($G$7=0,ISNUMBER(F28)),OR($G$8=0,ISNUMBER(G28))),1,0))</f>
        <v/>
      </c>
      <c r="U28" s="2" t="str">
        <f t="shared" si="13"/>
        <v/>
      </c>
      <c r="V28" s="2" t="str">
        <f t="shared" si="14"/>
        <v/>
      </c>
      <c r="W28" s="2" t="str">
        <f t="shared" si="15"/>
        <v/>
      </c>
      <c r="X28" s="2" t="str">
        <f t="shared" si="16"/>
        <v/>
      </c>
      <c r="Y28" s="2" t="str">
        <f t="shared" si="17"/>
        <v/>
      </c>
    </row>
    <row r="29" ht="18.75" customHeight="1">
      <c r="A29" s="2" t="str">
        <f>IF('Valuation inputs'!A20="","",'Valuation inputs'!A20)</f>
        <v/>
      </c>
      <c r="B29" s="2" t="str">
        <f>IF(A29="","",'Valuation inputs'!B20)</f>
        <v/>
      </c>
      <c r="C29" s="2" t="str">
        <f>IF(A29="","",'Valuation inputs'!D20)</f>
        <v/>
      </c>
      <c r="D29" s="29" t="str">
        <f>IF(A29="","",IF('Valuation inputs'!Y20&lt;&gt;1,"n.a.",IF(NOT(ISNUMBER('Valuation inputs'!F20)),"n.a.",IF('Valuation inputs'!F20&lt;=0,"NM",'Valuation inputs'!E20/'Valuation inputs'!F20))))</f>
        <v/>
      </c>
      <c r="E29" s="29" t="str">
        <f>IF(A29="","",IF(OR('Valuation inputs'!Y20&lt;&gt;1,NOT(ISNUMBER('Valuation inputs'!Z20)),NOT(ISNUMBER('Valuation inputs'!G20))),"n.a.",IF(OR('Valuation inputs'!Z20&lt;=0,'Valuation inputs'!G20&lt;=0),"NM",'Valuation inputs'!Z20/'Valuation inputs'!G20)))</f>
        <v/>
      </c>
      <c r="F29" s="34" t="str">
        <f>IF(A29="","",IF(OR('Valuation inputs'!Y20&lt;&gt;1,NOT(ISNUMBER('Valuation inputs'!AA20))),"n.a.",'Valuation inputs'!AA20/'Valuation inputs'!D20))</f>
        <v/>
      </c>
      <c r="G29" s="29" t="str">
        <f>IF(A29="","",IF(OR('Valuation inputs'!Y20&lt;&gt;1,NOT(ISNUMBER('Valuation inputs'!J20))),"n.a.",IF('Valuation inputs'!J20&lt;=0,"NM",'Valuation inputs'!D20/'Valuation inputs'!J20)))</f>
        <v/>
      </c>
      <c r="H29" s="49" t="str">
        <f t="shared" si="2"/>
        <v/>
      </c>
      <c r="I29" s="49" t="str">
        <f t="shared" si="3"/>
        <v/>
      </c>
      <c r="J29" s="49" t="str">
        <f t="shared" si="4"/>
        <v/>
      </c>
      <c r="K29" s="49" t="str">
        <f t="shared" si="5"/>
        <v/>
      </c>
      <c r="L29" s="49" t="str">
        <f t="shared" si="6"/>
        <v/>
      </c>
      <c r="M29" s="2" t="str">
        <f t="shared" si="7"/>
        <v/>
      </c>
      <c r="N29" s="34" t="str">
        <f t="shared" si="8"/>
        <v/>
      </c>
      <c r="O29" s="34" t="str">
        <f t="shared" si="9"/>
        <v/>
      </c>
      <c r="P29" s="34" t="str">
        <f t="shared" si="10"/>
        <v/>
      </c>
      <c r="Q29" s="34" t="str">
        <f t="shared" si="11"/>
        <v/>
      </c>
      <c r="R29" s="34" t="str">
        <f t="shared" si="12"/>
        <v/>
      </c>
      <c r="S29" s="2" t="str">
        <f>IF(A29="","",IF('Valuation inputs'!Y20&lt;&gt;1,'Valuation inputs'!AB20,IF(T29&lt;&gt;1,"Missing/NM required metric",IF($B$12&lt;&gt;"Ready",$B$12,"Ranked"))))</f>
        <v/>
      </c>
      <c r="T29" s="2" t="str">
        <f>IF(A29="","",IF(AND('Valuation inputs'!Y20=1,$B$4&lt;&gt;"Needs sector profile",COUNT($G$5:$G$8)=4,MIN($G$5:$G$8)&gt;=0,ABS($B$8-1)&lt;=0.000001,OR($G$5=0,ISNUMBER(D29)),OR($G$6=0,ISNUMBER(E29)),OR($G$7=0,ISNUMBER(F29)),OR($G$8=0,ISNUMBER(G29))),1,0))</f>
        <v/>
      </c>
      <c r="U29" s="2" t="str">
        <f t="shared" si="13"/>
        <v/>
      </c>
      <c r="V29" s="2" t="str">
        <f t="shared" si="14"/>
        <v/>
      </c>
      <c r="W29" s="2" t="str">
        <f t="shared" si="15"/>
        <v/>
      </c>
      <c r="X29" s="2" t="str">
        <f t="shared" si="16"/>
        <v/>
      </c>
      <c r="Y29" s="2" t="str">
        <f t="shared" si="17"/>
        <v/>
      </c>
    </row>
    <row r="30" ht="18.75" customHeight="1">
      <c r="A30" s="2" t="str">
        <f>IF('Valuation inputs'!A21="","",'Valuation inputs'!A21)</f>
        <v/>
      </c>
      <c r="B30" s="2" t="str">
        <f>IF(A30="","",'Valuation inputs'!B21)</f>
        <v/>
      </c>
      <c r="C30" s="2" t="str">
        <f>IF(A30="","",'Valuation inputs'!D21)</f>
        <v/>
      </c>
      <c r="D30" s="29" t="str">
        <f>IF(A30="","",IF('Valuation inputs'!Y21&lt;&gt;1,"n.a.",IF(NOT(ISNUMBER('Valuation inputs'!F21)),"n.a.",IF('Valuation inputs'!F21&lt;=0,"NM",'Valuation inputs'!E21/'Valuation inputs'!F21))))</f>
        <v/>
      </c>
      <c r="E30" s="29" t="str">
        <f>IF(A30="","",IF(OR('Valuation inputs'!Y21&lt;&gt;1,NOT(ISNUMBER('Valuation inputs'!Z21)),NOT(ISNUMBER('Valuation inputs'!G21))),"n.a.",IF(OR('Valuation inputs'!Z21&lt;=0,'Valuation inputs'!G21&lt;=0),"NM",'Valuation inputs'!Z21/'Valuation inputs'!G21)))</f>
        <v/>
      </c>
      <c r="F30" s="34" t="str">
        <f>IF(A30="","",IF(OR('Valuation inputs'!Y21&lt;&gt;1,NOT(ISNUMBER('Valuation inputs'!AA21))),"n.a.",'Valuation inputs'!AA21/'Valuation inputs'!D21))</f>
        <v/>
      </c>
      <c r="G30" s="29" t="str">
        <f>IF(A30="","",IF(OR('Valuation inputs'!Y21&lt;&gt;1,NOT(ISNUMBER('Valuation inputs'!J21))),"n.a.",IF('Valuation inputs'!J21&lt;=0,"NM",'Valuation inputs'!D21/'Valuation inputs'!J21)))</f>
        <v/>
      </c>
      <c r="H30" s="49" t="str">
        <f t="shared" si="2"/>
        <v/>
      </c>
      <c r="I30" s="49" t="str">
        <f t="shared" si="3"/>
        <v/>
      </c>
      <c r="J30" s="49" t="str">
        <f t="shared" si="4"/>
        <v/>
      </c>
      <c r="K30" s="49" t="str">
        <f t="shared" si="5"/>
        <v/>
      </c>
      <c r="L30" s="49" t="str">
        <f t="shared" si="6"/>
        <v/>
      </c>
      <c r="M30" s="2" t="str">
        <f t="shared" si="7"/>
        <v/>
      </c>
      <c r="N30" s="34" t="str">
        <f t="shared" si="8"/>
        <v/>
      </c>
      <c r="O30" s="34" t="str">
        <f t="shared" si="9"/>
        <v/>
      </c>
      <c r="P30" s="34" t="str">
        <f t="shared" si="10"/>
        <v/>
      </c>
      <c r="Q30" s="34" t="str">
        <f t="shared" si="11"/>
        <v/>
      </c>
      <c r="R30" s="34" t="str">
        <f t="shared" si="12"/>
        <v/>
      </c>
      <c r="S30" s="2" t="str">
        <f>IF(A30="","",IF('Valuation inputs'!Y21&lt;&gt;1,'Valuation inputs'!AB21,IF(T30&lt;&gt;1,"Missing/NM required metric",IF($B$12&lt;&gt;"Ready",$B$12,"Ranked"))))</f>
        <v/>
      </c>
      <c r="T30" s="2" t="str">
        <f>IF(A30="","",IF(AND('Valuation inputs'!Y21=1,$B$4&lt;&gt;"Needs sector profile",COUNT($G$5:$G$8)=4,MIN($G$5:$G$8)&gt;=0,ABS($B$8-1)&lt;=0.000001,OR($G$5=0,ISNUMBER(D30)),OR($G$6=0,ISNUMBER(E30)),OR($G$7=0,ISNUMBER(F30)),OR($G$8=0,ISNUMBER(G30))),1,0))</f>
        <v/>
      </c>
      <c r="U30" s="2" t="str">
        <f t="shared" si="13"/>
        <v/>
      </c>
      <c r="V30" s="2" t="str">
        <f t="shared" si="14"/>
        <v/>
      </c>
      <c r="W30" s="2" t="str">
        <f t="shared" si="15"/>
        <v/>
      </c>
      <c r="X30" s="2" t="str">
        <f t="shared" si="16"/>
        <v/>
      </c>
      <c r="Y30" s="2" t="str">
        <f t="shared" si="17"/>
        <v/>
      </c>
    </row>
    <row r="31" ht="18.75" customHeight="1">
      <c r="A31" s="2" t="str">
        <f>IF('Valuation inputs'!A22="","",'Valuation inputs'!A22)</f>
        <v/>
      </c>
      <c r="B31" s="2" t="str">
        <f>IF(A31="","",'Valuation inputs'!B22)</f>
        <v/>
      </c>
      <c r="C31" s="2" t="str">
        <f>IF(A31="","",'Valuation inputs'!D22)</f>
        <v/>
      </c>
      <c r="D31" s="29" t="str">
        <f>IF(A31="","",IF('Valuation inputs'!Y22&lt;&gt;1,"n.a.",IF(NOT(ISNUMBER('Valuation inputs'!F22)),"n.a.",IF('Valuation inputs'!F22&lt;=0,"NM",'Valuation inputs'!E22/'Valuation inputs'!F22))))</f>
        <v/>
      </c>
      <c r="E31" s="29" t="str">
        <f>IF(A31="","",IF(OR('Valuation inputs'!Y22&lt;&gt;1,NOT(ISNUMBER('Valuation inputs'!Z22)),NOT(ISNUMBER('Valuation inputs'!G22))),"n.a.",IF(OR('Valuation inputs'!Z22&lt;=0,'Valuation inputs'!G22&lt;=0),"NM",'Valuation inputs'!Z22/'Valuation inputs'!G22)))</f>
        <v/>
      </c>
      <c r="F31" s="34" t="str">
        <f>IF(A31="","",IF(OR('Valuation inputs'!Y22&lt;&gt;1,NOT(ISNUMBER('Valuation inputs'!AA22))),"n.a.",'Valuation inputs'!AA22/'Valuation inputs'!D22))</f>
        <v/>
      </c>
      <c r="G31" s="29" t="str">
        <f>IF(A31="","",IF(OR('Valuation inputs'!Y22&lt;&gt;1,NOT(ISNUMBER('Valuation inputs'!J22))),"n.a.",IF('Valuation inputs'!J22&lt;=0,"NM",'Valuation inputs'!D22/'Valuation inputs'!J22)))</f>
        <v/>
      </c>
      <c r="H31" s="49" t="str">
        <f t="shared" si="2"/>
        <v/>
      </c>
      <c r="I31" s="49" t="str">
        <f t="shared" si="3"/>
        <v/>
      </c>
      <c r="J31" s="49" t="str">
        <f t="shared" si="4"/>
        <v/>
      </c>
      <c r="K31" s="49" t="str">
        <f t="shared" si="5"/>
        <v/>
      </c>
      <c r="L31" s="49" t="str">
        <f t="shared" si="6"/>
        <v/>
      </c>
      <c r="M31" s="2" t="str">
        <f t="shared" si="7"/>
        <v/>
      </c>
      <c r="N31" s="34" t="str">
        <f t="shared" si="8"/>
        <v/>
      </c>
      <c r="O31" s="34" t="str">
        <f t="shared" si="9"/>
        <v/>
      </c>
      <c r="P31" s="34" t="str">
        <f t="shared" si="10"/>
        <v/>
      </c>
      <c r="Q31" s="34" t="str">
        <f t="shared" si="11"/>
        <v/>
      </c>
      <c r="R31" s="34" t="str">
        <f t="shared" si="12"/>
        <v/>
      </c>
      <c r="S31" s="2" t="str">
        <f>IF(A31="","",IF('Valuation inputs'!Y22&lt;&gt;1,'Valuation inputs'!AB22,IF(T31&lt;&gt;1,"Missing/NM required metric",IF($B$12&lt;&gt;"Ready",$B$12,"Ranked"))))</f>
        <v/>
      </c>
      <c r="T31" s="2" t="str">
        <f>IF(A31="","",IF(AND('Valuation inputs'!Y22=1,$B$4&lt;&gt;"Needs sector profile",COUNT($G$5:$G$8)=4,MIN($G$5:$G$8)&gt;=0,ABS($B$8-1)&lt;=0.000001,OR($G$5=0,ISNUMBER(D31)),OR($G$6=0,ISNUMBER(E31)),OR($G$7=0,ISNUMBER(F31)),OR($G$8=0,ISNUMBER(G31))),1,0))</f>
        <v/>
      </c>
      <c r="U31" s="2" t="str">
        <f t="shared" si="13"/>
        <v/>
      </c>
      <c r="V31" s="2" t="str">
        <f t="shared" si="14"/>
        <v/>
      </c>
      <c r="W31" s="2" t="str">
        <f t="shared" si="15"/>
        <v/>
      </c>
      <c r="X31" s="2" t="str">
        <f t="shared" si="16"/>
        <v/>
      </c>
      <c r="Y31" s="2" t="str">
        <f t="shared" si="17"/>
        <v/>
      </c>
    </row>
    <row r="32" ht="18.75" customHeight="1">
      <c r="A32" s="2" t="str">
        <f>IF('Valuation inputs'!A23="","",'Valuation inputs'!A23)</f>
        <v/>
      </c>
      <c r="B32" s="2" t="str">
        <f>IF(A32="","",'Valuation inputs'!B23)</f>
        <v/>
      </c>
      <c r="C32" s="2" t="str">
        <f>IF(A32="","",'Valuation inputs'!D23)</f>
        <v/>
      </c>
      <c r="D32" s="29" t="str">
        <f>IF(A32="","",IF('Valuation inputs'!Y23&lt;&gt;1,"n.a.",IF(NOT(ISNUMBER('Valuation inputs'!F23)),"n.a.",IF('Valuation inputs'!F23&lt;=0,"NM",'Valuation inputs'!E23/'Valuation inputs'!F23))))</f>
        <v/>
      </c>
      <c r="E32" s="29" t="str">
        <f>IF(A32="","",IF(OR('Valuation inputs'!Y23&lt;&gt;1,NOT(ISNUMBER('Valuation inputs'!Z23)),NOT(ISNUMBER('Valuation inputs'!G23))),"n.a.",IF(OR('Valuation inputs'!Z23&lt;=0,'Valuation inputs'!G23&lt;=0),"NM",'Valuation inputs'!Z23/'Valuation inputs'!G23)))</f>
        <v/>
      </c>
      <c r="F32" s="34" t="str">
        <f>IF(A32="","",IF(OR('Valuation inputs'!Y23&lt;&gt;1,NOT(ISNUMBER('Valuation inputs'!AA23))),"n.a.",'Valuation inputs'!AA23/'Valuation inputs'!D23))</f>
        <v/>
      </c>
      <c r="G32" s="29" t="str">
        <f>IF(A32="","",IF(OR('Valuation inputs'!Y23&lt;&gt;1,NOT(ISNUMBER('Valuation inputs'!J23))),"n.a.",IF('Valuation inputs'!J23&lt;=0,"NM",'Valuation inputs'!D23/'Valuation inputs'!J23)))</f>
        <v/>
      </c>
      <c r="H32" s="49" t="str">
        <f t="shared" si="2"/>
        <v/>
      </c>
      <c r="I32" s="49" t="str">
        <f t="shared" si="3"/>
        <v/>
      </c>
      <c r="J32" s="49" t="str">
        <f t="shared" si="4"/>
        <v/>
      </c>
      <c r="K32" s="49" t="str">
        <f t="shared" si="5"/>
        <v/>
      </c>
      <c r="L32" s="49" t="str">
        <f t="shared" si="6"/>
        <v/>
      </c>
      <c r="M32" s="2" t="str">
        <f t="shared" si="7"/>
        <v/>
      </c>
      <c r="N32" s="34" t="str">
        <f t="shared" si="8"/>
        <v/>
      </c>
      <c r="O32" s="34" t="str">
        <f t="shared" si="9"/>
        <v/>
      </c>
      <c r="P32" s="34" t="str">
        <f t="shared" si="10"/>
        <v/>
      </c>
      <c r="Q32" s="34" t="str">
        <f t="shared" si="11"/>
        <v/>
      </c>
      <c r="R32" s="34" t="str">
        <f t="shared" si="12"/>
        <v/>
      </c>
      <c r="S32" s="2" t="str">
        <f>IF(A32="","",IF('Valuation inputs'!Y23&lt;&gt;1,'Valuation inputs'!AB23,IF(T32&lt;&gt;1,"Missing/NM required metric",IF($B$12&lt;&gt;"Ready",$B$12,"Ranked"))))</f>
        <v/>
      </c>
      <c r="T32" s="2" t="str">
        <f>IF(A32="","",IF(AND('Valuation inputs'!Y23=1,$B$4&lt;&gt;"Needs sector profile",COUNT($G$5:$G$8)=4,MIN($G$5:$G$8)&gt;=0,ABS($B$8-1)&lt;=0.000001,OR($G$5=0,ISNUMBER(D32)),OR($G$6=0,ISNUMBER(E32)),OR($G$7=0,ISNUMBER(F32)),OR($G$8=0,ISNUMBER(G32))),1,0))</f>
        <v/>
      </c>
      <c r="U32" s="2" t="str">
        <f t="shared" si="13"/>
        <v/>
      </c>
      <c r="V32" s="2" t="str">
        <f t="shared" si="14"/>
        <v/>
      </c>
      <c r="W32" s="2" t="str">
        <f t="shared" si="15"/>
        <v/>
      </c>
      <c r="X32" s="2" t="str">
        <f t="shared" si="16"/>
        <v/>
      </c>
      <c r="Y32" s="2" t="str">
        <f t="shared" si="17"/>
        <v/>
      </c>
    </row>
    <row r="33" ht="18.75" customHeight="1">
      <c r="A33" s="2" t="str">
        <f>IF('Valuation inputs'!A24="","",'Valuation inputs'!A24)</f>
        <v/>
      </c>
      <c r="B33" s="2" t="str">
        <f>IF(A33="","",'Valuation inputs'!B24)</f>
        <v/>
      </c>
      <c r="C33" s="2" t="str">
        <f>IF(A33="","",'Valuation inputs'!D24)</f>
        <v/>
      </c>
      <c r="D33" s="29" t="str">
        <f>IF(A33="","",IF('Valuation inputs'!Y24&lt;&gt;1,"n.a.",IF(NOT(ISNUMBER('Valuation inputs'!F24)),"n.a.",IF('Valuation inputs'!F24&lt;=0,"NM",'Valuation inputs'!E24/'Valuation inputs'!F24))))</f>
        <v/>
      </c>
      <c r="E33" s="29" t="str">
        <f>IF(A33="","",IF(OR('Valuation inputs'!Y24&lt;&gt;1,NOT(ISNUMBER('Valuation inputs'!Z24)),NOT(ISNUMBER('Valuation inputs'!G24))),"n.a.",IF(OR('Valuation inputs'!Z24&lt;=0,'Valuation inputs'!G24&lt;=0),"NM",'Valuation inputs'!Z24/'Valuation inputs'!G24)))</f>
        <v/>
      </c>
      <c r="F33" s="34" t="str">
        <f>IF(A33="","",IF(OR('Valuation inputs'!Y24&lt;&gt;1,NOT(ISNUMBER('Valuation inputs'!AA24))),"n.a.",'Valuation inputs'!AA24/'Valuation inputs'!D24))</f>
        <v/>
      </c>
      <c r="G33" s="29" t="str">
        <f>IF(A33="","",IF(OR('Valuation inputs'!Y24&lt;&gt;1,NOT(ISNUMBER('Valuation inputs'!J24))),"n.a.",IF('Valuation inputs'!J24&lt;=0,"NM",'Valuation inputs'!D24/'Valuation inputs'!J24)))</f>
        <v/>
      </c>
      <c r="H33" s="49" t="str">
        <f t="shared" si="2"/>
        <v/>
      </c>
      <c r="I33" s="49" t="str">
        <f t="shared" si="3"/>
        <v/>
      </c>
      <c r="J33" s="49" t="str">
        <f t="shared" si="4"/>
        <v/>
      </c>
      <c r="K33" s="49" t="str">
        <f t="shared" si="5"/>
        <v/>
      </c>
      <c r="L33" s="49" t="str">
        <f t="shared" si="6"/>
        <v/>
      </c>
      <c r="M33" s="2" t="str">
        <f t="shared" si="7"/>
        <v/>
      </c>
      <c r="N33" s="34" t="str">
        <f t="shared" si="8"/>
        <v/>
      </c>
      <c r="O33" s="34" t="str">
        <f t="shared" si="9"/>
        <v/>
      </c>
      <c r="P33" s="34" t="str">
        <f t="shared" si="10"/>
        <v/>
      </c>
      <c r="Q33" s="34" t="str">
        <f t="shared" si="11"/>
        <v/>
      </c>
      <c r="R33" s="34" t="str">
        <f t="shared" si="12"/>
        <v/>
      </c>
      <c r="S33" s="2" t="str">
        <f>IF(A33="","",IF('Valuation inputs'!Y24&lt;&gt;1,'Valuation inputs'!AB24,IF(T33&lt;&gt;1,"Missing/NM required metric",IF($B$12&lt;&gt;"Ready",$B$12,"Ranked"))))</f>
        <v/>
      </c>
      <c r="T33" s="2" t="str">
        <f>IF(A33="","",IF(AND('Valuation inputs'!Y24=1,$B$4&lt;&gt;"Needs sector profile",COUNT($G$5:$G$8)=4,MIN($G$5:$G$8)&gt;=0,ABS($B$8-1)&lt;=0.000001,OR($G$5=0,ISNUMBER(D33)),OR($G$6=0,ISNUMBER(E33)),OR($G$7=0,ISNUMBER(F33)),OR($G$8=0,ISNUMBER(G33))),1,0))</f>
        <v/>
      </c>
      <c r="U33" s="2" t="str">
        <f t="shared" si="13"/>
        <v/>
      </c>
      <c r="V33" s="2" t="str">
        <f t="shared" si="14"/>
        <v/>
      </c>
      <c r="W33" s="2" t="str">
        <f t="shared" si="15"/>
        <v/>
      </c>
      <c r="X33" s="2" t="str">
        <f t="shared" si="16"/>
        <v/>
      </c>
      <c r="Y33" s="2" t="str">
        <f t="shared" si="17"/>
        <v/>
      </c>
    </row>
    <row r="34" ht="18.75" customHeight="1">
      <c r="A34" s="2" t="str">
        <f>IF('Valuation inputs'!A25="","",'Valuation inputs'!A25)</f>
        <v/>
      </c>
      <c r="B34" s="2" t="str">
        <f>IF(A34="","",'Valuation inputs'!B25)</f>
        <v/>
      </c>
      <c r="C34" s="2" t="str">
        <f>IF(A34="","",'Valuation inputs'!D25)</f>
        <v/>
      </c>
      <c r="D34" s="29" t="str">
        <f>IF(A34="","",IF('Valuation inputs'!Y25&lt;&gt;1,"n.a.",IF(NOT(ISNUMBER('Valuation inputs'!F25)),"n.a.",IF('Valuation inputs'!F25&lt;=0,"NM",'Valuation inputs'!E25/'Valuation inputs'!F25))))</f>
        <v/>
      </c>
      <c r="E34" s="29" t="str">
        <f>IF(A34="","",IF(OR('Valuation inputs'!Y25&lt;&gt;1,NOT(ISNUMBER('Valuation inputs'!Z25)),NOT(ISNUMBER('Valuation inputs'!G25))),"n.a.",IF(OR('Valuation inputs'!Z25&lt;=0,'Valuation inputs'!G25&lt;=0),"NM",'Valuation inputs'!Z25/'Valuation inputs'!G25)))</f>
        <v/>
      </c>
      <c r="F34" s="34" t="str">
        <f>IF(A34="","",IF(OR('Valuation inputs'!Y25&lt;&gt;1,NOT(ISNUMBER('Valuation inputs'!AA25))),"n.a.",'Valuation inputs'!AA25/'Valuation inputs'!D25))</f>
        <v/>
      </c>
      <c r="G34" s="29" t="str">
        <f>IF(A34="","",IF(OR('Valuation inputs'!Y25&lt;&gt;1,NOT(ISNUMBER('Valuation inputs'!J25))),"n.a.",IF('Valuation inputs'!J25&lt;=0,"NM",'Valuation inputs'!D25/'Valuation inputs'!J25)))</f>
        <v/>
      </c>
      <c r="H34" s="49" t="str">
        <f t="shared" si="2"/>
        <v/>
      </c>
      <c r="I34" s="49" t="str">
        <f t="shared" si="3"/>
        <v/>
      </c>
      <c r="J34" s="49" t="str">
        <f t="shared" si="4"/>
        <v/>
      </c>
      <c r="K34" s="49" t="str">
        <f t="shared" si="5"/>
        <v/>
      </c>
      <c r="L34" s="49" t="str">
        <f t="shared" si="6"/>
        <v/>
      </c>
      <c r="M34" s="2" t="str">
        <f t="shared" si="7"/>
        <v/>
      </c>
      <c r="N34" s="34" t="str">
        <f t="shared" si="8"/>
        <v/>
      </c>
      <c r="O34" s="34" t="str">
        <f t="shared" si="9"/>
        <v/>
      </c>
      <c r="P34" s="34" t="str">
        <f t="shared" si="10"/>
        <v/>
      </c>
      <c r="Q34" s="34" t="str">
        <f t="shared" si="11"/>
        <v/>
      </c>
      <c r="R34" s="34" t="str">
        <f t="shared" si="12"/>
        <v/>
      </c>
      <c r="S34" s="2" t="str">
        <f>IF(A34="","",IF('Valuation inputs'!Y25&lt;&gt;1,'Valuation inputs'!AB25,IF(T34&lt;&gt;1,"Missing/NM required metric",IF($B$12&lt;&gt;"Ready",$B$12,"Ranked"))))</f>
        <v/>
      </c>
      <c r="T34" s="2" t="str">
        <f>IF(A34="","",IF(AND('Valuation inputs'!Y25=1,$B$4&lt;&gt;"Needs sector profile",COUNT($G$5:$G$8)=4,MIN($G$5:$G$8)&gt;=0,ABS($B$8-1)&lt;=0.000001,OR($G$5=0,ISNUMBER(D34)),OR($G$6=0,ISNUMBER(E34)),OR($G$7=0,ISNUMBER(F34)),OR($G$8=0,ISNUMBER(G34))),1,0))</f>
        <v/>
      </c>
      <c r="U34" s="2" t="str">
        <f t="shared" si="13"/>
        <v/>
      </c>
      <c r="V34" s="2" t="str">
        <f t="shared" si="14"/>
        <v/>
      </c>
      <c r="W34" s="2" t="str">
        <f t="shared" si="15"/>
        <v/>
      </c>
      <c r="X34" s="2" t="str">
        <f t="shared" si="16"/>
        <v/>
      </c>
      <c r="Y34" s="2" t="str">
        <f t="shared" si="17"/>
        <v/>
      </c>
    </row>
    <row r="35" ht="18.75" customHeight="1">
      <c r="A35" s="2" t="str">
        <f>IF('Valuation inputs'!A26="","",'Valuation inputs'!A26)</f>
        <v/>
      </c>
      <c r="B35" s="2" t="str">
        <f>IF(A35="","",'Valuation inputs'!B26)</f>
        <v/>
      </c>
      <c r="C35" s="2" t="str">
        <f>IF(A35="","",'Valuation inputs'!D26)</f>
        <v/>
      </c>
      <c r="D35" s="29" t="str">
        <f>IF(A35="","",IF('Valuation inputs'!Y26&lt;&gt;1,"n.a.",IF(NOT(ISNUMBER('Valuation inputs'!F26)),"n.a.",IF('Valuation inputs'!F26&lt;=0,"NM",'Valuation inputs'!E26/'Valuation inputs'!F26))))</f>
        <v/>
      </c>
      <c r="E35" s="29" t="str">
        <f>IF(A35="","",IF(OR('Valuation inputs'!Y26&lt;&gt;1,NOT(ISNUMBER('Valuation inputs'!Z26)),NOT(ISNUMBER('Valuation inputs'!G26))),"n.a.",IF(OR('Valuation inputs'!Z26&lt;=0,'Valuation inputs'!G26&lt;=0),"NM",'Valuation inputs'!Z26/'Valuation inputs'!G26)))</f>
        <v/>
      </c>
      <c r="F35" s="34" t="str">
        <f>IF(A35="","",IF(OR('Valuation inputs'!Y26&lt;&gt;1,NOT(ISNUMBER('Valuation inputs'!AA26))),"n.a.",'Valuation inputs'!AA26/'Valuation inputs'!D26))</f>
        <v/>
      </c>
      <c r="G35" s="29" t="str">
        <f>IF(A35="","",IF(OR('Valuation inputs'!Y26&lt;&gt;1,NOT(ISNUMBER('Valuation inputs'!J26))),"n.a.",IF('Valuation inputs'!J26&lt;=0,"NM",'Valuation inputs'!D26/'Valuation inputs'!J26)))</f>
        <v/>
      </c>
      <c r="H35" s="49" t="str">
        <f t="shared" si="2"/>
        <v/>
      </c>
      <c r="I35" s="49" t="str">
        <f t="shared" si="3"/>
        <v/>
      </c>
      <c r="J35" s="49" t="str">
        <f t="shared" si="4"/>
        <v/>
      </c>
      <c r="K35" s="49" t="str">
        <f t="shared" si="5"/>
        <v/>
      </c>
      <c r="L35" s="49" t="str">
        <f t="shared" si="6"/>
        <v/>
      </c>
      <c r="M35" s="2" t="str">
        <f t="shared" si="7"/>
        <v/>
      </c>
      <c r="N35" s="34" t="str">
        <f t="shared" si="8"/>
        <v/>
      </c>
      <c r="O35" s="34" t="str">
        <f t="shared" si="9"/>
        <v/>
      </c>
      <c r="P35" s="34" t="str">
        <f t="shared" si="10"/>
        <v/>
      </c>
      <c r="Q35" s="34" t="str">
        <f t="shared" si="11"/>
        <v/>
      </c>
      <c r="R35" s="34" t="str">
        <f t="shared" si="12"/>
        <v/>
      </c>
      <c r="S35" s="2" t="str">
        <f>IF(A35="","",IF('Valuation inputs'!Y26&lt;&gt;1,'Valuation inputs'!AB26,IF(T35&lt;&gt;1,"Missing/NM required metric",IF($B$12&lt;&gt;"Ready",$B$12,"Ranked"))))</f>
        <v/>
      </c>
      <c r="T35" s="2" t="str">
        <f>IF(A35="","",IF(AND('Valuation inputs'!Y26=1,$B$4&lt;&gt;"Needs sector profile",COUNT($G$5:$G$8)=4,MIN($G$5:$G$8)&gt;=0,ABS($B$8-1)&lt;=0.000001,OR($G$5=0,ISNUMBER(D35)),OR($G$6=0,ISNUMBER(E35)),OR($G$7=0,ISNUMBER(F35)),OR($G$8=0,ISNUMBER(G35))),1,0))</f>
        <v/>
      </c>
      <c r="U35" s="2" t="str">
        <f t="shared" si="13"/>
        <v/>
      </c>
      <c r="V35" s="2" t="str">
        <f t="shared" si="14"/>
        <v/>
      </c>
      <c r="W35" s="2" t="str">
        <f t="shared" si="15"/>
        <v/>
      </c>
      <c r="X35" s="2" t="str">
        <f t="shared" si="16"/>
        <v/>
      </c>
      <c r="Y35" s="2" t="str">
        <f t="shared" si="17"/>
        <v/>
      </c>
    </row>
    <row r="36" ht="18.75" customHeight="1">
      <c r="A36" s="2" t="str">
        <f>IF('Valuation inputs'!A27="","",'Valuation inputs'!A27)</f>
        <v/>
      </c>
      <c r="B36" s="2" t="str">
        <f>IF(A36="","",'Valuation inputs'!B27)</f>
        <v/>
      </c>
      <c r="C36" s="2" t="str">
        <f>IF(A36="","",'Valuation inputs'!D27)</f>
        <v/>
      </c>
      <c r="D36" s="29" t="str">
        <f>IF(A36="","",IF('Valuation inputs'!Y27&lt;&gt;1,"n.a.",IF(NOT(ISNUMBER('Valuation inputs'!F27)),"n.a.",IF('Valuation inputs'!F27&lt;=0,"NM",'Valuation inputs'!E27/'Valuation inputs'!F27))))</f>
        <v/>
      </c>
      <c r="E36" s="29" t="str">
        <f>IF(A36="","",IF(OR('Valuation inputs'!Y27&lt;&gt;1,NOT(ISNUMBER('Valuation inputs'!Z27)),NOT(ISNUMBER('Valuation inputs'!G27))),"n.a.",IF(OR('Valuation inputs'!Z27&lt;=0,'Valuation inputs'!G27&lt;=0),"NM",'Valuation inputs'!Z27/'Valuation inputs'!G27)))</f>
        <v/>
      </c>
      <c r="F36" s="34" t="str">
        <f>IF(A36="","",IF(OR('Valuation inputs'!Y27&lt;&gt;1,NOT(ISNUMBER('Valuation inputs'!AA27))),"n.a.",'Valuation inputs'!AA27/'Valuation inputs'!D27))</f>
        <v/>
      </c>
      <c r="G36" s="29" t="str">
        <f>IF(A36="","",IF(OR('Valuation inputs'!Y27&lt;&gt;1,NOT(ISNUMBER('Valuation inputs'!J27))),"n.a.",IF('Valuation inputs'!J27&lt;=0,"NM",'Valuation inputs'!D27/'Valuation inputs'!J27)))</f>
        <v/>
      </c>
      <c r="H36" s="49" t="str">
        <f t="shared" si="2"/>
        <v/>
      </c>
      <c r="I36" s="49" t="str">
        <f t="shared" si="3"/>
        <v/>
      </c>
      <c r="J36" s="49" t="str">
        <f t="shared" si="4"/>
        <v/>
      </c>
      <c r="K36" s="49" t="str">
        <f t="shared" si="5"/>
        <v/>
      </c>
      <c r="L36" s="49" t="str">
        <f t="shared" si="6"/>
        <v/>
      </c>
      <c r="M36" s="2" t="str">
        <f t="shared" si="7"/>
        <v/>
      </c>
      <c r="N36" s="34" t="str">
        <f t="shared" si="8"/>
        <v/>
      </c>
      <c r="O36" s="34" t="str">
        <f t="shared" si="9"/>
        <v/>
      </c>
      <c r="P36" s="34" t="str">
        <f t="shared" si="10"/>
        <v/>
      </c>
      <c r="Q36" s="34" t="str">
        <f t="shared" si="11"/>
        <v/>
      </c>
      <c r="R36" s="34" t="str">
        <f t="shared" si="12"/>
        <v/>
      </c>
      <c r="S36" s="2" t="str">
        <f>IF(A36="","",IF('Valuation inputs'!Y27&lt;&gt;1,'Valuation inputs'!AB27,IF(T36&lt;&gt;1,"Missing/NM required metric",IF($B$12&lt;&gt;"Ready",$B$12,"Ranked"))))</f>
        <v/>
      </c>
      <c r="T36" s="2" t="str">
        <f>IF(A36="","",IF(AND('Valuation inputs'!Y27=1,$B$4&lt;&gt;"Needs sector profile",COUNT($G$5:$G$8)=4,MIN($G$5:$G$8)&gt;=0,ABS($B$8-1)&lt;=0.000001,OR($G$5=0,ISNUMBER(D36)),OR($G$6=0,ISNUMBER(E36)),OR($G$7=0,ISNUMBER(F36)),OR($G$8=0,ISNUMBER(G36))),1,0))</f>
        <v/>
      </c>
      <c r="U36" s="2" t="str">
        <f t="shared" si="13"/>
        <v/>
      </c>
      <c r="V36" s="2" t="str">
        <f t="shared" si="14"/>
        <v/>
      </c>
      <c r="W36" s="2" t="str">
        <f t="shared" si="15"/>
        <v/>
      </c>
      <c r="X36" s="2" t="str">
        <f t="shared" si="16"/>
        <v/>
      </c>
      <c r="Y36" s="2" t="str">
        <f t="shared" si="17"/>
        <v/>
      </c>
    </row>
    <row r="37" ht="18.75" customHeight="1">
      <c r="A37" s="2" t="str">
        <f>IF('Valuation inputs'!A28="","",'Valuation inputs'!A28)</f>
        <v/>
      </c>
      <c r="B37" s="2" t="str">
        <f>IF(A37="","",'Valuation inputs'!B28)</f>
        <v/>
      </c>
      <c r="C37" s="2" t="str">
        <f>IF(A37="","",'Valuation inputs'!D28)</f>
        <v/>
      </c>
      <c r="D37" s="29" t="str">
        <f>IF(A37="","",IF('Valuation inputs'!Y28&lt;&gt;1,"n.a.",IF(NOT(ISNUMBER('Valuation inputs'!F28)),"n.a.",IF('Valuation inputs'!F28&lt;=0,"NM",'Valuation inputs'!E28/'Valuation inputs'!F28))))</f>
        <v/>
      </c>
      <c r="E37" s="29" t="str">
        <f>IF(A37="","",IF(OR('Valuation inputs'!Y28&lt;&gt;1,NOT(ISNUMBER('Valuation inputs'!Z28)),NOT(ISNUMBER('Valuation inputs'!G28))),"n.a.",IF(OR('Valuation inputs'!Z28&lt;=0,'Valuation inputs'!G28&lt;=0),"NM",'Valuation inputs'!Z28/'Valuation inputs'!G28)))</f>
        <v/>
      </c>
      <c r="F37" s="34" t="str">
        <f>IF(A37="","",IF(OR('Valuation inputs'!Y28&lt;&gt;1,NOT(ISNUMBER('Valuation inputs'!AA28))),"n.a.",'Valuation inputs'!AA28/'Valuation inputs'!D28))</f>
        <v/>
      </c>
      <c r="G37" s="29" t="str">
        <f>IF(A37="","",IF(OR('Valuation inputs'!Y28&lt;&gt;1,NOT(ISNUMBER('Valuation inputs'!J28))),"n.a.",IF('Valuation inputs'!J28&lt;=0,"NM",'Valuation inputs'!D28/'Valuation inputs'!J28)))</f>
        <v/>
      </c>
      <c r="H37" s="49" t="str">
        <f t="shared" si="2"/>
        <v/>
      </c>
      <c r="I37" s="49" t="str">
        <f t="shared" si="3"/>
        <v/>
      </c>
      <c r="J37" s="49" t="str">
        <f t="shared" si="4"/>
        <v/>
      </c>
      <c r="K37" s="49" t="str">
        <f t="shared" si="5"/>
        <v/>
      </c>
      <c r="L37" s="49" t="str">
        <f t="shared" si="6"/>
        <v/>
      </c>
      <c r="M37" s="2" t="str">
        <f t="shared" si="7"/>
        <v/>
      </c>
      <c r="N37" s="34" t="str">
        <f t="shared" si="8"/>
        <v/>
      </c>
      <c r="O37" s="34" t="str">
        <f t="shared" si="9"/>
        <v/>
      </c>
      <c r="P37" s="34" t="str">
        <f t="shared" si="10"/>
        <v/>
      </c>
      <c r="Q37" s="34" t="str">
        <f t="shared" si="11"/>
        <v/>
      </c>
      <c r="R37" s="34" t="str">
        <f t="shared" si="12"/>
        <v/>
      </c>
      <c r="S37" s="2" t="str">
        <f>IF(A37="","",IF('Valuation inputs'!Y28&lt;&gt;1,'Valuation inputs'!AB28,IF(T37&lt;&gt;1,"Missing/NM required metric",IF($B$12&lt;&gt;"Ready",$B$12,"Ranked"))))</f>
        <v/>
      </c>
      <c r="T37" s="2" t="str">
        <f>IF(A37="","",IF(AND('Valuation inputs'!Y28=1,$B$4&lt;&gt;"Needs sector profile",COUNT($G$5:$G$8)=4,MIN($G$5:$G$8)&gt;=0,ABS($B$8-1)&lt;=0.000001,OR($G$5=0,ISNUMBER(D37)),OR($G$6=0,ISNUMBER(E37)),OR($G$7=0,ISNUMBER(F37)),OR($G$8=0,ISNUMBER(G37))),1,0))</f>
        <v/>
      </c>
      <c r="U37" s="2" t="str">
        <f t="shared" si="13"/>
        <v/>
      </c>
      <c r="V37" s="2" t="str">
        <f t="shared" si="14"/>
        <v/>
      </c>
      <c r="W37" s="2" t="str">
        <f t="shared" si="15"/>
        <v/>
      </c>
      <c r="X37" s="2" t="str">
        <f t="shared" si="16"/>
        <v/>
      </c>
      <c r="Y37" s="2" t="str">
        <f t="shared" si="17"/>
        <v/>
      </c>
    </row>
    <row r="38" ht="18.75" customHeight="1">
      <c r="A38" s="2" t="str">
        <f>IF('Valuation inputs'!A29="","",'Valuation inputs'!A29)</f>
        <v/>
      </c>
      <c r="B38" s="2" t="str">
        <f>IF(A38="","",'Valuation inputs'!B29)</f>
        <v/>
      </c>
      <c r="C38" s="2" t="str">
        <f>IF(A38="","",'Valuation inputs'!D29)</f>
        <v/>
      </c>
      <c r="D38" s="29" t="str">
        <f>IF(A38="","",IF('Valuation inputs'!Y29&lt;&gt;1,"n.a.",IF(NOT(ISNUMBER('Valuation inputs'!F29)),"n.a.",IF('Valuation inputs'!F29&lt;=0,"NM",'Valuation inputs'!E29/'Valuation inputs'!F29))))</f>
        <v/>
      </c>
      <c r="E38" s="29" t="str">
        <f>IF(A38="","",IF(OR('Valuation inputs'!Y29&lt;&gt;1,NOT(ISNUMBER('Valuation inputs'!Z29)),NOT(ISNUMBER('Valuation inputs'!G29))),"n.a.",IF(OR('Valuation inputs'!Z29&lt;=0,'Valuation inputs'!G29&lt;=0),"NM",'Valuation inputs'!Z29/'Valuation inputs'!G29)))</f>
        <v/>
      </c>
      <c r="F38" s="34" t="str">
        <f>IF(A38="","",IF(OR('Valuation inputs'!Y29&lt;&gt;1,NOT(ISNUMBER('Valuation inputs'!AA29))),"n.a.",'Valuation inputs'!AA29/'Valuation inputs'!D29))</f>
        <v/>
      </c>
      <c r="G38" s="29" t="str">
        <f>IF(A38="","",IF(OR('Valuation inputs'!Y29&lt;&gt;1,NOT(ISNUMBER('Valuation inputs'!J29))),"n.a.",IF('Valuation inputs'!J29&lt;=0,"NM",'Valuation inputs'!D29/'Valuation inputs'!J29)))</f>
        <v/>
      </c>
      <c r="H38" s="49" t="str">
        <f t="shared" si="2"/>
        <v/>
      </c>
      <c r="I38" s="49" t="str">
        <f t="shared" si="3"/>
        <v/>
      </c>
      <c r="J38" s="49" t="str">
        <f t="shared" si="4"/>
        <v/>
      </c>
      <c r="K38" s="49" t="str">
        <f t="shared" si="5"/>
        <v/>
      </c>
      <c r="L38" s="49" t="str">
        <f t="shared" si="6"/>
        <v/>
      </c>
      <c r="M38" s="2" t="str">
        <f t="shared" si="7"/>
        <v/>
      </c>
      <c r="N38" s="34" t="str">
        <f t="shared" si="8"/>
        <v/>
      </c>
      <c r="O38" s="34" t="str">
        <f t="shared" si="9"/>
        <v/>
      </c>
      <c r="P38" s="34" t="str">
        <f t="shared" si="10"/>
        <v/>
      </c>
      <c r="Q38" s="34" t="str">
        <f t="shared" si="11"/>
        <v/>
      </c>
      <c r="R38" s="34" t="str">
        <f t="shared" si="12"/>
        <v/>
      </c>
      <c r="S38" s="2" t="str">
        <f>IF(A38="","",IF('Valuation inputs'!Y29&lt;&gt;1,'Valuation inputs'!AB29,IF(T38&lt;&gt;1,"Missing/NM required metric",IF($B$12&lt;&gt;"Ready",$B$12,"Ranked"))))</f>
        <v/>
      </c>
      <c r="T38" s="2" t="str">
        <f>IF(A38="","",IF(AND('Valuation inputs'!Y29=1,$B$4&lt;&gt;"Needs sector profile",COUNT($G$5:$G$8)=4,MIN($G$5:$G$8)&gt;=0,ABS($B$8-1)&lt;=0.000001,OR($G$5=0,ISNUMBER(D38)),OR($G$6=0,ISNUMBER(E38)),OR($G$7=0,ISNUMBER(F38)),OR($G$8=0,ISNUMBER(G38))),1,0))</f>
        <v/>
      </c>
      <c r="U38" s="2" t="str">
        <f t="shared" si="13"/>
        <v/>
      </c>
      <c r="V38" s="2" t="str">
        <f t="shared" si="14"/>
        <v/>
      </c>
      <c r="W38" s="2" t="str">
        <f t="shared" si="15"/>
        <v/>
      </c>
      <c r="X38" s="2" t="str">
        <f t="shared" si="16"/>
        <v/>
      </c>
      <c r="Y38" s="2" t="str">
        <f t="shared" si="17"/>
        <v/>
      </c>
    </row>
    <row r="39" ht="18.75" customHeight="1">
      <c r="A39" s="2" t="str">
        <f>IF('Valuation inputs'!A30="","",'Valuation inputs'!A30)</f>
        <v/>
      </c>
      <c r="B39" s="2" t="str">
        <f>IF(A39="","",'Valuation inputs'!B30)</f>
        <v/>
      </c>
      <c r="C39" s="2" t="str">
        <f>IF(A39="","",'Valuation inputs'!D30)</f>
        <v/>
      </c>
      <c r="D39" s="29" t="str">
        <f>IF(A39="","",IF('Valuation inputs'!Y30&lt;&gt;1,"n.a.",IF(NOT(ISNUMBER('Valuation inputs'!F30)),"n.a.",IF('Valuation inputs'!F30&lt;=0,"NM",'Valuation inputs'!E30/'Valuation inputs'!F30))))</f>
        <v/>
      </c>
      <c r="E39" s="29" t="str">
        <f>IF(A39="","",IF(OR('Valuation inputs'!Y30&lt;&gt;1,NOT(ISNUMBER('Valuation inputs'!Z30)),NOT(ISNUMBER('Valuation inputs'!G30))),"n.a.",IF(OR('Valuation inputs'!Z30&lt;=0,'Valuation inputs'!G30&lt;=0),"NM",'Valuation inputs'!Z30/'Valuation inputs'!G30)))</f>
        <v/>
      </c>
      <c r="F39" s="34" t="str">
        <f>IF(A39="","",IF(OR('Valuation inputs'!Y30&lt;&gt;1,NOT(ISNUMBER('Valuation inputs'!AA30))),"n.a.",'Valuation inputs'!AA30/'Valuation inputs'!D30))</f>
        <v/>
      </c>
      <c r="G39" s="29" t="str">
        <f>IF(A39="","",IF(OR('Valuation inputs'!Y30&lt;&gt;1,NOT(ISNUMBER('Valuation inputs'!J30))),"n.a.",IF('Valuation inputs'!J30&lt;=0,"NM",'Valuation inputs'!D30/'Valuation inputs'!J30)))</f>
        <v/>
      </c>
      <c r="H39" s="49" t="str">
        <f t="shared" si="2"/>
        <v/>
      </c>
      <c r="I39" s="49" t="str">
        <f t="shared" si="3"/>
        <v/>
      </c>
      <c r="J39" s="49" t="str">
        <f t="shared" si="4"/>
        <v/>
      </c>
      <c r="K39" s="49" t="str">
        <f t="shared" si="5"/>
        <v/>
      </c>
      <c r="L39" s="49" t="str">
        <f t="shared" si="6"/>
        <v/>
      </c>
      <c r="M39" s="2" t="str">
        <f t="shared" si="7"/>
        <v/>
      </c>
      <c r="N39" s="34" t="str">
        <f t="shared" si="8"/>
        <v/>
      </c>
      <c r="O39" s="34" t="str">
        <f t="shared" si="9"/>
        <v/>
      </c>
      <c r="P39" s="34" t="str">
        <f t="shared" si="10"/>
        <v/>
      </c>
      <c r="Q39" s="34" t="str">
        <f t="shared" si="11"/>
        <v/>
      </c>
      <c r="R39" s="34" t="str">
        <f t="shared" si="12"/>
        <v/>
      </c>
      <c r="S39" s="2" t="str">
        <f>IF(A39="","",IF('Valuation inputs'!Y30&lt;&gt;1,'Valuation inputs'!AB30,IF(T39&lt;&gt;1,"Missing/NM required metric",IF($B$12&lt;&gt;"Ready",$B$12,"Ranked"))))</f>
        <v/>
      </c>
      <c r="T39" s="2" t="str">
        <f>IF(A39="","",IF(AND('Valuation inputs'!Y30=1,$B$4&lt;&gt;"Needs sector profile",COUNT($G$5:$G$8)=4,MIN($G$5:$G$8)&gt;=0,ABS($B$8-1)&lt;=0.000001,OR($G$5=0,ISNUMBER(D39)),OR($G$6=0,ISNUMBER(E39)),OR($G$7=0,ISNUMBER(F39)),OR($G$8=0,ISNUMBER(G39))),1,0))</f>
        <v/>
      </c>
      <c r="U39" s="2" t="str">
        <f t="shared" si="13"/>
        <v/>
      </c>
      <c r="V39" s="2" t="str">
        <f t="shared" si="14"/>
        <v/>
      </c>
      <c r="W39" s="2" t="str">
        <f t="shared" si="15"/>
        <v/>
      </c>
      <c r="X39" s="2" t="str">
        <f t="shared" si="16"/>
        <v/>
      </c>
      <c r="Y39" s="2" t="str">
        <f t="shared" si="17"/>
        <v/>
      </c>
    </row>
    <row r="40" ht="18.75" customHeight="1">
      <c r="A40" s="2" t="str">
        <f>IF('Valuation inputs'!A31="","",'Valuation inputs'!A31)</f>
        <v/>
      </c>
      <c r="B40" s="2" t="str">
        <f>IF(A40="","",'Valuation inputs'!B31)</f>
        <v/>
      </c>
      <c r="C40" s="2" t="str">
        <f>IF(A40="","",'Valuation inputs'!D31)</f>
        <v/>
      </c>
      <c r="D40" s="29" t="str">
        <f>IF(A40="","",IF('Valuation inputs'!Y31&lt;&gt;1,"n.a.",IF(NOT(ISNUMBER('Valuation inputs'!F31)),"n.a.",IF('Valuation inputs'!F31&lt;=0,"NM",'Valuation inputs'!E31/'Valuation inputs'!F31))))</f>
        <v/>
      </c>
      <c r="E40" s="29" t="str">
        <f>IF(A40="","",IF(OR('Valuation inputs'!Y31&lt;&gt;1,NOT(ISNUMBER('Valuation inputs'!Z31)),NOT(ISNUMBER('Valuation inputs'!G31))),"n.a.",IF(OR('Valuation inputs'!Z31&lt;=0,'Valuation inputs'!G31&lt;=0),"NM",'Valuation inputs'!Z31/'Valuation inputs'!G31)))</f>
        <v/>
      </c>
      <c r="F40" s="34" t="str">
        <f>IF(A40="","",IF(OR('Valuation inputs'!Y31&lt;&gt;1,NOT(ISNUMBER('Valuation inputs'!AA31))),"n.a.",'Valuation inputs'!AA31/'Valuation inputs'!D31))</f>
        <v/>
      </c>
      <c r="G40" s="29" t="str">
        <f>IF(A40="","",IF(OR('Valuation inputs'!Y31&lt;&gt;1,NOT(ISNUMBER('Valuation inputs'!J31))),"n.a.",IF('Valuation inputs'!J31&lt;=0,"NM",'Valuation inputs'!D31/'Valuation inputs'!J31)))</f>
        <v/>
      </c>
      <c r="H40" s="49" t="str">
        <f t="shared" si="2"/>
        <v/>
      </c>
      <c r="I40" s="49" t="str">
        <f t="shared" si="3"/>
        <v/>
      </c>
      <c r="J40" s="49" t="str">
        <f t="shared" si="4"/>
        <v/>
      </c>
      <c r="K40" s="49" t="str">
        <f t="shared" si="5"/>
        <v/>
      </c>
      <c r="L40" s="49" t="str">
        <f t="shared" si="6"/>
        <v/>
      </c>
      <c r="M40" s="2" t="str">
        <f t="shared" si="7"/>
        <v/>
      </c>
      <c r="N40" s="34" t="str">
        <f t="shared" si="8"/>
        <v/>
      </c>
      <c r="O40" s="34" t="str">
        <f t="shared" si="9"/>
        <v/>
      </c>
      <c r="P40" s="34" t="str">
        <f t="shared" si="10"/>
        <v/>
      </c>
      <c r="Q40" s="34" t="str">
        <f t="shared" si="11"/>
        <v/>
      </c>
      <c r="R40" s="34" t="str">
        <f t="shared" si="12"/>
        <v/>
      </c>
      <c r="S40" s="2" t="str">
        <f>IF(A40="","",IF('Valuation inputs'!Y31&lt;&gt;1,'Valuation inputs'!AB31,IF(T40&lt;&gt;1,"Missing/NM required metric",IF($B$12&lt;&gt;"Ready",$B$12,"Ranked"))))</f>
        <v/>
      </c>
      <c r="T40" s="2" t="str">
        <f>IF(A40="","",IF(AND('Valuation inputs'!Y31=1,$B$4&lt;&gt;"Needs sector profile",COUNT($G$5:$G$8)=4,MIN($G$5:$G$8)&gt;=0,ABS($B$8-1)&lt;=0.000001,OR($G$5=0,ISNUMBER(D40)),OR($G$6=0,ISNUMBER(E40)),OR($G$7=0,ISNUMBER(F40)),OR($G$8=0,ISNUMBER(G40))),1,0))</f>
        <v/>
      </c>
      <c r="U40" s="2" t="str">
        <f t="shared" si="13"/>
        <v/>
      </c>
      <c r="V40" s="2" t="str">
        <f t="shared" si="14"/>
        <v/>
      </c>
      <c r="W40" s="2" t="str">
        <f t="shared" si="15"/>
        <v/>
      </c>
      <c r="X40" s="2" t="str">
        <f t="shared" si="16"/>
        <v/>
      </c>
      <c r="Y40" s="2" t="str">
        <f t="shared" si="17"/>
        <v/>
      </c>
    </row>
    <row r="41" ht="18.75" customHeight="1">
      <c r="A41" s="2" t="str">
        <f>IF('Valuation inputs'!A32="","",'Valuation inputs'!A32)</f>
        <v/>
      </c>
      <c r="B41" s="2" t="str">
        <f>IF(A41="","",'Valuation inputs'!B32)</f>
        <v/>
      </c>
      <c r="C41" s="2" t="str">
        <f>IF(A41="","",'Valuation inputs'!D32)</f>
        <v/>
      </c>
      <c r="D41" s="29" t="str">
        <f>IF(A41="","",IF('Valuation inputs'!Y32&lt;&gt;1,"n.a.",IF(NOT(ISNUMBER('Valuation inputs'!F32)),"n.a.",IF('Valuation inputs'!F32&lt;=0,"NM",'Valuation inputs'!E32/'Valuation inputs'!F32))))</f>
        <v/>
      </c>
      <c r="E41" s="29" t="str">
        <f>IF(A41="","",IF(OR('Valuation inputs'!Y32&lt;&gt;1,NOT(ISNUMBER('Valuation inputs'!Z32)),NOT(ISNUMBER('Valuation inputs'!G32))),"n.a.",IF(OR('Valuation inputs'!Z32&lt;=0,'Valuation inputs'!G32&lt;=0),"NM",'Valuation inputs'!Z32/'Valuation inputs'!G32)))</f>
        <v/>
      </c>
      <c r="F41" s="34" t="str">
        <f>IF(A41="","",IF(OR('Valuation inputs'!Y32&lt;&gt;1,NOT(ISNUMBER('Valuation inputs'!AA32))),"n.a.",'Valuation inputs'!AA32/'Valuation inputs'!D32))</f>
        <v/>
      </c>
      <c r="G41" s="29" t="str">
        <f>IF(A41="","",IF(OR('Valuation inputs'!Y32&lt;&gt;1,NOT(ISNUMBER('Valuation inputs'!J32))),"n.a.",IF('Valuation inputs'!J32&lt;=0,"NM",'Valuation inputs'!D32/'Valuation inputs'!J32)))</f>
        <v/>
      </c>
      <c r="H41" s="49" t="str">
        <f t="shared" si="2"/>
        <v/>
      </c>
      <c r="I41" s="49" t="str">
        <f t="shared" si="3"/>
        <v/>
      </c>
      <c r="J41" s="49" t="str">
        <f t="shared" si="4"/>
        <v/>
      </c>
      <c r="K41" s="49" t="str">
        <f t="shared" si="5"/>
        <v/>
      </c>
      <c r="L41" s="49" t="str">
        <f t="shared" si="6"/>
        <v/>
      </c>
      <c r="M41" s="2" t="str">
        <f t="shared" si="7"/>
        <v/>
      </c>
      <c r="N41" s="34" t="str">
        <f t="shared" si="8"/>
        <v/>
      </c>
      <c r="O41" s="34" t="str">
        <f t="shared" si="9"/>
        <v/>
      </c>
      <c r="P41" s="34" t="str">
        <f t="shared" si="10"/>
        <v/>
      </c>
      <c r="Q41" s="34" t="str">
        <f t="shared" si="11"/>
        <v/>
      </c>
      <c r="R41" s="34" t="str">
        <f t="shared" si="12"/>
        <v/>
      </c>
      <c r="S41" s="2" t="str">
        <f>IF(A41="","",IF('Valuation inputs'!Y32&lt;&gt;1,'Valuation inputs'!AB32,IF(T41&lt;&gt;1,"Missing/NM required metric",IF($B$12&lt;&gt;"Ready",$B$12,"Ranked"))))</f>
        <v/>
      </c>
      <c r="T41" s="2" t="str">
        <f>IF(A41="","",IF(AND('Valuation inputs'!Y32=1,$B$4&lt;&gt;"Needs sector profile",COUNT($G$5:$G$8)=4,MIN($G$5:$G$8)&gt;=0,ABS($B$8-1)&lt;=0.000001,OR($G$5=0,ISNUMBER(D41)),OR($G$6=0,ISNUMBER(E41)),OR($G$7=0,ISNUMBER(F41)),OR($G$8=0,ISNUMBER(G41))),1,0))</f>
        <v/>
      </c>
      <c r="U41" s="2" t="str">
        <f t="shared" si="13"/>
        <v/>
      </c>
      <c r="V41" s="2" t="str">
        <f t="shared" si="14"/>
        <v/>
      </c>
      <c r="W41" s="2" t="str">
        <f t="shared" si="15"/>
        <v/>
      </c>
      <c r="X41" s="2" t="str">
        <f t="shared" si="16"/>
        <v/>
      </c>
      <c r="Y41" s="2" t="str">
        <f t="shared" si="17"/>
        <v/>
      </c>
    </row>
    <row r="42" ht="18.75" customHeight="1">
      <c r="A42" s="2" t="str">
        <f>IF('Valuation inputs'!A33="","",'Valuation inputs'!A33)</f>
        <v/>
      </c>
      <c r="B42" s="2" t="str">
        <f>IF(A42="","",'Valuation inputs'!B33)</f>
        <v/>
      </c>
      <c r="C42" s="2" t="str">
        <f>IF(A42="","",'Valuation inputs'!D33)</f>
        <v/>
      </c>
      <c r="D42" s="29" t="str">
        <f>IF(A42="","",IF('Valuation inputs'!Y33&lt;&gt;1,"n.a.",IF(NOT(ISNUMBER('Valuation inputs'!F33)),"n.a.",IF('Valuation inputs'!F33&lt;=0,"NM",'Valuation inputs'!E33/'Valuation inputs'!F33))))</f>
        <v/>
      </c>
      <c r="E42" s="29" t="str">
        <f>IF(A42="","",IF(OR('Valuation inputs'!Y33&lt;&gt;1,NOT(ISNUMBER('Valuation inputs'!Z33)),NOT(ISNUMBER('Valuation inputs'!G33))),"n.a.",IF(OR('Valuation inputs'!Z33&lt;=0,'Valuation inputs'!G33&lt;=0),"NM",'Valuation inputs'!Z33/'Valuation inputs'!G33)))</f>
        <v/>
      </c>
      <c r="F42" s="34" t="str">
        <f>IF(A42="","",IF(OR('Valuation inputs'!Y33&lt;&gt;1,NOT(ISNUMBER('Valuation inputs'!AA33))),"n.a.",'Valuation inputs'!AA33/'Valuation inputs'!D33))</f>
        <v/>
      </c>
      <c r="G42" s="29" t="str">
        <f>IF(A42="","",IF(OR('Valuation inputs'!Y33&lt;&gt;1,NOT(ISNUMBER('Valuation inputs'!J33))),"n.a.",IF('Valuation inputs'!J33&lt;=0,"NM",'Valuation inputs'!D33/'Valuation inputs'!J33)))</f>
        <v/>
      </c>
      <c r="H42" s="49" t="str">
        <f t="shared" si="2"/>
        <v/>
      </c>
      <c r="I42" s="49" t="str">
        <f t="shared" si="3"/>
        <v/>
      </c>
      <c r="J42" s="49" t="str">
        <f t="shared" si="4"/>
        <v/>
      </c>
      <c r="K42" s="49" t="str">
        <f t="shared" si="5"/>
        <v/>
      </c>
      <c r="L42" s="49" t="str">
        <f t="shared" si="6"/>
        <v/>
      </c>
      <c r="M42" s="2" t="str">
        <f t="shared" si="7"/>
        <v/>
      </c>
      <c r="N42" s="34" t="str">
        <f t="shared" si="8"/>
        <v/>
      </c>
      <c r="O42" s="34" t="str">
        <f t="shared" si="9"/>
        <v/>
      </c>
      <c r="P42" s="34" t="str">
        <f t="shared" si="10"/>
        <v/>
      </c>
      <c r="Q42" s="34" t="str">
        <f t="shared" si="11"/>
        <v/>
      </c>
      <c r="R42" s="34" t="str">
        <f t="shared" si="12"/>
        <v/>
      </c>
      <c r="S42" s="2" t="str">
        <f>IF(A42="","",IF('Valuation inputs'!Y33&lt;&gt;1,'Valuation inputs'!AB33,IF(T42&lt;&gt;1,"Missing/NM required metric",IF($B$12&lt;&gt;"Ready",$B$12,"Ranked"))))</f>
        <v/>
      </c>
      <c r="T42" s="2" t="str">
        <f>IF(A42="","",IF(AND('Valuation inputs'!Y33=1,$B$4&lt;&gt;"Needs sector profile",COUNT($G$5:$G$8)=4,MIN($G$5:$G$8)&gt;=0,ABS($B$8-1)&lt;=0.000001,OR($G$5=0,ISNUMBER(D42)),OR($G$6=0,ISNUMBER(E42)),OR($G$7=0,ISNUMBER(F42)),OR($G$8=0,ISNUMBER(G42))),1,0))</f>
        <v/>
      </c>
      <c r="U42" s="2" t="str">
        <f t="shared" si="13"/>
        <v/>
      </c>
      <c r="V42" s="2" t="str">
        <f t="shared" si="14"/>
        <v/>
      </c>
      <c r="W42" s="2" t="str">
        <f t="shared" si="15"/>
        <v/>
      </c>
      <c r="X42" s="2" t="str">
        <f t="shared" si="16"/>
        <v/>
      </c>
      <c r="Y42" s="2" t="str">
        <f t="shared" si="17"/>
        <v/>
      </c>
    </row>
    <row r="43" ht="18.75" customHeight="1">
      <c r="A43" s="2" t="str">
        <f>IF('Valuation inputs'!A34="","",'Valuation inputs'!A34)</f>
        <v/>
      </c>
      <c r="B43" s="2" t="str">
        <f>IF(A43="","",'Valuation inputs'!B34)</f>
        <v/>
      </c>
      <c r="C43" s="2" t="str">
        <f>IF(A43="","",'Valuation inputs'!D34)</f>
        <v/>
      </c>
      <c r="D43" s="29" t="str">
        <f>IF(A43="","",IF('Valuation inputs'!Y34&lt;&gt;1,"n.a.",IF(NOT(ISNUMBER('Valuation inputs'!F34)),"n.a.",IF('Valuation inputs'!F34&lt;=0,"NM",'Valuation inputs'!E34/'Valuation inputs'!F34))))</f>
        <v/>
      </c>
      <c r="E43" s="29" t="str">
        <f>IF(A43="","",IF(OR('Valuation inputs'!Y34&lt;&gt;1,NOT(ISNUMBER('Valuation inputs'!Z34)),NOT(ISNUMBER('Valuation inputs'!G34))),"n.a.",IF(OR('Valuation inputs'!Z34&lt;=0,'Valuation inputs'!G34&lt;=0),"NM",'Valuation inputs'!Z34/'Valuation inputs'!G34)))</f>
        <v/>
      </c>
      <c r="F43" s="34" t="str">
        <f>IF(A43="","",IF(OR('Valuation inputs'!Y34&lt;&gt;1,NOT(ISNUMBER('Valuation inputs'!AA34))),"n.a.",'Valuation inputs'!AA34/'Valuation inputs'!D34))</f>
        <v/>
      </c>
      <c r="G43" s="29" t="str">
        <f>IF(A43="","",IF(OR('Valuation inputs'!Y34&lt;&gt;1,NOT(ISNUMBER('Valuation inputs'!J34))),"n.a.",IF('Valuation inputs'!J34&lt;=0,"NM",'Valuation inputs'!D34/'Valuation inputs'!J34)))</f>
        <v/>
      </c>
      <c r="H43" s="49" t="str">
        <f t="shared" si="2"/>
        <v/>
      </c>
      <c r="I43" s="49" t="str">
        <f t="shared" si="3"/>
        <v/>
      </c>
      <c r="J43" s="49" t="str">
        <f t="shared" si="4"/>
        <v/>
      </c>
      <c r="K43" s="49" t="str">
        <f t="shared" si="5"/>
        <v/>
      </c>
      <c r="L43" s="49" t="str">
        <f t="shared" si="6"/>
        <v/>
      </c>
      <c r="M43" s="2" t="str">
        <f t="shared" si="7"/>
        <v/>
      </c>
      <c r="N43" s="34" t="str">
        <f t="shared" si="8"/>
        <v/>
      </c>
      <c r="O43" s="34" t="str">
        <f t="shared" si="9"/>
        <v/>
      </c>
      <c r="P43" s="34" t="str">
        <f t="shared" si="10"/>
        <v/>
      </c>
      <c r="Q43" s="34" t="str">
        <f t="shared" si="11"/>
        <v/>
      </c>
      <c r="R43" s="34" t="str">
        <f t="shared" si="12"/>
        <v/>
      </c>
      <c r="S43" s="2" t="str">
        <f>IF(A43="","",IF('Valuation inputs'!Y34&lt;&gt;1,'Valuation inputs'!AB34,IF(T43&lt;&gt;1,"Missing/NM required metric",IF($B$12&lt;&gt;"Ready",$B$12,"Ranked"))))</f>
        <v/>
      </c>
      <c r="T43" s="2" t="str">
        <f>IF(A43="","",IF(AND('Valuation inputs'!Y34=1,$B$4&lt;&gt;"Needs sector profile",COUNT($G$5:$G$8)=4,MIN($G$5:$G$8)&gt;=0,ABS($B$8-1)&lt;=0.000001,OR($G$5=0,ISNUMBER(D43)),OR($G$6=0,ISNUMBER(E43)),OR($G$7=0,ISNUMBER(F43)),OR($G$8=0,ISNUMBER(G43))),1,0))</f>
        <v/>
      </c>
      <c r="U43" s="2" t="str">
        <f t="shared" si="13"/>
        <v/>
      </c>
      <c r="V43" s="2" t="str">
        <f t="shared" si="14"/>
        <v/>
      </c>
      <c r="W43" s="2" t="str">
        <f t="shared" si="15"/>
        <v/>
      </c>
      <c r="X43" s="2" t="str">
        <f t="shared" si="16"/>
        <v/>
      </c>
      <c r="Y43" s="2" t="str">
        <f t="shared" si="17"/>
        <v/>
      </c>
    </row>
    <row r="44" ht="18.75" customHeight="1">
      <c r="A44" s="2" t="str">
        <f>IF('Valuation inputs'!A35="","",'Valuation inputs'!A35)</f>
        <v/>
      </c>
      <c r="B44" s="2" t="str">
        <f>IF(A44="","",'Valuation inputs'!B35)</f>
        <v/>
      </c>
      <c r="C44" s="2" t="str">
        <f>IF(A44="","",'Valuation inputs'!D35)</f>
        <v/>
      </c>
      <c r="D44" s="29" t="str">
        <f>IF(A44="","",IF('Valuation inputs'!Y35&lt;&gt;1,"n.a.",IF(NOT(ISNUMBER('Valuation inputs'!F35)),"n.a.",IF('Valuation inputs'!F35&lt;=0,"NM",'Valuation inputs'!E35/'Valuation inputs'!F35))))</f>
        <v/>
      </c>
      <c r="E44" s="29" t="str">
        <f>IF(A44="","",IF(OR('Valuation inputs'!Y35&lt;&gt;1,NOT(ISNUMBER('Valuation inputs'!Z35)),NOT(ISNUMBER('Valuation inputs'!G35))),"n.a.",IF(OR('Valuation inputs'!Z35&lt;=0,'Valuation inputs'!G35&lt;=0),"NM",'Valuation inputs'!Z35/'Valuation inputs'!G35)))</f>
        <v/>
      </c>
      <c r="F44" s="34" t="str">
        <f>IF(A44="","",IF(OR('Valuation inputs'!Y35&lt;&gt;1,NOT(ISNUMBER('Valuation inputs'!AA35))),"n.a.",'Valuation inputs'!AA35/'Valuation inputs'!D35))</f>
        <v/>
      </c>
      <c r="G44" s="29" t="str">
        <f>IF(A44="","",IF(OR('Valuation inputs'!Y35&lt;&gt;1,NOT(ISNUMBER('Valuation inputs'!J35))),"n.a.",IF('Valuation inputs'!J35&lt;=0,"NM",'Valuation inputs'!D35/'Valuation inputs'!J35)))</f>
        <v/>
      </c>
      <c r="H44" s="49" t="str">
        <f t="shared" si="2"/>
        <v/>
      </c>
      <c r="I44" s="49" t="str">
        <f t="shared" si="3"/>
        <v/>
      </c>
      <c r="J44" s="49" t="str">
        <f t="shared" si="4"/>
        <v/>
      </c>
      <c r="K44" s="49" t="str">
        <f t="shared" si="5"/>
        <v/>
      </c>
      <c r="L44" s="49" t="str">
        <f t="shared" si="6"/>
        <v/>
      </c>
      <c r="M44" s="2" t="str">
        <f t="shared" si="7"/>
        <v/>
      </c>
      <c r="N44" s="34" t="str">
        <f t="shared" si="8"/>
        <v/>
      </c>
      <c r="O44" s="34" t="str">
        <f t="shared" si="9"/>
        <v/>
      </c>
      <c r="P44" s="34" t="str">
        <f t="shared" si="10"/>
        <v/>
      </c>
      <c r="Q44" s="34" t="str">
        <f t="shared" si="11"/>
        <v/>
      </c>
      <c r="R44" s="34" t="str">
        <f t="shared" si="12"/>
        <v/>
      </c>
      <c r="S44" s="2" t="str">
        <f>IF(A44="","",IF('Valuation inputs'!Y35&lt;&gt;1,'Valuation inputs'!AB35,IF(T44&lt;&gt;1,"Missing/NM required metric",IF($B$12&lt;&gt;"Ready",$B$12,"Ranked"))))</f>
        <v/>
      </c>
      <c r="T44" s="2" t="str">
        <f>IF(A44="","",IF(AND('Valuation inputs'!Y35=1,$B$4&lt;&gt;"Needs sector profile",COUNT($G$5:$G$8)=4,MIN($G$5:$G$8)&gt;=0,ABS($B$8-1)&lt;=0.000001,OR($G$5=0,ISNUMBER(D44)),OR($G$6=0,ISNUMBER(E44)),OR($G$7=0,ISNUMBER(F44)),OR($G$8=0,ISNUMBER(G44))),1,0))</f>
        <v/>
      </c>
      <c r="U44" s="2" t="str">
        <f t="shared" si="13"/>
        <v/>
      </c>
      <c r="V44" s="2" t="str">
        <f t="shared" si="14"/>
        <v/>
      </c>
      <c r="W44" s="2" t="str">
        <f t="shared" si="15"/>
        <v/>
      </c>
      <c r="X44" s="2" t="str">
        <f t="shared" si="16"/>
        <v/>
      </c>
      <c r="Y44" s="2" t="str">
        <f t="shared" si="17"/>
        <v/>
      </c>
    </row>
    <row r="45" ht="18.75" customHeight="1">
      <c r="A45" s="2" t="str">
        <f>IF('Valuation inputs'!A36="","",'Valuation inputs'!A36)</f>
        <v/>
      </c>
      <c r="B45" s="2" t="str">
        <f>IF(A45="","",'Valuation inputs'!B36)</f>
        <v/>
      </c>
      <c r="C45" s="2" t="str">
        <f>IF(A45="","",'Valuation inputs'!D36)</f>
        <v/>
      </c>
      <c r="D45" s="29" t="str">
        <f>IF(A45="","",IF('Valuation inputs'!Y36&lt;&gt;1,"n.a.",IF(NOT(ISNUMBER('Valuation inputs'!F36)),"n.a.",IF('Valuation inputs'!F36&lt;=0,"NM",'Valuation inputs'!E36/'Valuation inputs'!F36))))</f>
        <v/>
      </c>
      <c r="E45" s="29" t="str">
        <f>IF(A45="","",IF(OR('Valuation inputs'!Y36&lt;&gt;1,NOT(ISNUMBER('Valuation inputs'!Z36)),NOT(ISNUMBER('Valuation inputs'!G36))),"n.a.",IF(OR('Valuation inputs'!Z36&lt;=0,'Valuation inputs'!G36&lt;=0),"NM",'Valuation inputs'!Z36/'Valuation inputs'!G36)))</f>
        <v/>
      </c>
      <c r="F45" s="34" t="str">
        <f>IF(A45="","",IF(OR('Valuation inputs'!Y36&lt;&gt;1,NOT(ISNUMBER('Valuation inputs'!AA36))),"n.a.",'Valuation inputs'!AA36/'Valuation inputs'!D36))</f>
        <v/>
      </c>
      <c r="G45" s="29" t="str">
        <f>IF(A45="","",IF(OR('Valuation inputs'!Y36&lt;&gt;1,NOT(ISNUMBER('Valuation inputs'!J36))),"n.a.",IF('Valuation inputs'!J36&lt;=0,"NM",'Valuation inputs'!D36/'Valuation inputs'!J36)))</f>
        <v/>
      </c>
      <c r="H45" s="49" t="str">
        <f t="shared" si="2"/>
        <v/>
      </c>
      <c r="I45" s="49" t="str">
        <f t="shared" si="3"/>
        <v/>
      </c>
      <c r="J45" s="49" t="str">
        <f t="shared" si="4"/>
        <v/>
      </c>
      <c r="K45" s="49" t="str">
        <f t="shared" si="5"/>
        <v/>
      </c>
      <c r="L45" s="49" t="str">
        <f t="shared" si="6"/>
        <v/>
      </c>
      <c r="M45" s="2" t="str">
        <f t="shared" si="7"/>
        <v/>
      </c>
      <c r="N45" s="34" t="str">
        <f t="shared" si="8"/>
        <v/>
      </c>
      <c r="O45" s="34" t="str">
        <f t="shared" si="9"/>
        <v/>
      </c>
      <c r="P45" s="34" t="str">
        <f t="shared" si="10"/>
        <v/>
      </c>
      <c r="Q45" s="34" t="str">
        <f t="shared" si="11"/>
        <v/>
      </c>
      <c r="R45" s="34" t="str">
        <f t="shared" si="12"/>
        <v/>
      </c>
      <c r="S45" s="2" t="str">
        <f>IF(A45="","",IF('Valuation inputs'!Y36&lt;&gt;1,'Valuation inputs'!AB36,IF(T45&lt;&gt;1,"Missing/NM required metric",IF($B$12&lt;&gt;"Ready",$B$12,"Ranked"))))</f>
        <v/>
      </c>
      <c r="T45" s="2" t="str">
        <f>IF(A45="","",IF(AND('Valuation inputs'!Y36=1,$B$4&lt;&gt;"Needs sector profile",COUNT($G$5:$G$8)=4,MIN($G$5:$G$8)&gt;=0,ABS($B$8-1)&lt;=0.000001,OR($G$5=0,ISNUMBER(D45)),OR($G$6=0,ISNUMBER(E45)),OR($G$7=0,ISNUMBER(F45)),OR($G$8=0,ISNUMBER(G45))),1,0))</f>
        <v/>
      </c>
      <c r="U45" s="2" t="str">
        <f t="shared" si="13"/>
        <v/>
      </c>
      <c r="V45" s="2" t="str">
        <f t="shared" si="14"/>
        <v/>
      </c>
      <c r="W45" s="2" t="str">
        <f t="shared" si="15"/>
        <v/>
      </c>
      <c r="X45" s="2" t="str">
        <f t="shared" si="16"/>
        <v/>
      </c>
      <c r="Y45" s="2" t="str">
        <f t="shared" si="17"/>
        <v/>
      </c>
    </row>
    <row r="46" ht="18.75" customHeight="1">
      <c r="A46" s="2" t="str">
        <f>IF('Valuation inputs'!A37="","",'Valuation inputs'!A37)</f>
        <v/>
      </c>
      <c r="B46" s="2" t="str">
        <f>IF(A46="","",'Valuation inputs'!B37)</f>
        <v/>
      </c>
      <c r="C46" s="2" t="str">
        <f>IF(A46="","",'Valuation inputs'!D37)</f>
        <v/>
      </c>
      <c r="D46" s="29" t="str">
        <f>IF(A46="","",IF('Valuation inputs'!Y37&lt;&gt;1,"n.a.",IF(NOT(ISNUMBER('Valuation inputs'!F37)),"n.a.",IF('Valuation inputs'!F37&lt;=0,"NM",'Valuation inputs'!E37/'Valuation inputs'!F37))))</f>
        <v/>
      </c>
      <c r="E46" s="29" t="str">
        <f>IF(A46="","",IF(OR('Valuation inputs'!Y37&lt;&gt;1,NOT(ISNUMBER('Valuation inputs'!Z37)),NOT(ISNUMBER('Valuation inputs'!G37))),"n.a.",IF(OR('Valuation inputs'!Z37&lt;=0,'Valuation inputs'!G37&lt;=0),"NM",'Valuation inputs'!Z37/'Valuation inputs'!G37)))</f>
        <v/>
      </c>
      <c r="F46" s="34" t="str">
        <f>IF(A46="","",IF(OR('Valuation inputs'!Y37&lt;&gt;1,NOT(ISNUMBER('Valuation inputs'!AA37))),"n.a.",'Valuation inputs'!AA37/'Valuation inputs'!D37))</f>
        <v/>
      </c>
      <c r="G46" s="29" t="str">
        <f>IF(A46="","",IF(OR('Valuation inputs'!Y37&lt;&gt;1,NOT(ISNUMBER('Valuation inputs'!J37))),"n.a.",IF('Valuation inputs'!J37&lt;=0,"NM",'Valuation inputs'!D37/'Valuation inputs'!J37)))</f>
        <v/>
      </c>
      <c r="H46" s="49" t="str">
        <f t="shared" si="2"/>
        <v/>
      </c>
      <c r="I46" s="49" t="str">
        <f t="shared" si="3"/>
        <v/>
      </c>
      <c r="J46" s="49" t="str">
        <f t="shared" si="4"/>
        <v/>
      </c>
      <c r="K46" s="49" t="str">
        <f t="shared" si="5"/>
        <v/>
      </c>
      <c r="L46" s="49" t="str">
        <f t="shared" si="6"/>
        <v/>
      </c>
      <c r="M46" s="2" t="str">
        <f t="shared" si="7"/>
        <v/>
      </c>
      <c r="N46" s="34" t="str">
        <f t="shared" si="8"/>
        <v/>
      </c>
      <c r="O46" s="34" t="str">
        <f t="shared" si="9"/>
        <v/>
      </c>
      <c r="P46" s="34" t="str">
        <f t="shared" si="10"/>
        <v/>
      </c>
      <c r="Q46" s="34" t="str">
        <f t="shared" si="11"/>
        <v/>
      </c>
      <c r="R46" s="34" t="str">
        <f t="shared" si="12"/>
        <v/>
      </c>
      <c r="S46" s="2" t="str">
        <f>IF(A46="","",IF('Valuation inputs'!Y37&lt;&gt;1,'Valuation inputs'!AB37,IF(T46&lt;&gt;1,"Missing/NM required metric",IF($B$12&lt;&gt;"Ready",$B$12,"Ranked"))))</f>
        <v/>
      </c>
      <c r="T46" s="2" t="str">
        <f>IF(A46="","",IF(AND('Valuation inputs'!Y37=1,$B$4&lt;&gt;"Needs sector profile",COUNT($G$5:$G$8)=4,MIN($G$5:$G$8)&gt;=0,ABS($B$8-1)&lt;=0.000001,OR($G$5=0,ISNUMBER(D46)),OR($G$6=0,ISNUMBER(E46)),OR($G$7=0,ISNUMBER(F46)),OR($G$8=0,ISNUMBER(G46))),1,0))</f>
        <v/>
      </c>
      <c r="U46" s="2" t="str">
        <f t="shared" si="13"/>
        <v/>
      </c>
      <c r="V46" s="2" t="str">
        <f t="shared" si="14"/>
        <v/>
      </c>
      <c r="W46" s="2" t="str">
        <f t="shared" si="15"/>
        <v/>
      </c>
      <c r="X46" s="2" t="str">
        <f t="shared" si="16"/>
        <v/>
      </c>
      <c r="Y46" s="2" t="str">
        <f t="shared" si="17"/>
        <v/>
      </c>
    </row>
    <row r="47" ht="18.75" customHeight="1">
      <c r="A47" s="2" t="str">
        <f>IF('Valuation inputs'!A38="","",'Valuation inputs'!A38)</f>
        <v/>
      </c>
      <c r="B47" s="2" t="str">
        <f>IF(A47="","",'Valuation inputs'!B38)</f>
        <v/>
      </c>
      <c r="C47" s="2" t="str">
        <f>IF(A47="","",'Valuation inputs'!D38)</f>
        <v/>
      </c>
      <c r="D47" s="29" t="str">
        <f>IF(A47="","",IF('Valuation inputs'!Y38&lt;&gt;1,"n.a.",IF(NOT(ISNUMBER('Valuation inputs'!F38)),"n.a.",IF('Valuation inputs'!F38&lt;=0,"NM",'Valuation inputs'!E38/'Valuation inputs'!F38))))</f>
        <v/>
      </c>
      <c r="E47" s="29" t="str">
        <f>IF(A47="","",IF(OR('Valuation inputs'!Y38&lt;&gt;1,NOT(ISNUMBER('Valuation inputs'!Z38)),NOT(ISNUMBER('Valuation inputs'!G38))),"n.a.",IF(OR('Valuation inputs'!Z38&lt;=0,'Valuation inputs'!G38&lt;=0),"NM",'Valuation inputs'!Z38/'Valuation inputs'!G38)))</f>
        <v/>
      </c>
      <c r="F47" s="34" t="str">
        <f>IF(A47="","",IF(OR('Valuation inputs'!Y38&lt;&gt;1,NOT(ISNUMBER('Valuation inputs'!AA38))),"n.a.",'Valuation inputs'!AA38/'Valuation inputs'!D38))</f>
        <v/>
      </c>
      <c r="G47" s="29" t="str">
        <f>IF(A47="","",IF(OR('Valuation inputs'!Y38&lt;&gt;1,NOT(ISNUMBER('Valuation inputs'!J38))),"n.a.",IF('Valuation inputs'!J38&lt;=0,"NM",'Valuation inputs'!D38/'Valuation inputs'!J38)))</f>
        <v/>
      </c>
      <c r="H47" s="49" t="str">
        <f t="shared" si="2"/>
        <v/>
      </c>
      <c r="I47" s="49" t="str">
        <f t="shared" si="3"/>
        <v/>
      </c>
      <c r="J47" s="49" t="str">
        <f t="shared" si="4"/>
        <v/>
      </c>
      <c r="K47" s="49" t="str">
        <f t="shared" si="5"/>
        <v/>
      </c>
      <c r="L47" s="49" t="str">
        <f t="shared" si="6"/>
        <v/>
      </c>
      <c r="M47" s="2" t="str">
        <f t="shared" si="7"/>
        <v/>
      </c>
      <c r="N47" s="34" t="str">
        <f t="shared" si="8"/>
        <v/>
      </c>
      <c r="O47" s="34" t="str">
        <f t="shared" si="9"/>
        <v/>
      </c>
      <c r="P47" s="34" t="str">
        <f t="shared" si="10"/>
        <v/>
      </c>
      <c r="Q47" s="34" t="str">
        <f t="shared" si="11"/>
        <v/>
      </c>
      <c r="R47" s="34" t="str">
        <f t="shared" si="12"/>
        <v/>
      </c>
      <c r="S47" s="2" t="str">
        <f>IF(A47="","",IF('Valuation inputs'!Y38&lt;&gt;1,'Valuation inputs'!AB38,IF(T47&lt;&gt;1,"Missing/NM required metric",IF($B$12&lt;&gt;"Ready",$B$12,"Ranked"))))</f>
        <v/>
      </c>
      <c r="T47" s="2" t="str">
        <f>IF(A47="","",IF(AND('Valuation inputs'!Y38=1,$B$4&lt;&gt;"Needs sector profile",COUNT($G$5:$G$8)=4,MIN($G$5:$G$8)&gt;=0,ABS($B$8-1)&lt;=0.000001,OR($G$5=0,ISNUMBER(D47)),OR($G$6=0,ISNUMBER(E47)),OR($G$7=0,ISNUMBER(F47)),OR($G$8=0,ISNUMBER(G47))),1,0))</f>
        <v/>
      </c>
      <c r="U47" s="2" t="str">
        <f t="shared" si="13"/>
        <v/>
      </c>
      <c r="V47" s="2" t="str">
        <f t="shared" si="14"/>
        <v/>
      </c>
      <c r="W47" s="2" t="str">
        <f t="shared" si="15"/>
        <v/>
      </c>
      <c r="X47" s="2" t="str">
        <f t="shared" si="16"/>
        <v/>
      </c>
      <c r="Y47" s="2" t="str">
        <f t="shared" si="17"/>
        <v/>
      </c>
    </row>
    <row r="48" ht="18.75" customHeight="1">
      <c r="A48" s="2" t="str">
        <f>IF('Valuation inputs'!A39="","",'Valuation inputs'!A39)</f>
        <v/>
      </c>
      <c r="B48" s="2" t="str">
        <f>IF(A48="","",'Valuation inputs'!B39)</f>
        <v/>
      </c>
      <c r="C48" s="2" t="str">
        <f>IF(A48="","",'Valuation inputs'!D39)</f>
        <v/>
      </c>
      <c r="D48" s="29" t="str">
        <f>IF(A48="","",IF('Valuation inputs'!Y39&lt;&gt;1,"n.a.",IF(NOT(ISNUMBER('Valuation inputs'!F39)),"n.a.",IF('Valuation inputs'!F39&lt;=0,"NM",'Valuation inputs'!E39/'Valuation inputs'!F39))))</f>
        <v/>
      </c>
      <c r="E48" s="29" t="str">
        <f>IF(A48="","",IF(OR('Valuation inputs'!Y39&lt;&gt;1,NOT(ISNUMBER('Valuation inputs'!Z39)),NOT(ISNUMBER('Valuation inputs'!G39))),"n.a.",IF(OR('Valuation inputs'!Z39&lt;=0,'Valuation inputs'!G39&lt;=0),"NM",'Valuation inputs'!Z39/'Valuation inputs'!G39)))</f>
        <v/>
      </c>
      <c r="F48" s="34" t="str">
        <f>IF(A48="","",IF(OR('Valuation inputs'!Y39&lt;&gt;1,NOT(ISNUMBER('Valuation inputs'!AA39))),"n.a.",'Valuation inputs'!AA39/'Valuation inputs'!D39))</f>
        <v/>
      </c>
      <c r="G48" s="29" t="str">
        <f>IF(A48="","",IF(OR('Valuation inputs'!Y39&lt;&gt;1,NOT(ISNUMBER('Valuation inputs'!J39))),"n.a.",IF('Valuation inputs'!J39&lt;=0,"NM",'Valuation inputs'!D39/'Valuation inputs'!J39)))</f>
        <v/>
      </c>
      <c r="H48" s="49" t="str">
        <f t="shared" si="2"/>
        <v/>
      </c>
      <c r="I48" s="49" t="str">
        <f t="shared" si="3"/>
        <v/>
      </c>
      <c r="J48" s="49" t="str">
        <f t="shared" si="4"/>
        <v/>
      </c>
      <c r="K48" s="49" t="str">
        <f t="shared" si="5"/>
        <v/>
      </c>
      <c r="L48" s="49" t="str">
        <f t="shared" si="6"/>
        <v/>
      </c>
      <c r="M48" s="2" t="str">
        <f t="shared" si="7"/>
        <v/>
      </c>
      <c r="N48" s="34" t="str">
        <f t="shared" si="8"/>
        <v/>
      </c>
      <c r="O48" s="34" t="str">
        <f t="shared" si="9"/>
        <v/>
      </c>
      <c r="P48" s="34" t="str">
        <f t="shared" si="10"/>
        <v/>
      </c>
      <c r="Q48" s="34" t="str">
        <f t="shared" si="11"/>
        <v/>
      </c>
      <c r="R48" s="34" t="str">
        <f t="shared" si="12"/>
        <v/>
      </c>
      <c r="S48" s="2" t="str">
        <f>IF(A48="","",IF('Valuation inputs'!Y39&lt;&gt;1,'Valuation inputs'!AB39,IF(T48&lt;&gt;1,"Missing/NM required metric",IF($B$12&lt;&gt;"Ready",$B$12,"Ranked"))))</f>
        <v/>
      </c>
      <c r="T48" s="2" t="str">
        <f>IF(A48="","",IF(AND('Valuation inputs'!Y39=1,$B$4&lt;&gt;"Needs sector profile",COUNT($G$5:$G$8)=4,MIN($G$5:$G$8)&gt;=0,ABS($B$8-1)&lt;=0.000001,OR($G$5=0,ISNUMBER(D48)),OR($G$6=0,ISNUMBER(E48)),OR($G$7=0,ISNUMBER(F48)),OR($G$8=0,ISNUMBER(G48))),1,0))</f>
        <v/>
      </c>
      <c r="U48" s="2" t="str">
        <f t="shared" si="13"/>
        <v/>
      </c>
      <c r="V48" s="2" t="str">
        <f t="shared" si="14"/>
        <v/>
      </c>
      <c r="W48" s="2" t="str">
        <f t="shared" si="15"/>
        <v/>
      </c>
      <c r="X48" s="2" t="str">
        <f t="shared" si="16"/>
        <v/>
      </c>
      <c r="Y48" s="2" t="str">
        <f t="shared" si="17"/>
        <v/>
      </c>
    </row>
    <row r="49" ht="18.75" customHeight="1">
      <c r="A49" s="2" t="str">
        <f>IF('Valuation inputs'!A40="","",'Valuation inputs'!A40)</f>
        <v/>
      </c>
      <c r="B49" s="2" t="str">
        <f>IF(A49="","",'Valuation inputs'!B40)</f>
        <v/>
      </c>
      <c r="C49" s="2" t="str">
        <f>IF(A49="","",'Valuation inputs'!D40)</f>
        <v/>
      </c>
      <c r="D49" s="29" t="str">
        <f>IF(A49="","",IF('Valuation inputs'!Y40&lt;&gt;1,"n.a.",IF(NOT(ISNUMBER('Valuation inputs'!F40)),"n.a.",IF('Valuation inputs'!F40&lt;=0,"NM",'Valuation inputs'!E40/'Valuation inputs'!F40))))</f>
        <v/>
      </c>
      <c r="E49" s="29" t="str">
        <f>IF(A49="","",IF(OR('Valuation inputs'!Y40&lt;&gt;1,NOT(ISNUMBER('Valuation inputs'!Z40)),NOT(ISNUMBER('Valuation inputs'!G40))),"n.a.",IF(OR('Valuation inputs'!Z40&lt;=0,'Valuation inputs'!G40&lt;=0),"NM",'Valuation inputs'!Z40/'Valuation inputs'!G40)))</f>
        <v/>
      </c>
      <c r="F49" s="34" t="str">
        <f>IF(A49="","",IF(OR('Valuation inputs'!Y40&lt;&gt;1,NOT(ISNUMBER('Valuation inputs'!AA40))),"n.a.",'Valuation inputs'!AA40/'Valuation inputs'!D40))</f>
        <v/>
      </c>
      <c r="G49" s="29" t="str">
        <f>IF(A49="","",IF(OR('Valuation inputs'!Y40&lt;&gt;1,NOT(ISNUMBER('Valuation inputs'!J40))),"n.a.",IF('Valuation inputs'!J40&lt;=0,"NM",'Valuation inputs'!D40/'Valuation inputs'!J40)))</f>
        <v/>
      </c>
      <c r="H49" s="49" t="str">
        <f t="shared" si="2"/>
        <v/>
      </c>
      <c r="I49" s="49" t="str">
        <f t="shared" si="3"/>
        <v/>
      </c>
      <c r="J49" s="49" t="str">
        <f t="shared" si="4"/>
        <v/>
      </c>
      <c r="K49" s="49" t="str">
        <f t="shared" si="5"/>
        <v/>
      </c>
      <c r="L49" s="49" t="str">
        <f t="shared" si="6"/>
        <v/>
      </c>
      <c r="M49" s="2" t="str">
        <f t="shared" si="7"/>
        <v/>
      </c>
      <c r="N49" s="34" t="str">
        <f t="shared" si="8"/>
        <v/>
      </c>
      <c r="O49" s="34" t="str">
        <f t="shared" si="9"/>
        <v/>
      </c>
      <c r="P49" s="34" t="str">
        <f t="shared" si="10"/>
        <v/>
      </c>
      <c r="Q49" s="34" t="str">
        <f t="shared" si="11"/>
        <v/>
      </c>
      <c r="R49" s="34" t="str">
        <f t="shared" si="12"/>
        <v/>
      </c>
      <c r="S49" s="2" t="str">
        <f>IF(A49="","",IF('Valuation inputs'!Y40&lt;&gt;1,'Valuation inputs'!AB40,IF(T49&lt;&gt;1,"Missing/NM required metric",IF($B$12&lt;&gt;"Ready",$B$12,"Ranked"))))</f>
        <v/>
      </c>
      <c r="T49" s="2" t="str">
        <f>IF(A49="","",IF(AND('Valuation inputs'!Y40=1,$B$4&lt;&gt;"Needs sector profile",COUNT($G$5:$G$8)=4,MIN($G$5:$G$8)&gt;=0,ABS($B$8-1)&lt;=0.000001,OR($G$5=0,ISNUMBER(D49)),OR($G$6=0,ISNUMBER(E49)),OR($G$7=0,ISNUMBER(F49)),OR($G$8=0,ISNUMBER(G49))),1,0))</f>
        <v/>
      </c>
      <c r="U49" s="2" t="str">
        <f t="shared" si="13"/>
        <v/>
      </c>
      <c r="V49" s="2" t="str">
        <f t="shared" si="14"/>
        <v/>
      </c>
      <c r="W49" s="2" t="str">
        <f t="shared" si="15"/>
        <v/>
      </c>
      <c r="X49" s="2" t="str">
        <f t="shared" si="16"/>
        <v/>
      </c>
      <c r="Y49" s="2" t="str">
        <f t="shared" si="17"/>
        <v/>
      </c>
    </row>
    <row r="50" ht="18.75" customHeight="1">
      <c r="A50" s="2" t="str">
        <f>IF('Valuation inputs'!A41="","",'Valuation inputs'!A41)</f>
        <v/>
      </c>
      <c r="B50" s="2" t="str">
        <f>IF(A50="","",'Valuation inputs'!B41)</f>
        <v/>
      </c>
      <c r="C50" s="2" t="str">
        <f>IF(A50="","",'Valuation inputs'!D41)</f>
        <v/>
      </c>
      <c r="D50" s="29" t="str">
        <f>IF(A50="","",IF('Valuation inputs'!Y41&lt;&gt;1,"n.a.",IF(NOT(ISNUMBER('Valuation inputs'!F41)),"n.a.",IF('Valuation inputs'!F41&lt;=0,"NM",'Valuation inputs'!E41/'Valuation inputs'!F41))))</f>
        <v/>
      </c>
      <c r="E50" s="29" t="str">
        <f>IF(A50="","",IF(OR('Valuation inputs'!Y41&lt;&gt;1,NOT(ISNUMBER('Valuation inputs'!Z41)),NOT(ISNUMBER('Valuation inputs'!G41))),"n.a.",IF(OR('Valuation inputs'!Z41&lt;=0,'Valuation inputs'!G41&lt;=0),"NM",'Valuation inputs'!Z41/'Valuation inputs'!G41)))</f>
        <v/>
      </c>
      <c r="F50" s="34" t="str">
        <f>IF(A50="","",IF(OR('Valuation inputs'!Y41&lt;&gt;1,NOT(ISNUMBER('Valuation inputs'!AA41))),"n.a.",'Valuation inputs'!AA41/'Valuation inputs'!D41))</f>
        <v/>
      </c>
      <c r="G50" s="29" t="str">
        <f>IF(A50="","",IF(OR('Valuation inputs'!Y41&lt;&gt;1,NOT(ISNUMBER('Valuation inputs'!J41))),"n.a.",IF('Valuation inputs'!J41&lt;=0,"NM",'Valuation inputs'!D41/'Valuation inputs'!J41)))</f>
        <v/>
      </c>
      <c r="H50" s="49" t="str">
        <f t="shared" si="2"/>
        <v/>
      </c>
      <c r="I50" s="49" t="str">
        <f t="shared" si="3"/>
        <v/>
      </c>
      <c r="J50" s="49" t="str">
        <f t="shared" si="4"/>
        <v/>
      </c>
      <c r="K50" s="49" t="str">
        <f t="shared" si="5"/>
        <v/>
      </c>
      <c r="L50" s="49" t="str">
        <f t="shared" si="6"/>
        <v/>
      </c>
      <c r="M50" s="2" t="str">
        <f t="shared" si="7"/>
        <v/>
      </c>
      <c r="N50" s="34" t="str">
        <f t="shared" si="8"/>
        <v/>
      </c>
      <c r="O50" s="34" t="str">
        <f t="shared" si="9"/>
        <v/>
      </c>
      <c r="P50" s="34" t="str">
        <f t="shared" si="10"/>
        <v/>
      </c>
      <c r="Q50" s="34" t="str">
        <f t="shared" si="11"/>
        <v/>
      </c>
      <c r="R50" s="34" t="str">
        <f t="shared" si="12"/>
        <v/>
      </c>
      <c r="S50" s="2" t="str">
        <f>IF(A50="","",IF('Valuation inputs'!Y41&lt;&gt;1,'Valuation inputs'!AB41,IF(T50&lt;&gt;1,"Missing/NM required metric",IF($B$12&lt;&gt;"Ready",$B$12,"Ranked"))))</f>
        <v/>
      </c>
      <c r="T50" s="2" t="str">
        <f>IF(A50="","",IF(AND('Valuation inputs'!Y41=1,$B$4&lt;&gt;"Needs sector profile",COUNT($G$5:$G$8)=4,MIN($G$5:$G$8)&gt;=0,ABS($B$8-1)&lt;=0.000001,OR($G$5=0,ISNUMBER(D50)),OR($G$6=0,ISNUMBER(E50)),OR($G$7=0,ISNUMBER(F50)),OR($G$8=0,ISNUMBER(G50))),1,0))</f>
        <v/>
      </c>
      <c r="U50" s="2" t="str">
        <f t="shared" si="13"/>
        <v/>
      </c>
      <c r="V50" s="2" t="str">
        <f t="shared" si="14"/>
        <v/>
      </c>
      <c r="W50" s="2" t="str">
        <f t="shared" si="15"/>
        <v/>
      </c>
      <c r="X50" s="2" t="str">
        <f t="shared" si="16"/>
        <v/>
      </c>
      <c r="Y50" s="2" t="str">
        <f t="shared" si="17"/>
        <v/>
      </c>
    </row>
    <row r="51" ht="18.75" customHeight="1">
      <c r="A51" s="2" t="str">
        <f>IF('Valuation inputs'!A42="","",'Valuation inputs'!A42)</f>
        <v/>
      </c>
      <c r="B51" s="2" t="str">
        <f>IF(A51="","",'Valuation inputs'!B42)</f>
        <v/>
      </c>
      <c r="C51" s="2" t="str">
        <f>IF(A51="","",'Valuation inputs'!D42)</f>
        <v/>
      </c>
      <c r="D51" s="29" t="str">
        <f>IF(A51="","",IF('Valuation inputs'!Y42&lt;&gt;1,"n.a.",IF(NOT(ISNUMBER('Valuation inputs'!F42)),"n.a.",IF('Valuation inputs'!F42&lt;=0,"NM",'Valuation inputs'!E42/'Valuation inputs'!F42))))</f>
        <v/>
      </c>
      <c r="E51" s="29" t="str">
        <f>IF(A51="","",IF(OR('Valuation inputs'!Y42&lt;&gt;1,NOT(ISNUMBER('Valuation inputs'!Z42)),NOT(ISNUMBER('Valuation inputs'!G42))),"n.a.",IF(OR('Valuation inputs'!Z42&lt;=0,'Valuation inputs'!G42&lt;=0),"NM",'Valuation inputs'!Z42/'Valuation inputs'!G42)))</f>
        <v/>
      </c>
      <c r="F51" s="34" t="str">
        <f>IF(A51="","",IF(OR('Valuation inputs'!Y42&lt;&gt;1,NOT(ISNUMBER('Valuation inputs'!AA42))),"n.a.",'Valuation inputs'!AA42/'Valuation inputs'!D42))</f>
        <v/>
      </c>
      <c r="G51" s="29" t="str">
        <f>IF(A51="","",IF(OR('Valuation inputs'!Y42&lt;&gt;1,NOT(ISNUMBER('Valuation inputs'!J42))),"n.a.",IF('Valuation inputs'!J42&lt;=0,"NM",'Valuation inputs'!D42/'Valuation inputs'!J42)))</f>
        <v/>
      </c>
      <c r="H51" s="49" t="str">
        <f t="shared" si="2"/>
        <v/>
      </c>
      <c r="I51" s="49" t="str">
        <f t="shared" si="3"/>
        <v/>
      </c>
      <c r="J51" s="49" t="str">
        <f t="shared" si="4"/>
        <v/>
      </c>
      <c r="K51" s="49" t="str">
        <f t="shared" si="5"/>
        <v/>
      </c>
      <c r="L51" s="49" t="str">
        <f t="shared" si="6"/>
        <v/>
      </c>
      <c r="M51" s="2" t="str">
        <f t="shared" si="7"/>
        <v/>
      </c>
      <c r="N51" s="34" t="str">
        <f t="shared" si="8"/>
        <v/>
      </c>
      <c r="O51" s="34" t="str">
        <f t="shared" si="9"/>
        <v/>
      </c>
      <c r="P51" s="34" t="str">
        <f t="shared" si="10"/>
        <v/>
      </c>
      <c r="Q51" s="34" t="str">
        <f t="shared" si="11"/>
        <v/>
      </c>
      <c r="R51" s="34" t="str">
        <f t="shared" si="12"/>
        <v/>
      </c>
      <c r="S51" s="2" t="str">
        <f>IF(A51="","",IF('Valuation inputs'!Y42&lt;&gt;1,'Valuation inputs'!AB42,IF(T51&lt;&gt;1,"Missing/NM required metric",IF($B$12&lt;&gt;"Ready",$B$12,"Ranked"))))</f>
        <v/>
      </c>
      <c r="T51" s="2" t="str">
        <f>IF(A51="","",IF(AND('Valuation inputs'!Y42=1,$B$4&lt;&gt;"Needs sector profile",COUNT($G$5:$G$8)=4,MIN($G$5:$G$8)&gt;=0,ABS($B$8-1)&lt;=0.000001,OR($G$5=0,ISNUMBER(D51)),OR($G$6=0,ISNUMBER(E51)),OR($G$7=0,ISNUMBER(F51)),OR($G$8=0,ISNUMBER(G51))),1,0))</f>
        <v/>
      </c>
      <c r="U51" s="2" t="str">
        <f t="shared" si="13"/>
        <v/>
      </c>
      <c r="V51" s="2" t="str">
        <f t="shared" si="14"/>
        <v/>
      </c>
      <c r="W51" s="2" t="str">
        <f t="shared" si="15"/>
        <v/>
      </c>
      <c r="X51" s="2" t="str">
        <f t="shared" si="16"/>
        <v/>
      </c>
      <c r="Y51" s="2" t="str">
        <f t="shared" si="17"/>
        <v/>
      </c>
    </row>
    <row r="52" ht="18.75" customHeight="1">
      <c r="A52" s="2" t="str">
        <f>IF('Valuation inputs'!A43="","",'Valuation inputs'!A43)</f>
        <v/>
      </c>
      <c r="B52" s="2" t="str">
        <f>IF(A52="","",'Valuation inputs'!B43)</f>
        <v/>
      </c>
      <c r="C52" s="2" t="str">
        <f>IF(A52="","",'Valuation inputs'!D43)</f>
        <v/>
      </c>
      <c r="D52" s="29" t="str">
        <f>IF(A52="","",IF('Valuation inputs'!Y43&lt;&gt;1,"n.a.",IF(NOT(ISNUMBER('Valuation inputs'!F43)),"n.a.",IF('Valuation inputs'!F43&lt;=0,"NM",'Valuation inputs'!E43/'Valuation inputs'!F43))))</f>
        <v/>
      </c>
      <c r="E52" s="29" t="str">
        <f>IF(A52="","",IF(OR('Valuation inputs'!Y43&lt;&gt;1,NOT(ISNUMBER('Valuation inputs'!Z43)),NOT(ISNUMBER('Valuation inputs'!G43))),"n.a.",IF(OR('Valuation inputs'!Z43&lt;=0,'Valuation inputs'!G43&lt;=0),"NM",'Valuation inputs'!Z43/'Valuation inputs'!G43)))</f>
        <v/>
      </c>
      <c r="F52" s="34" t="str">
        <f>IF(A52="","",IF(OR('Valuation inputs'!Y43&lt;&gt;1,NOT(ISNUMBER('Valuation inputs'!AA43))),"n.a.",'Valuation inputs'!AA43/'Valuation inputs'!D43))</f>
        <v/>
      </c>
      <c r="G52" s="29" t="str">
        <f>IF(A52="","",IF(OR('Valuation inputs'!Y43&lt;&gt;1,NOT(ISNUMBER('Valuation inputs'!J43))),"n.a.",IF('Valuation inputs'!J43&lt;=0,"NM",'Valuation inputs'!D43/'Valuation inputs'!J43)))</f>
        <v/>
      </c>
      <c r="H52" s="49" t="str">
        <f t="shared" si="2"/>
        <v/>
      </c>
      <c r="I52" s="49" t="str">
        <f t="shared" si="3"/>
        <v/>
      </c>
      <c r="J52" s="49" t="str">
        <f t="shared" si="4"/>
        <v/>
      </c>
      <c r="K52" s="49" t="str">
        <f t="shared" si="5"/>
        <v/>
      </c>
      <c r="L52" s="49" t="str">
        <f t="shared" si="6"/>
        <v/>
      </c>
      <c r="M52" s="2" t="str">
        <f t="shared" si="7"/>
        <v/>
      </c>
      <c r="N52" s="34" t="str">
        <f t="shared" si="8"/>
        <v/>
      </c>
      <c r="O52" s="34" t="str">
        <f t="shared" si="9"/>
        <v/>
      </c>
      <c r="P52" s="34" t="str">
        <f t="shared" si="10"/>
        <v/>
      </c>
      <c r="Q52" s="34" t="str">
        <f t="shared" si="11"/>
        <v/>
      </c>
      <c r="R52" s="34" t="str">
        <f t="shared" si="12"/>
        <v/>
      </c>
      <c r="S52" s="2" t="str">
        <f>IF(A52="","",IF('Valuation inputs'!Y43&lt;&gt;1,'Valuation inputs'!AB43,IF(T52&lt;&gt;1,"Missing/NM required metric",IF($B$12&lt;&gt;"Ready",$B$12,"Ranked"))))</f>
        <v/>
      </c>
      <c r="T52" s="2" t="str">
        <f>IF(A52="","",IF(AND('Valuation inputs'!Y43=1,$B$4&lt;&gt;"Needs sector profile",COUNT($G$5:$G$8)=4,MIN($G$5:$G$8)&gt;=0,ABS($B$8-1)&lt;=0.000001,OR($G$5=0,ISNUMBER(D52)),OR($G$6=0,ISNUMBER(E52)),OR($G$7=0,ISNUMBER(F52)),OR($G$8=0,ISNUMBER(G52))),1,0))</f>
        <v/>
      </c>
      <c r="U52" s="2" t="str">
        <f t="shared" si="13"/>
        <v/>
      </c>
      <c r="V52" s="2" t="str">
        <f t="shared" si="14"/>
        <v/>
      </c>
      <c r="W52" s="2" t="str">
        <f t="shared" si="15"/>
        <v/>
      </c>
      <c r="X52" s="2" t="str">
        <f t="shared" si="16"/>
        <v/>
      </c>
      <c r="Y52" s="2" t="str">
        <f t="shared" si="17"/>
        <v/>
      </c>
    </row>
    <row r="53" ht="18.75" customHeight="1">
      <c r="A53" s="2" t="str">
        <f>IF('Valuation inputs'!A44="","",'Valuation inputs'!A44)</f>
        <v/>
      </c>
      <c r="B53" s="2" t="str">
        <f>IF(A53="","",'Valuation inputs'!B44)</f>
        <v/>
      </c>
      <c r="C53" s="2" t="str">
        <f>IF(A53="","",'Valuation inputs'!D44)</f>
        <v/>
      </c>
      <c r="D53" s="29" t="str">
        <f>IF(A53="","",IF('Valuation inputs'!Y44&lt;&gt;1,"n.a.",IF(NOT(ISNUMBER('Valuation inputs'!F44)),"n.a.",IF('Valuation inputs'!F44&lt;=0,"NM",'Valuation inputs'!E44/'Valuation inputs'!F44))))</f>
        <v/>
      </c>
      <c r="E53" s="29" t="str">
        <f>IF(A53="","",IF(OR('Valuation inputs'!Y44&lt;&gt;1,NOT(ISNUMBER('Valuation inputs'!Z44)),NOT(ISNUMBER('Valuation inputs'!G44))),"n.a.",IF(OR('Valuation inputs'!Z44&lt;=0,'Valuation inputs'!G44&lt;=0),"NM",'Valuation inputs'!Z44/'Valuation inputs'!G44)))</f>
        <v/>
      </c>
      <c r="F53" s="34" t="str">
        <f>IF(A53="","",IF(OR('Valuation inputs'!Y44&lt;&gt;1,NOT(ISNUMBER('Valuation inputs'!AA44))),"n.a.",'Valuation inputs'!AA44/'Valuation inputs'!D44))</f>
        <v/>
      </c>
      <c r="G53" s="29" t="str">
        <f>IF(A53="","",IF(OR('Valuation inputs'!Y44&lt;&gt;1,NOT(ISNUMBER('Valuation inputs'!J44))),"n.a.",IF('Valuation inputs'!J44&lt;=0,"NM",'Valuation inputs'!D44/'Valuation inputs'!J44)))</f>
        <v/>
      </c>
      <c r="H53" s="49" t="str">
        <f t="shared" si="2"/>
        <v/>
      </c>
      <c r="I53" s="49" t="str">
        <f t="shared" si="3"/>
        <v/>
      </c>
      <c r="J53" s="49" t="str">
        <f t="shared" si="4"/>
        <v/>
      </c>
      <c r="K53" s="49" t="str">
        <f t="shared" si="5"/>
        <v/>
      </c>
      <c r="L53" s="49" t="str">
        <f t="shared" si="6"/>
        <v/>
      </c>
      <c r="M53" s="2" t="str">
        <f t="shared" si="7"/>
        <v/>
      </c>
      <c r="N53" s="34" t="str">
        <f t="shared" si="8"/>
        <v/>
      </c>
      <c r="O53" s="34" t="str">
        <f t="shared" si="9"/>
        <v/>
      </c>
      <c r="P53" s="34" t="str">
        <f t="shared" si="10"/>
        <v/>
      </c>
      <c r="Q53" s="34" t="str">
        <f t="shared" si="11"/>
        <v/>
      </c>
      <c r="R53" s="34" t="str">
        <f t="shared" si="12"/>
        <v/>
      </c>
      <c r="S53" s="2" t="str">
        <f>IF(A53="","",IF('Valuation inputs'!Y44&lt;&gt;1,'Valuation inputs'!AB44,IF(T53&lt;&gt;1,"Missing/NM required metric",IF($B$12&lt;&gt;"Ready",$B$12,"Ranked"))))</f>
        <v/>
      </c>
      <c r="T53" s="2" t="str">
        <f>IF(A53="","",IF(AND('Valuation inputs'!Y44=1,$B$4&lt;&gt;"Needs sector profile",COUNT($G$5:$G$8)=4,MIN($G$5:$G$8)&gt;=0,ABS($B$8-1)&lt;=0.000001,OR($G$5=0,ISNUMBER(D53)),OR($G$6=0,ISNUMBER(E53)),OR($G$7=0,ISNUMBER(F53)),OR($G$8=0,ISNUMBER(G53))),1,0))</f>
        <v/>
      </c>
      <c r="U53" s="2" t="str">
        <f t="shared" si="13"/>
        <v/>
      </c>
      <c r="V53" s="2" t="str">
        <f t="shared" si="14"/>
        <v/>
      </c>
      <c r="W53" s="2" t="str">
        <f t="shared" si="15"/>
        <v/>
      </c>
      <c r="X53" s="2" t="str">
        <f t="shared" si="16"/>
        <v/>
      </c>
      <c r="Y53" s="2" t="str">
        <f t="shared" si="17"/>
        <v/>
      </c>
    </row>
    <row r="54" ht="18.75" customHeight="1">
      <c r="A54" s="2" t="str">
        <f>IF('Valuation inputs'!A45="","",'Valuation inputs'!A45)</f>
        <v/>
      </c>
      <c r="B54" s="2" t="str">
        <f>IF(A54="","",'Valuation inputs'!B45)</f>
        <v/>
      </c>
      <c r="C54" s="2" t="str">
        <f>IF(A54="","",'Valuation inputs'!D45)</f>
        <v/>
      </c>
      <c r="D54" s="29" t="str">
        <f>IF(A54="","",IF('Valuation inputs'!Y45&lt;&gt;1,"n.a.",IF(NOT(ISNUMBER('Valuation inputs'!F45)),"n.a.",IF('Valuation inputs'!F45&lt;=0,"NM",'Valuation inputs'!E45/'Valuation inputs'!F45))))</f>
        <v/>
      </c>
      <c r="E54" s="29" t="str">
        <f>IF(A54="","",IF(OR('Valuation inputs'!Y45&lt;&gt;1,NOT(ISNUMBER('Valuation inputs'!Z45)),NOT(ISNUMBER('Valuation inputs'!G45))),"n.a.",IF(OR('Valuation inputs'!Z45&lt;=0,'Valuation inputs'!G45&lt;=0),"NM",'Valuation inputs'!Z45/'Valuation inputs'!G45)))</f>
        <v/>
      </c>
      <c r="F54" s="34" t="str">
        <f>IF(A54="","",IF(OR('Valuation inputs'!Y45&lt;&gt;1,NOT(ISNUMBER('Valuation inputs'!AA45))),"n.a.",'Valuation inputs'!AA45/'Valuation inputs'!D45))</f>
        <v/>
      </c>
      <c r="G54" s="29" t="str">
        <f>IF(A54="","",IF(OR('Valuation inputs'!Y45&lt;&gt;1,NOT(ISNUMBER('Valuation inputs'!J45))),"n.a.",IF('Valuation inputs'!J45&lt;=0,"NM",'Valuation inputs'!D45/'Valuation inputs'!J45)))</f>
        <v/>
      </c>
      <c r="H54" s="49" t="str">
        <f t="shared" si="2"/>
        <v/>
      </c>
      <c r="I54" s="49" t="str">
        <f t="shared" si="3"/>
        <v/>
      </c>
      <c r="J54" s="49" t="str">
        <f t="shared" si="4"/>
        <v/>
      </c>
      <c r="K54" s="49" t="str">
        <f t="shared" si="5"/>
        <v/>
      </c>
      <c r="L54" s="49" t="str">
        <f t="shared" si="6"/>
        <v/>
      </c>
      <c r="M54" s="2" t="str">
        <f t="shared" si="7"/>
        <v/>
      </c>
      <c r="N54" s="34" t="str">
        <f t="shared" si="8"/>
        <v/>
      </c>
      <c r="O54" s="34" t="str">
        <f t="shared" si="9"/>
        <v/>
      </c>
      <c r="P54" s="34" t="str">
        <f t="shared" si="10"/>
        <v/>
      </c>
      <c r="Q54" s="34" t="str">
        <f t="shared" si="11"/>
        <v/>
      </c>
      <c r="R54" s="34" t="str">
        <f t="shared" si="12"/>
        <v/>
      </c>
      <c r="S54" s="2" t="str">
        <f>IF(A54="","",IF('Valuation inputs'!Y45&lt;&gt;1,'Valuation inputs'!AB45,IF(T54&lt;&gt;1,"Missing/NM required metric",IF($B$12&lt;&gt;"Ready",$B$12,"Ranked"))))</f>
        <v/>
      </c>
      <c r="T54" s="2" t="str">
        <f>IF(A54="","",IF(AND('Valuation inputs'!Y45=1,$B$4&lt;&gt;"Needs sector profile",COUNT($G$5:$G$8)=4,MIN($G$5:$G$8)&gt;=0,ABS($B$8-1)&lt;=0.000001,OR($G$5=0,ISNUMBER(D54)),OR($G$6=0,ISNUMBER(E54)),OR($G$7=0,ISNUMBER(F54)),OR($G$8=0,ISNUMBER(G54))),1,0))</f>
        <v/>
      </c>
      <c r="U54" s="2" t="str">
        <f t="shared" si="13"/>
        <v/>
      </c>
      <c r="V54" s="2" t="str">
        <f t="shared" si="14"/>
        <v/>
      </c>
      <c r="W54" s="2" t="str">
        <f t="shared" si="15"/>
        <v/>
      </c>
      <c r="X54" s="2" t="str">
        <f t="shared" si="16"/>
        <v/>
      </c>
      <c r="Y54" s="2" t="str">
        <f t="shared" si="17"/>
        <v/>
      </c>
    </row>
    <row r="55" ht="18.75" customHeight="1">
      <c r="A55" s="2" t="str">
        <f>IF('Valuation inputs'!A46="","",'Valuation inputs'!A46)</f>
        <v/>
      </c>
      <c r="B55" s="2" t="str">
        <f>IF(A55="","",'Valuation inputs'!B46)</f>
        <v/>
      </c>
      <c r="C55" s="2" t="str">
        <f>IF(A55="","",'Valuation inputs'!D46)</f>
        <v/>
      </c>
      <c r="D55" s="29" t="str">
        <f>IF(A55="","",IF('Valuation inputs'!Y46&lt;&gt;1,"n.a.",IF(NOT(ISNUMBER('Valuation inputs'!F46)),"n.a.",IF('Valuation inputs'!F46&lt;=0,"NM",'Valuation inputs'!E46/'Valuation inputs'!F46))))</f>
        <v/>
      </c>
      <c r="E55" s="29" t="str">
        <f>IF(A55="","",IF(OR('Valuation inputs'!Y46&lt;&gt;1,NOT(ISNUMBER('Valuation inputs'!Z46)),NOT(ISNUMBER('Valuation inputs'!G46))),"n.a.",IF(OR('Valuation inputs'!Z46&lt;=0,'Valuation inputs'!G46&lt;=0),"NM",'Valuation inputs'!Z46/'Valuation inputs'!G46)))</f>
        <v/>
      </c>
      <c r="F55" s="34" t="str">
        <f>IF(A55="","",IF(OR('Valuation inputs'!Y46&lt;&gt;1,NOT(ISNUMBER('Valuation inputs'!AA46))),"n.a.",'Valuation inputs'!AA46/'Valuation inputs'!D46))</f>
        <v/>
      </c>
      <c r="G55" s="29" t="str">
        <f>IF(A55="","",IF(OR('Valuation inputs'!Y46&lt;&gt;1,NOT(ISNUMBER('Valuation inputs'!J46))),"n.a.",IF('Valuation inputs'!J46&lt;=0,"NM",'Valuation inputs'!D46/'Valuation inputs'!J46)))</f>
        <v/>
      </c>
      <c r="H55" s="49" t="str">
        <f t="shared" si="2"/>
        <v/>
      </c>
      <c r="I55" s="49" t="str">
        <f t="shared" si="3"/>
        <v/>
      </c>
      <c r="J55" s="49" t="str">
        <f t="shared" si="4"/>
        <v/>
      </c>
      <c r="K55" s="49" t="str">
        <f t="shared" si="5"/>
        <v/>
      </c>
      <c r="L55" s="49" t="str">
        <f t="shared" si="6"/>
        <v/>
      </c>
      <c r="M55" s="2" t="str">
        <f t="shared" si="7"/>
        <v/>
      </c>
      <c r="N55" s="34" t="str">
        <f t="shared" si="8"/>
        <v/>
      </c>
      <c r="O55" s="34" t="str">
        <f t="shared" si="9"/>
        <v/>
      </c>
      <c r="P55" s="34" t="str">
        <f t="shared" si="10"/>
        <v/>
      </c>
      <c r="Q55" s="34" t="str">
        <f t="shared" si="11"/>
        <v/>
      </c>
      <c r="R55" s="34" t="str">
        <f t="shared" si="12"/>
        <v/>
      </c>
      <c r="S55" s="2" t="str">
        <f>IF(A55="","",IF('Valuation inputs'!Y46&lt;&gt;1,'Valuation inputs'!AB46,IF(T55&lt;&gt;1,"Missing/NM required metric",IF($B$12&lt;&gt;"Ready",$B$12,"Ranked"))))</f>
        <v/>
      </c>
      <c r="T55" s="2" t="str">
        <f>IF(A55="","",IF(AND('Valuation inputs'!Y46=1,$B$4&lt;&gt;"Needs sector profile",COUNT($G$5:$G$8)=4,MIN($G$5:$G$8)&gt;=0,ABS($B$8-1)&lt;=0.000001,OR($G$5=0,ISNUMBER(D55)),OR($G$6=0,ISNUMBER(E55)),OR($G$7=0,ISNUMBER(F55)),OR($G$8=0,ISNUMBER(G55))),1,0))</f>
        <v/>
      </c>
      <c r="U55" s="2" t="str">
        <f t="shared" si="13"/>
        <v/>
      </c>
      <c r="V55" s="2" t="str">
        <f t="shared" si="14"/>
        <v/>
      </c>
      <c r="W55" s="2" t="str">
        <f t="shared" si="15"/>
        <v/>
      </c>
      <c r="X55" s="2" t="str">
        <f t="shared" si="16"/>
        <v/>
      </c>
      <c r="Y55" s="2" t="str">
        <f t="shared" si="17"/>
        <v/>
      </c>
    </row>
    <row r="56" ht="18.75" customHeight="1">
      <c r="A56" s="2" t="str">
        <f>IF('Valuation inputs'!A47="","",'Valuation inputs'!A47)</f>
        <v/>
      </c>
      <c r="B56" s="2" t="str">
        <f>IF(A56="","",'Valuation inputs'!B47)</f>
        <v/>
      </c>
      <c r="C56" s="2" t="str">
        <f>IF(A56="","",'Valuation inputs'!D47)</f>
        <v/>
      </c>
      <c r="D56" s="29" t="str">
        <f>IF(A56="","",IF('Valuation inputs'!Y47&lt;&gt;1,"n.a.",IF(NOT(ISNUMBER('Valuation inputs'!F47)),"n.a.",IF('Valuation inputs'!F47&lt;=0,"NM",'Valuation inputs'!E47/'Valuation inputs'!F47))))</f>
        <v/>
      </c>
      <c r="E56" s="29" t="str">
        <f>IF(A56="","",IF(OR('Valuation inputs'!Y47&lt;&gt;1,NOT(ISNUMBER('Valuation inputs'!Z47)),NOT(ISNUMBER('Valuation inputs'!G47))),"n.a.",IF(OR('Valuation inputs'!Z47&lt;=0,'Valuation inputs'!G47&lt;=0),"NM",'Valuation inputs'!Z47/'Valuation inputs'!G47)))</f>
        <v/>
      </c>
      <c r="F56" s="34" t="str">
        <f>IF(A56="","",IF(OR('Valuation inputs'!Y47&lt;&gt;1,NOT(ISNUMBER('Valuation inputs'!AA47))),"n.a.",'Valuation inputs'!AA47/'Valuation inputs'!D47))</f>
        <v/>
      </c>
      <c r="G56" s="29" t="str">
        <f>IF(A56="","",IF(OR('Valuation inputs'!Y47&lt;&gt;1,NOT(ISNUMBER('Valuation inputs'!J47))),"n.a.",IF('Valuation inputs'!J47&lt;=0,"NM",'Valuation inputs'!D47/'Valuation inputs'!J47)))</f>
        <v/>
      </c>
      <c r="H56" s="49" t="str">
        <f t="shared" si="2"/>
        <v/>
      </c>
      <c r="I56" s="49" t="str">
        <f t="shared" si="3"/>
        <v/>
      </c>
      <c r="J56" s="49" t="str">
        <f t="shared" si="4"/>
        <v/>
      </c>
      <c r="K56" s="49" t="str">
        <f t="shared" si="5"/>
        <v/>
      </c>
      <c r="L56" s="49" t="str">
        <f t="shared" si="6"/>
        <v/>
      </c>
      <c r="M56" s="2" t="str">
        <f t="shared" si="7"/>
        <v/>
      </c>
      <c r="N56" s="34" t="str">
        <f t="shared" si="8"/>
        <v/>
      </c>
      <c r="O56" s="34" t="str">
        <f t="shared" si="9"/>
        <v/>
      </c>
      <c r="P56" s="34" t="str">
        <f t="shared" si="10"/>
        <v/>
      </c>
      <c r="Q56" s="34" t="str">
        <f t="shared" si="11"/>
        <v/>
      </c>
      <c r="R56" s="34" t="str">
        <f t="shared" si="12"/>
        <v/>
      </c>
      <c r="S56" s="2" t="str">
        <f>IF(A56="","",IF('Valuation inputs'!Y47&lt;&gt;1,'Valuation inputs'!AB47,IF(T56&lt;&gt;1,"Missing/NM required metric",IF($B$12&lt;&gt;"Ready",$B$12,"Ranked"))))</f>
        <v/>
      </c>
      <c r="T56" s="2" t="str">
        <f>IF(A56="","",IF(AND('Valuation inputs'!Y47=1,$B$4&lt;&gt;"Needs sector profile",COUNT($G$5:$G$8)=4,MIN($G$5:$G$8)&gt;=0,ABS($B$8-1)&lt;=0.000001,OR($G$5=0,ISNUMBER(D56)),OR($G$6=0,ISNUMBER(E56)),OR($G$7=0,ISNUMBER(F56)),OR($G$8=0,ISNUMBER(G56))),1,0))</f>
        <v/>
      </c>
      <c r="U56" s="2" t="str">
        <f t="shared" si="13"/>
        <v/>
      </c>
      <c r="V56" s="2" t="str">
        <f t="shared" si="14"/>
        <v/>
      </c>
      <c r="W56" s="2" t="str">
        <f t="shared" si="15"/>
        <v/>
      </c>
      <c r="X56" s="2" t="str">
        <f t="shared" si="16"/>
        <v/>
      </c>
      <c r="Y56" s="2" t="str">
        <f t="shared" si="17"/>
        <v/>
      </c>
    </row>
    <row r="57" ht="18.75" customHeight="1">
      <c r="A57" s="2" t="str">
        <f>IF('Valuation inputs'!A48="","",'Valuation inputs'!A48)</f>
        <v/>
      </c>
      <c r="B57" s="2" t="str">
        <f>IF(A57="","",'Valuation inputs'!B48)</f>
        <v/>
      </c>
      <c r="C57" s="2" t="str">
        <f>IF(A57="","",'Valuation inputs'!D48)</f>
        <v/>
      </c>
      <c r="D57" s="29" t="str">
        <f>IF(A57="","",IF('Valuation inputs'!Y48&lt;&gt;1,"n.a.",IF(NOT(ISNUMBER('Valuation inputs'!F48)),"n.a.",IF('Valuation inputs'!F48&lt;=0,"NM",'Valuation inputs'!E48/'Valuation inputs'!F48))))</f>
        <v/>
      </c>
      <c r="E57" s="29" t="str">
        <f>IF(A57="","",IF(OR('Valuation inputs'!Y48&lt;&gt;1,NOT(ISNUMBER('Valuation inputs'!Z48)),NOT(ISNUMBER('Valuation inputs'!G48))),"n.a.",IF(OR('Valuation inputs'!Z48&lt;=0,'Valuation inputs'!G48&lt;=0),"NM",'Valuation inputs'!Z48/'Valuation inputs'!G48)))</f>
        <v/>
      </c>
      <c r="F57" s="34" t="str">
        <f>IF(A57="","",IF(OR('Valuation inputs'!Y48&lt;&gt;1,NOT(ISNUMBER('Valuation inputs'!AA48))),"n.a.",'Valuation inputs'!AA48/'Valuation inputs'!D48))</f>
        <v/>
      </c>
      <c r="G57" s="29" t="str">
        <f>IF(A57="","",IF(OR('Valuation inputs'!Y48&lt;&gt;1,NOT(ISNUMBER('Valuation inputs'!J48))),"n.a.",IF('Valuation inputs'!J48&lt;=0,"NM",'Valuation inputs'!D48/'Valuation inputs'!J48)))</f>
        <v/>
      </c>
      <c r="H57" s="49" t="str">
        <f t="shared" si="2"/>
        <v/>
      </c>
      <c r="I57" s="49" t="str">
        <f t="shared" si="3"/>
        <v/>
      </c>
      <c r="J57" s="49" t="str">
        <f t="shared" si="4"/>
        <v/>
      </c>
      <c r="K57" s="49" t="str">
        <f t="shared" si="5"/>
        <v/>
      </c>
      <c r="L57" s="49" t="str">
        <f t="shared" si="6"/>
        <v/>
      </c>
      <c r="M57" s="2" t="str">
        <f t="shared" si="7"/>
        <v/>
      </c>
      <c r="N57" s="34" t="str">
        <f t="shared" si="8"/>
        <v/>
      </c>
      <c r="O57" s="34" t="str">
        <f t="shared" si="9"/>
        <v/>
      </c>
      <c r="P57" s="34" t="str">
        <f t="shared" si="10"/>
        <v/>
      </c>
      <c r="Q57" s="34" t="str">
        <f t="shared" si="11"/>
        <v/>
      </c>
      <c r="R57" s="34" t="str">
        <f t="shared" si="12"/>
        <v/>
      </c>
      <c r="S57" s="2" t="str">
        <f>IF(A57="","",IF('Valuation inputs'!Y48&lt;&gt;1,'Valuation inputs'!AB48,IF(T57&lt;&gt;1,"Missing/NM required metric",IF($B$12&lt;&gt;"Ready",$B$12,"Ranked"))))</f>
        <v/>
      </c>
      <c r="T57" s="2" t="str">
        <f>IF(A57="","",IF(AND('Valuation inputs'!Y48=1,$B$4&lt;&gt;"Needs sector profile",COUNT($G$5:$G$8)=4,MIN($G$5:$G$8)&gt;=0,ABS($B$8-1)&lt;=0.000001,OR($G$5=0,ISNUMBER(D57)),OR($G$6=0,ISNUMBER(E57)),OR($G$7=0,ISNUMBER(F57)),OR($G$8=0,ISNUMBER(G57))),1,0))</f>
        <v/>
      </c>
      <c r="U57" s="2" t="str">
        <f t="shared" si="13"/>
        <v/>
      </c>
      <c r="V57" s="2" t="str">
        <f t="shared" si="14"/>
        <v/>
      </c>
      <c r="W57" s="2" t="str">
        <f t="shared" si="15"/>
        <v/>
      </c>
      <c r="X57" s="2" t="str">
        <f t="shared" si="16"/>
        <v/>
      </c>
      <c r="Y57" s="2" t="str">
        <f t="shared" si="17"/>
        <v/>
      </c>
    </row>
    <row r="58" ht="18.75" customHeight="1">
      <c r="A58" s="2" t="str">
        <f>IF('Valuation inputs'!A49="","",'Valuation inputs'!A49)</f>
        <v/>
      </c>
      <c r="B58" s="2" t="str">
        <f>IF(A58="","",'Valuation inputs'!B49)</f>
        <v/>
      </c>
      <c r="C58" s="2" t="str">
        <f>IF(A58="","",'Valuation inputs'!D49)</f>
        <v/>
      </c>
      <c r="D58" s="29" t="str">
        <f>IF(A58="","",IF('Valuation inputs'!Y49&lt;&gt;1,"n.a.",IF(NOT(ISNUMBER('Valuation inputs'!F49)),"n.a.",IF('Valuation inputs'!F49&lt;=0,"NM",'Valuation inputs'!E49/'Valuation inputs'!F49))))</f>
        <v/>
      </c>
      <c r="E58" s="29" t="str">
        <f>IF(A58="","",IF(OR('Valuation inputs'!Y49&lt;&gt;1,NOT(ISNUMBER('Valuation inputs'!Z49)),NOT(ISNUMBER('Valuation inputs'!G49))),"n.a.",IF(OR('Valuation inputs'!Z49&lt;=0,'Valuation inputs'!G49&lt;=0),"NM",'Valuation inputs'!Z49/'Valuation inputs'!G49)))</f>
        <v/>
      </c>
      <c r="F58" s="34" t="str">
        <f>IF(A58="","",IF(OR('Valuation inputs'!Y49&lt;&gt;1,NOT(ISNUMBER('Valuation inputs'!AA49))),"n.a.",'Valuation inputs'!AA49/'Valuation inputs'!D49))</f>
        <v/>
      </c>
      <c r="G58" s="29" t="str">
        <f>IF(A58="","",IF(OR('Valuation inputs'!Y49&lt;&gt;1,NOT(ISNUMBER('Valuation inputs'!J49))),"n.a.",IF('Valuation inputs'!J49&lt;=0,"NM",'Valuation inputs'!D49/'Valuation inputs'!J49)))</f>
        <v/>
      </c>
      <c r="H58" s="49" t="str">
        <f t="shared" si="2"/>
        <v/>
      </c>
      <c r="I58" s="49" t="str">
        <f t="shared" si="3"/>
        <v/>
      </c>
      <c r="J58" s="49" t="str">
        <f t="shared" si="4"/>
        <v/>
      </c>
      <c r="K58" s="49" t="str">
        <f t="shared" si="5"/>
        <v/>
      </c>
      <c r="L58" s="49" t="str">
        <f t="shared" si="6"/>
        <v/>
      </c>
      <c r="M58" s="2" t="str">
        <f t="shared" si="7"/>
        <v/>
      </c>
      <c r="N58" s="34" t="str">
        <f t="shared" si="8"/>
        <v/>
      </c>
      <c r="O58" s="34" t="str">
        <f t="shared" si="9"/>
        <v/>
      </c>
      <c r="P58" s="34" t="str">
        <f t="shared" si="10"/>
        <v/>
      </c>
      <c r="Q58" s="34" t="str">
        <f t="shared" si="11"/>
        <v/>
      </c>
      <c r="R58" s="34" t="str">
        <f t="shared" si="12"/>
        <v/>
      </c>
      <c r="S58" s="2" t="str">
        <f>IF(A58="","",IF('Valuation inputs'!Y49&lt;&gt;1,'Valuation inputs'!AB49,IF(T58&lt;&gt;1,"Missing/NM required metric",IF($B$12&lt;&gt;"Ready",$B$12,"Ranked"))))</f>
        <v/>
      </c>
      <c r="T58" s="2" t="str">
        <f>IF(A58="","",IF(AND('Valuation inputs'!Y49=1,$B$4&lt;&gt;"Needs sector profile",COUNT($G$5:$G$8)=4,MIN($G$5:$G$8)&gt;=0,ABS($B$8-1)&lt;=0.000001,OR($G$5=0,ISNUMBER(D58)),OR($G$6=0,ISNUMBER(E58)),OR($G$7=0,ISNUMBER(F58)),OR($G$8=0,ISNUMBER(G58))),1,0))</f>
        <v/>
      </c>
      <c r="U58" s="2" t="str">
        <f t="shared" si="13"/>
        <v/>
      </c>
      <c r="V58" s="2" t="str">
        <f t="shared" si="14"/>
        <v/>
      </c>
      <c r="W58" s="2" t="str">
        <f t="shared" si="15"/>
        <v/>
      </c>
      <c r="X58" s="2" t="str">
        <f t="shared" si="16"/>
        <v/>
      </c>
      <c r="Y58" s="2" t="str">
        <f t="shared" si="17"/>
        <v/>
      </c>
    </row>
    <row r="59" ht="18.75" customHeight="1">
      <c r="A59" s="2" t="str">
        <f>IF('Valuation inputs'!A50="","",'Valuation inputs'!A50)</f>
        <v/>
      </c>
      <c r="B59" s="2" t="str">
        <f>IF(A59="","",'Valuation inputs'!B50)</f>
        <v/>
      </c>
      <c r="C59" s="2" t="str">
        <f>IF(A59="","",'Valuation inputs'!D50)</f>
        <v/>
      </c>
      <c r="D59" s="29" t="str">
        <f>IF(A59="","",IF('Valuation inputs'!Y50&lt;&gt;1,"n.a.",IF(NOT(ISNUMBER('Valuation inputs'!F50)),"n.a.",IF('Valuation inputs'!F50&lt;=0,"NM",'Valuation inputs'!E50/'Valuation inputs'!F50))))</f>
        <v/>
      </c>
      <c r="E59" s="29" t="str">
        <f>IF(A59="","",IF(OR('Valuation inputs'!Y50&lt;&gt;1,NOT(ISNUMBER('Valuation inputs'!Z50)),NOT(ISNUMBER('Valuation inputs'!G50))),"n.a.",IF(OR('Valuation inputs'!Z50&lt;=0,'Valuation inputs'!G50&lt;=0),"NM",'Valuation inputs'!Z50/'Valuation inputs'!G50)))</f>
        <v/>
      </c>
      <c r="F59" s="34" t="str">
        <f>IF(A59="","",IF(OR('Valuation inputs'!Y50&lt;&gt;1,NOT(ISNUMBER('Valuation inputs'!AA50))),"n.a.",'Valuation inputs'!AA50/'Valuation inputs'!D50))</f>
        <v/>
      </c>
      <c r="G59" s="29" t="str">
        <f>IF(A59="","",IF(OR('Valuation inputs'!Y50&lt;&gt;1,NOT(ISNUMBER('Valuation inputs'!J50))),"n.a.",IF('Valuation inputs'!J50&lt;=0,"NM",'Valuation inputs'!D50/'Valuation inputs'!J50)))</f>
        <v/>
      </c>
      <c r="H59" s="49" t="str">
        <f t="shared" si="2"/>
        <v/>
      </c>
      <c r="I59" s="49" t="str">
        <f t="shared" si="3"/>
        <v/>
      </c>
      <c r="J59" s="49" t="str">
        <f t="shared" si="4"/>
        <v/>
      </c>
      <c r="K59" s="49" t="str">
        <f t="shared" si="5"/>
        <v/>
      </c>
      <c r="L59" s="49" t="str">
        <f t="shared" si="6"/>
        <v/>
      </c>
      <c r="M59" s="2" t="str">
        <f t="shared" si="7"/>
        <v/>
      </c>
      <c r="N59" s="34" t="str">
        <f t="shared" si="8"/>
        <v/>
      </c>
      <c r="O59" s="34" t="str">
        <f t="shared" si="9"/>
        <v/>
      </c>
      <c r="P59" s="34" t="str">
        <f t="shared" si="10"/>
        <v/>
      </c>
      <c r="Q59" s="34" t="str">
        <f t="shared" si="11"/>
        <v/>
      </c>
      <c r="R59" s="34" t="str">
        <f t="shared" si="12"/>
        <v/>
      </c>
      <c r="S59" s="2" t="str">
        <f>IF(A59="","",IF('Valuation inputs'!Y50&lt;&gt;1,'Valuation inputs'!AB50,IF(T59&lt;&gt;1,"Missing/NM required metric",IF($B$12&lt;&gt;"Ready",$B$12,"Ranked"))))</f>
        <v/>
      </c>
      <c r="T59" s="2" t="str">
        <f>IF(A59="","",IF(AND('Valuation inputs'!Y50=1,$B$4&lt;&gt;"Needs sector profile",COUNT($G$5:$G$8)=4,MIN($G$5:$G$8)&gt;=0,ABS($B$8-1)&lt;=0.000001,OR($G$5=0,ISNUMBER(D59)),OR($G$6=0,ISNUMBER(E59)),OR($G$7=0,ISNUMBER(F59)),OR($G$8=0,ISNUMBER(G59))),1,0))</f>
        <v/>
      </c>
      <c r="U59" s="2" t="str">
        <f t="shared" si="13"/>
        <v/>
      </c>
      <c r="V59" s="2" t="str">
        <f t="shared" si="14"/>
        <v/>
      </c>
      <c r="W59" s="2" t="str">
        <f t="shared" si="15"/>
        <v/>
      </c>
      <c r="X59" s="2" t="str">
        <f t="shared" si="16"/>
        <v/>
      </c>
      <c r="Y59" s="2" t="str">
        <f t="shared" si="17"/>
        <v/>
      </c>
    </row>
    <row r="60" ht="18.75" customHeight="1">
      <c r="A60" s="2" t="str">
        <f>IF('Valuation inputs'!A51="","",'Valuation inputs'!A51)</f>
        <v/>
      </c>
      <c r="B60" s="2" t="str">
        <f>IF(A60="","",'Valuation inputs'!B51)</f>
        <v/>
      </c>
      <c r="C60" s="2" t="str">
        <f>IF(A60="","",'Valuation inputs'!D51)</f>
        <v/>
      </c>
      <c r="D60" s="29" t="str">
        <f>IF(A60="","",IF('Valuation inputs'!Y51&lt;&gt;1,"n.a.",IF(NOT(ISNUMBER('Valuation inputs'!F51)),"n.a.",IF('Valuation inputs'!F51&lt;=0,"NM",'Valuation inputs'!E51/'Valuation inputs'!F51))))</f>
        <v/>
      </c>
      <c r="E60" s="29" t="str">
        <f>IF(A60="","",IF(OR('Valuation inputs'!Y51&lt;&gt;1,NOT(ISNUMBER('Valuation inputs'!Z51)),NOT(ISNUMBER('Valuation inputs'!G51))),"n.a.",IF(OR('Valuation inputs'!Z51&lt;=0,'Valuation inputs'!G51&lt;=0),"NM",'Valuation inputs'!Z51/'Valuation inputs'!G51)))</f>
        <v/>
      </c>
      <c r="F60" s="34" t="str">
        <f>IF(A60="","",IF(OR('Valuation inputs'!Y51&lt;&gt;1,NOT(ISNUMBER('Valuation inputs'!AA51))),"n.a.",'Valuation inputs'!AA51/'Valuation inputs'!D51))</f>
        <v/>
      </c>
      <c r="G60" s="29" t="str">
        <f>IF(A60="","",IF(OR('Valuation inputs'!Y51&lt;&gt;1,NOT(ISNUMBER('Valuation inputs'!J51))),"n.a.",IF('Valuation inputs'!J51&lt;=0,"NM",'Valuation inputs'!D51/'Valuation inputs'!J51)))</f>
        <v/>
      </c>
      <c r="H60" s="49" t="str">
        <f t="shared" si="2"/>
        <v/>
      </c>
      <c r="I60" s="49" t="str">
        <f t="shared" si="3"/>
        <v/>
      </c>
      <c r="J60" s="49" t="str">
        <f t="shared" si="4"/>
        <v/>
      </c>
      <c r="K60" s="49" t="str">
        <f t="shared" si="5"/>
        <v/>
      </c>
      <c r="L60" s="49" t="str">
        <f t="shared" si="6"/>
        <v/>
      </c>
      <c r="M60" s="2" t="str">
        <f t="shared" si="7"/>
        <v/>
      </c>
      <c r="N60" s="34" t="str">
        <f t="shared" si="8"/>
        <v/>
      </c>
      <c r="O60" s="34" t="str">
        <f t="shared" si="9"/>
        <v/>
      </c>
      <c r="P60" s="34" t="str">
        <f t="shared" si="10"/>
        <v/>
      </c>
      <c r="Q60" s="34" t="str">
        <f t="shared" si="11"/>
        <v/>
      </c>
      <c r="R60" s="34" t="str">
        <f t="shared" si="12"/>
        <v/>
      </c>
      <c r="S60" s="2" t="str">
        <f>IF(A60="","",IF('Valuation inputs'!Y51&lt;&gt;1,'Valuation inputs'!AB51,IF(T60&lt;&gt;1,"Missing/NM required metric",IF($B$12&lt;&gt;"Ready",$B$12,"Ranked"))))</f>
        <v/>
      </c>
      <c r="T60" s="2" t="str">
        <f>IF(A60="","",IF(AND('Valuation inputs'!Y51=1,$B$4&lt;&gt;"Needs sector profile",COUNT($G$5:$G$8)=4,MIN($G$5:$G$8)&gt;=0,ABS($B$8-1)&lt;=0.000001,OR($G$5=0,ISNUMBER(D60)),OR($G$6=0,ISNUMBER(E60)),OR($G$7=0,ISNUMBER(F60)),OR($G$8=0,ISNUMBER(G60))),1,0))</f>
        <v/>
      </c>
      <c r="U60" s="2" t="str">
        <f t="shared" si="13"/>
        <v/>
      </c>
      <c r="V60" s="2" t="str">
        <f t="shared" si="14"/>
        <v/>
      </c>
      <c r="W60" s="2" t="str">
        <f t="shared" si="15"/>
        <v/>
      </c>
      <c r="X60" s="2" t="str">
        <f t="shared" si="16"/>
        <v/>
      </c>
      <c r="Y60" s="2" t="str">
        <f t="shared" si="17"/>
        <v/>
      </c>
    </row>
    <row r="61" ht="18.75" customHeight="1">
      <c r="A61" s="2" t="str">
        <f>IF('Valuation inputs'!A52="","",'Valuation inputs'!A52)</f>
        <v/>
      </c>
      <c r="B61" s="2" t="str">
        <f>IF(A61="","",'Valuation inputs'!B52)</f>
        <v/>
      </c>
      <c r="C61" s="2" t="str">
        <f>IF(A61="","",'Valuation inputs'!D52)</f>
        <v/>
      </c>
      <c r="D61" s="29" t="str">
        <f>IF(A61="","",IF('Valuation inputs'!Y52&lt;&gt;1,"n.a.",IF(NOT(ISNUMBER('Valuation inputs'!F52)),"n.a.",IF('Valuation inputs'!F52&lt;=0,"NM",'Valuation inputs'!E52/'Valuation inputs'!F52))))</f>
        <v/>
      </c>
      <c r="E61" s="29" t="str">
        <f>IF(A61="","",IF(OR('Valuation inputs'!Y52&lt;&gt;1,NOT(ISNUMBER('Valuation inputs'!Z52)),NOT(ISNUMBER('Valuation inputs'!G52))),"n.a.",IF(OR('Valuation inputs'!Z52&lt;=0,'Valuation inputs'!G52&lt;=0),"NM",'Valuation inputs'!Z52/'Valuation inputs'!G52)))</f>
        <v/>
      </c>
      <c r="F61" s="34" t="str">
        <f>IF(A61="","",IF(OR('Valuation inputs'!Y52&lt;&gt;1,NOT(ISNUMBER('Valuation inputs'!AA52))),"n.a.",'Valuation inputs'!AA52/'Valuation inputs'!D52))</f>
        <v/>
      </c>
      <c r="G61" s="29" t="str">
        <f>IF(A61="","",IF(OR('Valuation inputs'!Y52&lt;&gt;1,NOT(ISNUMBER('Valuation inputs'!J52))),"n.a.",IF('Valuation inputs'!J52&lt;=0,"NM",'Valuation inputs'!D52/'Valuation inputs'!J52)))</f>
        <v/>
      </c>
      <c r="H61" s="49" t="str">
        <f t="shared" si="2"/>
        <v/>
      </c>
      <c r="I61" s="49" t="str">
        <f t="shared" si="3"/>
        <v/>
      </c>
      <c r="J61" s="49" t="str">
        <f t="shared" si="4"/>
        <v/>
      </c>
      <c r="K61" s="49" t="str">
        <f t="shared" si="5"/>
        <v/>
      </c>
      <c r="L61" s="49" t="str">
        <f t="shared" si="6"/>
        <v/>
      </c>
      <c r="M61" s="2" t="str">
        <f t="shared" si="7"/>
        <v/>
      </c>
      <c r="N61" s="34" t="str">
        <f t="shared" si="8"/>
        <v/>
      </c>
      <c r="O61" s="34" t="str">
        <f t="shared" si="9"/>
        <v/>
      </c>
      <c r="P61" s="34" t="str">
        <f t="shared" si="10"/>
        <v/>
      </c>
      <c r="Q61" s="34" t="str">
        <f t="shared" si="11"/>
        <v/>
      </c>
      <c r="R61" s="34" t="str">
        <f t="shared" si="12"/>
        <v/>
      </c>
      <c r="S61" s="2" t="str">
        <f>IF(A61="","",IF('Valuation inputs'!Y52&lt;&gt;1,'Valuation inputs'!AB52,IF(T61&lt;&gt;1,"Missing/NM required metric",IF($B$12&lt;&gt;"Ready",$B$12,"Ranked"))))</f>
        <v/>
      </c>
      <c r="T61" s="2" t="str">
        <f>IF(A61="","",IF(AND('Valuation inputs'!Y52=1,$B$4&lt;&gt;"Needs sector profile",COUNT($G$5:$G$8)=4,MIN($G$5:$G$8)&gt;=0,ABS($B$8-1)&lt;=0.000001,OR($G$5=0,ISNUMBER(D61)),OR($G$6=0,ISNUMBER(E61)),OR($G$7=0,ISNUMBER(F61)),OR($G$8=0,ISNUMBER(G61))),1,0))</f>
        <v/>
      </c>
      <c r="U61" s="2" t="str">
        <f t="shared" si="13"/>
        <v/>
      </c>
      <c r="V61" s="2" t="str">
        <f t="shared" si="14"/>
        <v/>
      </c>
      <c r="W61" s="2" t="str">
        <f t="shared" si="15"/>
        <v/>
      </c>
      <c r="X61" s="2" t="str">
        <f t="shared" si="16"/>
        <v/>
      </c>
      <c r="Y61" s="2" t="str">
        <f t="shared" si="17"/>
        <v/>
      </c>
    </row>
    <row r="62" ht="18.75" customHeight="1">
      <c r="A62" s="2" t="str">
        <f>IF('Valuation inputs'!A53="","",'Valuation inputs'!A53)</f>
        <v/>
      </c>
      <c r="B62" s="2" t="str">
        <f>IF(A62="","",'Valuation inputs'!B53)</f>
        <v/>
      </c>
      <c r="C62" s="2" t="str">
        <f>IF(A62="","",'Valuation inputs'!D53)</f>
        <v/>
      </c>
      <c r="D62" s="29" t="str">
        <f>IF(A62="","",IF('Valuation inputs'!Y53&lt;&gt;1,"n.a.",IF(NOT(ISNUMBER('Valuation inputs'!F53)),"n.a.",IF('Valuation inputs'!F53&lt;=0,"NM",'Valuation inputs'!E53/'Valuation inputs'!F53))))</f>
        <v/>
      </c>
      <c r="E62" s="29" t="str">
        <f>IF(A62="","",IF(OR('Valuation inputs'!Y53&lt;&gt;1,NOT(ISNUMBER('Valuation inputs'!Z53)),NOT(ISNUMBER('Valuation inputs'!G53))),"n.a.",IF(OR('Valuation inputs'!Z53&lt;=0,'Valuation inputs'!G53&lt;=0),"NM",'Valuation inputs'!Z53/'Valuation inputs'!G53)))</f>
        <v/>
      </c>
      <c r="F62" s="34" t="str">
        <f>IF(A62="","",IF(OR('Valuation inputs'!Y53&lt;&gt;1,NOT(ISNUMBER('Valuation inputs'!AA53))),"n.a.",'Valuation inputs'!AA53/'Valuation inputs'!D53))</f>
        <v/>
      </c>
      <c r="G62" s="29" t="str">
        <f>IF(A62="","",IF(OR('Valuation inputs'!Y53&lt;&gt;1,NOT(ISNUMBER('Valuation inputs'!J53))),"n.a.",IF('Valuation inputs'!J53&lt;=0,"NM",'Valuation inputs'!D53/'Valuation inputs'!J53)))</f>
        <v/>
      </c>
      <c r="H62" s="49" t="str">
        <f t="shared" si="2"/>
        <v/>
      </c>
      <c r="I62" s="49" t="str">
        <f t="shared" si="3"/>
        <v/>
      </c>
      <c r="J62" s="49" t="str">
        <f t="shared" si="4"/>
        <v/>
      </c>
      <c r="K62" s="49" t="str">
        <f t="shared" si="5"/>
        <v/>
      </c>
      <c r="L62" s="49" t="str">
        <f t="shared" si="6"/>
        <v/>
      </c>
      <c r="M62" s="2" t="str">
        <f t="shared" si="7"/>
        <v/>
      </c>
      <c r="N62" s="34" t="str">
        <f t="shared" si="8"/>
        <v/>
      </c>
      <c r="O62" s="34" t="str">
        <f t="shared" si="9"/>
        <v/>
      </c>
      <c r="P62" s="34" t="str">
        <f t="shared" si="10"/>
        <v/>
      </c>
      <c r="Q62" s="34" t="str">
        <f t="shared" si="11"/>
        <v/>
      </c>
      <c r="R62" s="34" t="str">
        <f t="shared" si="12"/>
        <v/>
      </c>
      <c r="S62" s="2" t="str">
        <f>IF(A62="","",IF('Valuation inputs'!Y53&lt;&gt;1,'Valuation inputs'!AB53,IF(T62&lt;&gt;1,"Missing/NM required metric",IF($B$12&lt;&gt;"Ready",$B$12,"Ranked"))))</f>
        <v/>
      </c>
      <c r="T62" s="2" t="str">
        <f>IF(A62="","",IF(AND('Valuation inputs'!Y53=1,$B$4&lt;&gt;"Needs sector profile",COUNT($G$5:$G$8)=4,MIN($G$5:$G$8)&gt;=0,ABS($B$8-1)&lt;=0.000001,OR($G$5=0,ISNUMBER(D62)),OR($G$6=0,ISNUMBER(E62)),OR($G$7=0,ISNUMBER(F62)),OR($G$8=0,ISNUMBER(G62))),1,0))</f>
        <v/>
      </c>
      <c r="U62" s="2" t="str">
        <f t="shared" si="13"/>
        <v/>
      </c>
      <c r="V62" s="2" t="str">
        <f t="shared" si="14"/>
        <v/>
      </c>
      <c r="W62" s="2" t="str">
        <f t="shared" si="15"/>
        <v/>
      </c>
      <c r="X62" s="2" t="str">
        <f t="shared" si="16"/>
        <v/>
      </c>
      <c r="Y62" s="2" t="str">
        <f t="shared" si="17"/>
        <v/>
      </c>
    </row>
    <row r="63" ht="18.75" customHeight="1">
      <c r="A63" s="2" t="str">
        <f>IF('Valuation inputs'!A54="","",'Valuation inputs'!A54)</f>
        <v/>
      </c>
      <c r="B63" s="2" t="str">
        <f>IF(A63="","",'Valuation inputs'!B54)</f>
        <v/>
      </c>
      <c r="C63" s="2" t="str">
        <f>IF(A63="","",'Valuation inputs'!D54)</f>
        <v/>
      </c>
      <c r="D63" s="29" t="str">
        <f>IF(A63="","",IF('Valuation inputs'!Y54&lt;&gt;1,"n.a.",IF(NOT(ISNUMBER('Valuation inputs'!F54)),"n.a.",IF('Valuation inputs'!F54&lt;=0,"NM",'Valuation inputs'!E54/'Valuation inputs'!F54))))</f>
        <v/>
      </c>
      <c r="E63" s="29" t="str">
        <f>IF(A63="","",IF(OR('Valuation inputs'!Y54&lt;&gt;1,NOT(ISNUMBER('Valuation inputs'!Z54)),NOT(ISNUMBER('Valuation inputs'!G54))),"n.a.",IF(OR('Valuation inputs'!Z54&lt;=0,'Valuation inputs'!G54&lt;=0),"NM",'Valuation inputs'!Z54/'Valuation inputs'!G54)))</f>
        <v/>
      </c>
      <c r="F63" s="34" t="str">
        <f>IF(A63="","",IF(OR('Valuation inputs'!Y54&lt;&gt;1,NOT(ISNUMBER('Valuation inputs'!AA54))),"n.a.",'Valuation inputs'!AA54/'Valuation inputs'!D54))</f>
        <v/>
      </c>
      <c r="G63" s="29" t="str">
        <f>IF(A63="","",IF(OR('Valuation inputs'!Y54&lt;&gt;1,NOT(ISNUMBER('Valuation inputs'!J54))),"n.a.",IF('Valuation inputs'!J54&lt;=0,"NM",'Valuation inputs'!D54/'Valuation inputs'!J54)))</f>
        <v/>
      </c>
      <c r="H63" s="49" t="str">
        <f t="shared" si="2"/>
        <v/>
      </c>
      <c r="I63" s="49" t="str">
        <f t="shared" si="3"/>
        <v/>
      </c>
      <c r="J63" s="49" t="str">
        <f t="shared" si="4"/>
        <v/>
      </c>
      <c r="K63" s="49" t="str">
        <f t="shared" si="5"/>
        <v/>
      </c>
      <c r="L63" s="49" t="str">
        <f t="shared" si="6"/>
        <v/>
      </c>
      <c r="M63" s="2" t="str">
        <f t="shared" si="7"/>
        <v/>
      </c>
      <c r="N63" s="34" t="str">
        <f t="shared" si="8"/>
        <v/>
      </c>
      <c r="O63" s="34" t="str">
        <f t="shared" si="9"/>
        <v/>
      </c>
      <c r="P63" s="34" t="str">
        <f t="shared" si="10"/>
        <v/>
      </c>
      <c r="Q63" s="34" t="str">
        <f t="shared" si="11"/>
        <v/>
      </c>
      <c r="R63" s="34" t="str">
        <f t="shared" si="12"/>
        <v/>
      </c>
      <c r="S63" s="2" t="str">
        <f>IF(A63="","",IF('Valuation inputs'!Y54&lt;&gt;1,'Valuation inputs'!AB54,IF(T63&lt;&gt;1,"Missing/NM required metric",IF($B$12&lt;&gt;"Ready",$B$12,"Ranked"))))</f>
        <v/>
      </c>
      <c r="T63" s="2" t="str">
        <f>IF(A63="","",IF(AND('Valuation inputs'!Y54=1,$B$4&lt;&gt;"Needs sector profile",COUNT($G$5:$G$8)=4,MIN($G$5:$G$8)&gt;=0,ABS($B$8-1)&lt;=0.000001,OR($G$5=0,ISNUMBER(D63)),OR($G$6=0,ISNUMBER(E63)),OR($G$7=0,ISNUMBER(F63)),OR($G$8=0,ISNUMBER(G63))),1,0))</f>
        <v/>
      </c>
      <c r="U63" s="2" t="str">
        <f t="shared" si="13"/>
        <v/>
      </c>
      <c r="V63" s="2" t="str">
        <f t="shared" si="14"/>
        <v/>
      </c>
      <c r="W63" s="2" t="str">
        <f t="shared" si="15"/>
        <v/>
      </c>
      <c r="X63" s="2" t="str">
        <f t="shared" si="16"/>
        <v/>
      </c>
      <c r="Y63" s="2" t="str">
        <f t="shared" si="17"/>
        <v/>
      </c>
    </row>
    <row r="64" ht="18.75" customHeight="1">
      <c r="A64" s="2" t="str">
        <f>IF('Valuation inputs'!A55="","",'Valuation inputs'!A55)</f>
        <v/>
      </c>
      <c r="B64" s="2" t="str">
        <f>IF(A64="","",'Valuation inputs'!B55)</f>
        <v/>
      </c>
      <c r="C64" s="2" t="str">
        <f>IF(A64="","",'Valuation inputs'!D55)</f>
        <v/>
      </c>
      <c r="D64" s="29" t="str">
        <f>IF(A64="","",IF('Valuation inputs'!Y55&lt;&gt;1,"n.a.",IF(NOT(ISNUMBER('Valuation inputs'!F55)),"n.a.",IF('Valuation inputs'!F55&lt;=0,"NM",'Valuation inputs'!E55/'Valuation inputs'!F55))))</f>
        <v/>
      </c>
      <c r="E64" s="29" t="str">
        <f>IF(A64="","",IF(OR('Valuation inputs'!Y55&lt;&gt;1,NOT(ISNUMBER('Valuation inputs'!Z55)),NOT(ISNUMBER('Valuation inputs'!G55))),"n.a.",IF(OR('Valuation inputs'!Z55&lt;=0,'Valuation inputs'!G55&lt;=0),"NM",'Valuation inputs'!Z55/'Valuation inputs'!G55)))</f>
        <v/>
      </c>
      <c r="F64" s="34" t="str">
        <f>IF(A64="","",IF(OR('Valuation inputs'!Y55&lt;&gt;1,NOT(ISNUMBER('Valuation inputs'!AA55))),"n.a.",'Valuation inputs'!AA55/'Valuation inputs'!D55))</f>
        <v/>
      </c>
      <c r="G64" s="29" t="str">
        <f>IF(A64="","",IF(OR('Valuation inputs'!Y55&lt;&gt;1,NOT(ISNUMBER('Valuation inputs'!J55))),"n.a.",IF('Valuation inputs'!J55&lt;=0,"NM",'Valuation inputs'!D55/'Valuation inputs'!J55)))</f>
        <v/>
      </c>
      <c r="H64" s="49" t="str">
        <f t="shared" si="2"/>
        <v/>
      </c>
      <c r="I64" s="49" t="str">
        <f t="shared" si="3"/>
        <v/>
      </c>
      <c r="J64" s="49" t="str">
        <f t="shared" si="4"/>
        <v/>
      </c>
      <c r="K64" s="49" t="str">
        <f t="shared" si="5"/>
        <v/>
      </c>
      <c r="L64" s="49" t="str">
        <f t="shared" si="6"/>
        <v/>
      </c>
      <c r="M64" s="2" t="str">
        <f t="shared" si="7"/>
        <v/>
      </c>
      <c r="N64" s="34" t="str">
        <f t="shared" si="8"/>
        <v/>
      </c>
      <c r="O64" s="34" t="str">
        <f t="shared" si="9"/>
        <v/>
      </c>
      <c r="P64" s="34" t="str">
        <f t="shared" si="10"/>
        <v/>
      </c>
      <c r="Q64" s="34" t="str">
        <f t="shared" si="11"/>
        <v/>
      </c>
      <c r="R64" s="34" t="str">
        <f t="shared" si="12"/>
        <v/>
      </c>
      <c r="S64" s="2" t="str">
        <f>IF(A64="","",IF('Valuation inputs'!Y55&lt;&gt;1,'Valuation inputs'!AB55,IF(T64&lt;&gt;1,"Missing/NM required metric",IF($B$12&lt;&gt;"Ready",$B$12,"Ranked"))))</f>
        <v/>
      </c>
      <c r="T64" s="2" t="str">
        <f>IF(A64="","",IF(AND('Valuation inputs'!Y55=1,$B$4&lt;&gt;"Needs sector profile",COUNT($G$5:$G$8)=4,MIN($G$5:$G$8)&gt;=0,ABS($B$8-1)&lt;=0.000001,OR($G$5=0,ISNUMBER(D64)),OR($G$6=0,ISNUMBER(E64)),OR($G$7=0,ISNUMBER(F64)),OR($G$8=0,ISNUMBER(G64))),1,0))</f>
        <v/>
      </c>
      <c r="U64" s="2" t="str">
        <f t="shared" si="13"/>
        <v/>
      </c>
      <c r="V64" s="2" t="str">
        <f t="shared" si="14"/>
        <v/>
      </c>
      <c r="W64" s="2" t="str">
        <f t="shared" si="15"/>
        <v/>
      </c>
      <c r="X64" s="2" t="str">
        <f t="shared" si="16"/>
        <v/>
      </c>
      <c r="Y64" s="2" t="str">
        <f t="shared" si="17"/>
        <v/>
      </c>
    </row>
  </sheetData>
  <autoFilter ref="$A$14:$S$64"/>
  <mergeCells count="3">
    <mergeCell ref="G10:I10"/>
    <mergeCell ref="G11:I11"/>
    <mergeCell ref="G12:I12"/>
  </mergeCells>
  <conditionalFormatting sqref="L15:L64">
    <cfRule type="colorScale" priority="1">
      <colorScale>
        <cfvo type="formula" val="0"/>
        <cfvo type="formula" val="100"/>
        <color rgb="FFF4F4F4"/>
        <color rgb="FFDBE8FC"/>
      </colorScale>
    </cfRule>
  </conditionalFormatting>
  <dataValidations>
    <dataValidation type="list" allowBlank="1" showErrorMessage="1" sqref="B10">
      <formula1>"Adjusted,Reported,Normalized"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22.0"/>
    <col customWidth="1" min="3" max="3" width="21.0"/>
    <col customWidth="1" min="4" max="4" width="89.0"/>
    <col customWidth="1" min="5" max="26" width="8.63"/>
  </cols>
  <sheetData>
    <row r="1">
      <c r="A1" s="1"/>
      <c r="B1" s="1"/>
      <c r="C1" s="1"/>
      <c r="D1" s="1"/>
      <c r="E1" s="1"/>
      <c r="F1" s="1"/>
    </row>
    <row r="2">
      <c r="A2" s="3" t="s">
        <v>2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27.75" customHeight="1">
      <c r="A4" s="9" t="s">
        <v>4</v>
      </c>
      <c r="B4" s="9" t="s">
        <v>11</v>
      </c>
      <c r="C4" s="9" t="s">
        <v>14</v>
      </c>
      <c r="D4" s="9" t="s">
        <v>15</v>
      </c>
      <c r="E4" s="1"/>
      <c r="F4" s="1"/>
    </row>
    <row r="5" ht="42.0" customHeight="1">
      <c r="A5" s="1" t="s">
        <v>17</v>
      </c>
      <c r="B5" s="13">
        <v>10.0</v>
      </c>
      <c r="C5" s="1" t="s">
        <v>23</v>
      </c>
      <c r="D5" s="16" t="s">
        <v>24</v>
      </c>
      <c r="E5" s="1"/>
      <c r="F5" s="1"/>
    </row>
    <row r="6" ht="42.0" customHeight="1">
      <c r="A6" s="17" t="s">
        <v>18</v>
      </c>
      <c r="B6" s="18">
        <v>46298.0</v>
      </c>
      <c r="C6" s="17" t="s">
        <v>26</v>
      </c>
      <c r="D6" s="21" t="s">
        <v>28</v>
      </c>
    </row>
    <row r="7" ht="42.0" customHeight="1">
      <c r="A7" s="17" t="s">
        <v>33</v>
      </c>
      <c r="B7" s="23" t="s">
        <v>35</v>
      </c>
      <c r="C7" s="17" t="s">
        <v>26</v>
      </c>
      <c r="D7" s="21" t="s">
        <v>37</v>
      </c>
    </row>
    <row r="8" ht="42.0" customHeight="1">
      <c r="A8" s="17" t="s">
        <v>38</v>
      </c>
      <c r="B8" s="23"/>
      <c r="C8" s="17" t="s">
        <v>26</v>
      </c>
      <c r="D8" s="21" t="s">
        <v>39</v>
      </c>
    </row>
    <row r="9" ht="42.0" customHeight="1">
      <c r="A9" s="17" t="s">
        <v>40</v>
      </c>
      <c r="B9" s="23" t="s">
        <v>41</v>
      </c>
      <c r="C9" s="17" t="s">
        <v>26</v>
      </c>
      <c r="D9" s="21" t="s">
        <v>42</v>
      </c>
    </row>
    <row r="10" ht="42.0" customHeight="1">
      <c r="A10" s="17" t="s">
        <v>43</v>
      </c>
      <c r="B10" s="23">
        <v>7.0</v>
      </c>
      <c r="C10" s="17" t="s">
        <v>44</v>
      </c>
      <c r="D10" s="21" t="s">
        <v>46</v>
      </c>
    </row>
    <row r="11" ht="42.0" customHeight="1">
      <c r="A11" s="17" t="s">
        <v>47</v>
      </c>
      <c r="B11" s="23">
        <v>180.0</v>
      </c>
      <c r="C11" s="17" t="s">
        <v>44</v>
      </c>
      <c r="D11" s="21" t="s">
        <v>48</v>
      </c>
    </row>
    <row r="12" ht="42.0" customHeight="1">
      <c r="A12" s="17" t="s">
        <v>49</v>
      </c>
      <c r="B12" s="23">
        <v>3.0</v>
      </c>
      <c r="C12" s="17" t="s">
        <v>44</v>
      </c>
      <c r="D12" s="21" t="s">
        <v>50</v>
      </c>
    </row>
    <row r="13" ht="42.0" customHeight="1">
      <c r="A13" s="17" t="s">
        <v>52</v>
      </c>
      <c r="B13" s="24">
        <v>0.5</v>
      </c>
      <c r="C13" s="17" t="s">
        <v>53</v>
      </c>
      <c r="D13" s="21" t="s">
        <v>54</v>
      </c>
    </row>
    <row r="14" ht="42.0" customHeight="1">
      <c r="A14" s="17" t="s">
        <v>55</v>
      </c>
      <c r="B14" s="24">
        <v>0.5</v>
      </c>
      <c r="C14" s="17" t="s">
        <v>53</v>
      </c>
      <c r="D14" s="21" t="s">
        <v>56</v>
      </c>
    </row>
    <row r="15" ht="42.0" customHeight="1">
      <c r="A15" s="17" t="s">
        <v>57</v>
      </c>
      <c r="B15" s="23" t="s">
        <v>59</v>
      </c>
      <c r="C15" s="17" t="s">
        <v>26</v>
      </c>
      <c r="D15" s="21" t="s">
        <v>60</v>
      </c>
    </row>
    <row r="16" ht="42.0" customHeight="1">
      <c r="A16" s="17" t="s">
        <v>61</v>
      </c>
      <c r="B16" s="23">
        <v>30.0</v>
      </c>
      <c r="C16" s="17" t="s">
        <v>44</v>
      </c>
      <c r="D16" s="21" t="s">
        <v>62</v>
      </c>
    </row>
    <row r="17" ht="42.0" customHeight="1">
      <c r="A17" s="17" t="s">
        <v>63</v>
      </c>
      <c r="B17" s="23">
        <v>0.1</v>
      </c>
      <c r="C17" s="17" t="s">
        <v>44</v>
      </c>
      <c r="D17" s="21" t="s">
        <v>64</v>
      </c>
    </row>
    <row r="18" ht="42.0" customHeight="1">
      <c r="A18" s="17" t="s">
        <v>65</v>
      </c>
      <c r="B18" s="23">
        <v>5.0</v>
      </c>
      <c r="C18" s="17" t="s">
        <v>44</v>
      </c>
      <c r="D18" s="21" t="s">
        <v>66</v>
      </c>
    </row>
    <row r="19" ht="42.0" customHeight="1">
      <c r="A19" s="27" t="s">
        <v>67</v>
      </c>
      <c r="B19" s="28" t="s">
        <v>68</v>
      </c>
      <c r="C19" s="27" t="s">
        <v>69</v>
      </c>
      <c r="D19" s="30" t="s">
        <v>70</v>
      </c>
    </row>
    <row r="20" ht="42.0" customHeight="1">
      <c r="A20" s="17" t="s">
        <v>71</v>
      </c>
      <c r="B20" s="23" t="s">
        <v>72</v>
      </c>
      <c r="C20" s="17" t="s">
        <v>23</v>
      </c>
      <c r="D20" s="30" t="s">
        <v>73</v>
      </c>
    </row>
    <row r="21" ht="42.0" customHeight="1">
      <c r="A21" s="17" t="s">
        <v>75</v>
      </c>
      <c r="B21" s="23" t="s">
        <v>76</v>
      </c>
      <c r="C21" s="17" t="s">
        <v>77</v>
      </c>
      <c r="D21" s="21" t="s">
        <v>78</v>
      </c>
    </row>
    <row r="22" ht="42.0" customHeight="1">
      <c r="A22" s="17" t="s">
        <v>79</v>
      </c>
      <c r="B22" s="17">
        <f>MAX(10,B5)</f>
        <v>10</v>
      </c>
      <c r="C22" s="17" t="s">
        <v>82</v>
      </c>
      <c r="D22" s="21" t="s">
        <v>83</v>
      </c>
    </row>
    <row r="23" ht="42.0" customHeight="1">
      <c r="D23" s="21"/>
    </row>
    <row r="24" ht="42.0" customHeight="1">
      <c r="D24" s="21"/>
    </row>
    <row r="25" ht="42.0" customHeight="1">
      <c r="A25" s="17" t="s">
        <v>84</v>
      </c>
      <c r="D25" s="21"/>
    </row>
    <row r="26" ht="57.0" customHeight="1">
      <c r="A26" s="21" t="s">
        <v>85</v>
      </c>
      <c r="B26" s="21" t="s">
        <v>86</v>
      </c>
      <c r="C26" s="21" t="s">
        <v>87</v>
      </c>
      <c r="D26" s="21" t="s">
        <v>88</v>
      </c>
    </row>
    <row r="27" ht="57.0" customHeight="1">
      <c r="A27" s="21" t="s">
        <v>89</v>
      </c>
      <c r="B27" s="21" t="s">
        <v>90</v>
      </c>
      <c r="C27" s="21" t="s">
        <v>87</v>
      </c>
      <c r="D27" s="21" t="s">
        <v>91</v>
      </c>
    </row>
    <row r="28" ht="57.0" customHeight="1">
      <c r="A28" s="21" t="s">
        <v>92</v>
      </c>
      <c r="B28" s="21" t="s">
        <v>94</v>
      </c>
      <c r="C28" s="21" t="s">
        <v>87</v>
      </c>
      <c r="D28" s="21" t="s">
        <v>95</v>
      </c>
    </row>
    <row r="29" ht="57.0" customHeight="1">
      <c r="A29" s="21" t="s">
        <v>96</v>
      </c>
      <c r="B29" s="21" t="s">
        <v>97</v>
      </c>
      <c r="C29" s="21" t="s">
        <v>98</v>
      </c>
      <c r="D29" s="21" t="s">
        <v>99</v>
      </c>
    </row>
    <row r="30" ht="57.0" customHeight="1">
      <c r="A30" s="21" t="s">
        <v>100</v>
      </c>
      <c r="B30" s="21" t="s">
        <v>101</v>
      </c>
      <c r="C30" s="21" t="s">
        <v>103</v>
      </c>
      <c r="D30" s="21" t="s">
        <v>104</v>
      </c>
    </row>
    <row r="31" ht="57.0" customHeight="1">
      <c r="A31" s="21" t="s">
        <v>105</v>
      </c>
      <c r="B31" s="21" t="s">
        <v>106</v>
      </c>
      <c r="C31" s="21" t="s">
        <v>107</v>
      </c>
      <c r="D31" s="21" t="s">
        <v>108</v>
      </c>
    </row>
    <row r="32" ht="42.0" customHeight="1">
      <c r="D32" s="21"/>
    </row>
    <row r="33" ht="15.75" customHeight="1"/>
    <row r="34" ht="34.5" customHeight="1">
      <c r="A34" s="14" t="s">
        <v>109</v>
      </c>
      <c r="B34" s="14" t="s">
        <v>110</v>
      </c>
      <c r="C34" s="14" t="s">
        <v>23</v>
      </c>
      <c r="D34" s="14" t="s">
        <v>112</v>
      </c>
    </row>
    <row r="35" ht="34.5" customHeight="1">
      <c r="A35" s="14" t="s">
        <v>113</v>
      </c>
      <c r="B35" s="14" t="s">
        <v>114</v>
      </c>
      <c r="C35" s="14" t="s">
        <v>53</v>
      </c>
      <c r="D35" s="14" t="s">
        <v>115</v>
      </c>
    </row>
    <row r="36" ht="34.5" customHeight="1">
      <c r="A36" s="14" t="s">
        <v>116</v>
      </c>
      <c r="B36" s="14" t="s">
        <v>117</v>
      </c>
      <c r="C36" s="14" t="s">
        <v>77</v>
      </c>
      <c r="D36" s="14" t="s">
        <v>118</v>
      </c>
    </row>
    <row r="37" ht="34.5" customHeight="1">
      <c r="A37" s="14" t="s">
        <v>119</v>
      </c>
      <c r="B37" s="14" t="s">
        <v>120</v>
      </c>
      <c r="C37" s="14" t="s">
        <v>121</v>
      </c>
      <c r="D37" s="14" t="s">
        <v>122</v>
      </c>
    </row>
    <row r="38" ht="34.5" customHeight="1">
      <c r="A38" s="14" t="s">
        <v>123</v>
      </c>
      <c r="B38" s="14" t="s">
        <v>124</v>
      </c>
      <c r="C38" s="14" t="s">
        <v>121</v>
      </c>
      <c r="D38" s="14" t="s">
        <v>125</v>
      </c>
    </row>
    <row r="39" ht="15.75" customHeight="1"/>
    <row r="40" ht="15.75" customHeight="1"/>
    <row r="41" ht="15.75" customHeight="1">
      <c r="A41" s="33" t="s">
        <v>126</v>
      </c>
      <c r="B41" s="35"/>
      <c r="C41" s="35"/>
      <c r="D41" s="35"/>
    </row>
    <row r="42" ht="42.0" customHeight="1">
      <c r="A42" s="14" t="s">
        <v>129</v>
      </c>
      <c r="B42" s="14">
        <v>365.0</v>
      </c>
      <c r="C42" s="14" t="s">
        <v>44</v>
      </c>
      <c r="D42" s="14" t="s">
        <v>130</v>
      </c>
    </row>
    <row r="43" ht="42.0" customHeight="1">
      <c r="A43" s="14" t="s">
        <v>131</v>
      </c>
      <c r="B43" s="36">
        <v>0.5</v>
      </c>
      <c r="C43" s="14" t="s">
        <v>53</v>
      </c>
      <c r="D43" s="14" t="s">
        <v>133</v>
      </c>
    </row>
    <row r="44" ht="42.0" customHeight="1">
      <c r="A44" s="14" t="s">
        <v>134</v>
      </c>
      <c r="B44" s="36">
        <v>0.5</v>
      </c>
      <c r="C44" s="14" t="s">
        <v>53</v>
      </c>
      <c r="D44" s="14" t="s">
        <v>136</v>
      </c>
    </row>
    <row r="45" ht="42.0" customHeight="1">
      <c r="A45" s="14" t="s">
        <v>137</v>
      </c>
      <c r="B45" s="36">
        <v>0.5</v>
      </c>
      <c r="C45" s="14" t="s">
        <v>53</v>
      </c>
      <c r="D45" s="14" t="s">
        <v>140</v>
      </c>
    </row>
    <row r="46" ht="42.0" customHeight="1">
      <c r="A46" s="14" t="s">
        <v>143</v>
      </c>
      <c r="B46" s="36">
        <v>0.5</v>
      </c>
      <c r="C46" s="14" t="s">
        <v>53</v>
      </c>
      <c r="D46" s="14" t="s">
        <v>148</v>
      </c>
    </row>
    <row r="47" ht="42.0" customHeight="1">
      <c r="A47" s="14" t="s">
        <v>150</v>
      </c>
      <c r="B47" s="14" t="s">
        <v>151</v>
      </c>
      <c r="C47" s="14" t="s">
        <v>153</v>
      </c>
      <c r="D47" s="14" t="s">
        <v>154</v>
      </c>
    </row>
    <row r="48" ht="42.0" customHeight="1">
      <c r="A48" s="14" t="s">
        <v>155</v>
      </c>
      <c r="B48" s="14" t="s">
        <v>157</v>
      </c>
      <c r="C48" s="14" t="s">
        <v>121</v>
      </c>
      <c r="D48" s="14" t="s">
        <v>161</v>
      </c>
    </row>
    <row r="49" ht="42.0" customHeight="1">
      <c r="A49" s="14" t="s">
        <v>164</v>
      </c>
      <c r="B49" s="14" t="s">
        <v>167</v>
      </c>
      <c r="C49" s="14" t="s">
        <v>169</v>
      </c>
      <c r="D49" s="14" t="s">
        <v>172</v>
      </c>
    </row>
    <row r="50" ht="42.0" customHeight="1">
      <c r="A50" s="14" t="s">
        <v>175</v>
      </c>
      <c r="B50" s="14" t="s">
        <v>177</v>
      </c>
      <c r="C50" s="14" t="s">
        <v>107</v>
      </c>
      <c r="D50" s="14" t="s">
        <v>179</v>
      </c>
    </row>
    <row r="51" ht="15.75" customHeight="1"/>
    <row r="52" ht="15.75" customHeight="1"/>
    <row r="53" ht="15.75" customHeight="1">
      <c r="A53" s="27" t="s">
        <v>180</v>
      </c>
    </row>
    <row r="54" ht="15.75" customHeight="1">
      <c r="A54" s="27" t="s">
        <v>181</v>
      </c>
      <c r="B54" s="27" t="s">
        <v>182</v>
      </c>
      <c r="C54" s="27" t="s">
        <v>183</v>
      </c>
      <c r="D54" s="27" t="s">
        <v>184</v>
      </c>
    </row>
    <row r="55" ht="15.75" customHeight="1">
      <c r="A55" s="27" t="s">
        <v>185</v>
      </c>
      <c r="B55" s="39">
        <f>Profitability!G5</f>
        <v>0.5</v>
      </c>
      <c r="C55" s="27" t="s">
        <v>187</v>
      </c>
      <c r="D55" s="27" t="s">
        <v>188</v>
      </c>
    </row>
    <row r="56" ht="15.75" customHeight="1">
      <c r="A56" s="27" t="s">
        <v>190</v>
      </c>
      <c r="B56" s="39">
        <f>Profitability!G6</f>
        <v>0.5</v>
      </c>
      <c r="C56" s="27" t="s">
        <v>187</v>
      </c>
      <c r="D56" s="27" t="s">
        <v>193</v>
      </c>
    </row>
    <row r="57" ht="15.75" customHeight="1">
      <c r="A57" s="27" t="s">
        <v>194</v>
      </c>
      <c r="B57" s="17">
        <f>Profitability!B6</f>
        <v>3</v>
      </c>
      <c r="C57" s="27" t="s">
        <v>26</v>
      </c>
      <c r="D57" s="27" t="s">
        <v>197</v>
      </c>
    </row>
    <row r="58" ht="15.75" customHeight="1">
      <c r="A58" s="27" t="s">
        <v>198</v>
      </c>
      <c r="B58" s="27" t="s">
        <v>199</v>
      </c>
      <c r="C58" s="27" t="s">
        <v>121</v>
      </c>
      <c r="D58" s="27" t="s">
        <v>200</v>
      </c>
    </row>
    <row r="59" ht="15.75" customHeight="1">
      <c r="A59" s="27" t="s">
        <v>201</v>
      </c>
      <c r="B59" s="27" t="s">
        <v>202</v>
      </c>
      <c r="C59" s="27" t="s">
        <v>77</v>
      </c>
      <c r="D59" s="27" t="s">
        <v>203</v>
      </c>
    </row>
    <row r="60" ht="15.75" customHeight="1">
      <c r="A60" s="27" t="s">
        <v>204</v>
      </c>
      <c r="B60" s="27" t="s">
        <v>205</v>
      </c>
      <c r="C60" s="27" t="s">
        <v>206</v>
      </c>
      <c r="D60" s="27" t="s">
        <v>207</v>
      </c>
    </row>
    <row r="61" ht="15.75" customHeight="1">
      <c r="A61" s="27" t="s">
        <v>209</v>
      </c>
      <c r="B61" s="27" t="s">
        <v>210</v>
      </c>
      <c r="C61" s="27" t="s">
        <v>211</v>
      </c>
      <c r="D61" s="27" t="s">
        <v>212</v>
      </c>
    </row>
    <row r="62" ht="15.75" customHeight="1">
      <c r="A62" s="27" t="s">
        <v>213</v>
      </c>
      <c r="B62" s="27" t="s">
        <v>214</v>
      </c>
      <c r="C62" s="27" t="s">
        <v>215</v>
      </c>
      <c r="D62" s="27" t="s">
        <v>216</v>
      </c>
    </row>
    <row r="63" ht="15.75" customHeight="1">
      <c r="A63" s="27" t="s">
        <v>218</v>
      </c>
      <c r="B63" s="27" t="s">
        <v>219</v>
      </c>
      <c r="C63" s="27" t="s">
        <v>220</v>
      </c>
      <c r="D63" s="27" t="s">
        <v>222</v>
      </c>
    </row>
    <row r="64" ht="15.75" customHeight="1"/>
    <row r="65" ht="15.75" customHeight="1">
      <c r="A65" s="27" t="s">
        <v>223</v>
      </c>
      <c r="B65" s="27" t="s">
        <v>11</v>
      </c>
      <c r="C65" s="27" t="s">
        <v>14</v>
      </c>
    </row>
    <row r="66" ht="15.75" customHeight="1">
      <c r="A66" s="27" t="s">
        <v>224</v>
      </c>
      <c r="B66" s="39">
        <f>'Overall score'!G5</f>
        <v>0.25</v>
      </c>
      <c r="C66" s="27" t="s">
        <v>233</v>
      </c>
    </row>
    <row r="67" ht="15.75" customHeight="1">
      <c r="A67" s="27" t="s">
        <v>235</v>
      </c>
      <c r="B67" s="39">
        <f>'Overall score'!G6</f>
        <v>0.25</v>
      </c>
      <c r="C67" s="27" t="s">
        <v>233</v>
      </c>
    </row>
    <row r="68" ht="15.75" customHeight="1">
      <c r="A68" s="27" t="s">
        <v>243</v>
      </c>
      <c r="B68" s="39">
        <f>'Overall score'!G7</f>
        <v>0.25</v>
      </c>
      <c r="C68" s="27" t="s">
        <v>233</v>
      </c>
    </row>
    <row r="69" ht="15.75" customHeight="1">
      <c r="A69" s="27" t="s">
        <v>244</v>
      </c>
      <c r="B69" s="39">
        <f>'Overall score'!G8</f>
        <v>0.25</v>
      </c>
      <c r="C69" s="27" t="s">
        <v>233</v>
      </c>
    </row>
    <row r="70" ht="15.75" customHeight="1">
      <c r="A70" s="27" t="s">
        <v>246</v>
      </c>
      <c r="B70" s="17" t="str">
        <f>'Overall score'!G10</f>
        <v>Valid</v>
      </c>
      <c r="C70" s="27" t="s">
        <v>247</v>
      </c>
    </row>
    <row r="71" ht="15.75" customHeight="1">
      <c r="A71" s="27" t="s">
        <v>248</v>
      </c>
      <c r="B71" s="27" t="s">
        <v>249</v>
      </c>
      <c r="C71" s="27" t="s">
        <v>250</v>
      </c>
    </row>
    <row r="72" ht="15.75" customHeight="1">
      <c r="A72" s="27" t="s">
        <v>251</v>
      </c>
      <c r="B72" s="27" t="s">
        <v>252</v>
      </c>
      <c r="C72" s="27" t="s">
        <v>250</v>
      </c>
    </row>
    <row r="73" ht="15.75" customHeight="1">
      <c r="A73" s="27" t="s">
        <v>253</v>
      </c>
      <c r="B73" s="17" t="str">
        <f>'Cross-sector test'!B8&amp;" / "&amp;'Cross-sector test'!B5</f>
        <v>0 / 10</v>
      </c>
      <c r="C73" s="27" t="s">
        <v>254</v>
      </c>
    </row>
    <row r="74" ht="15.75" customHeight="1">
      <c r="A74" s="27" t="s">
        <v>255</v>
      </c>
      <c r="B74" s="27" t="s">
        <v>256</v>
      </c>
      <c r="C74" s="27" t="s">
        <v>257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15">
      <formula1>"No,Yes"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19.0"/>
    <col customWidth="1" min="3" max="3" width="29.0"/>
    <col customWidth="1" min="4" max="13" width="19.0"/>
    <col customWidth="1" min="14" max="15" width="37.0"/>
    <col customWidth="1" min="16" max="19" width="19.0"/>
    <col customWidth="1" min="20" max="20" width="29.0"/>
    <col customWidth="1" min="21" max="26" width="8.63"/>
  </cols>
  <sheetData>
    <row r="1">
      <c r="A1" s="1"/>
      <c r="B1" s="1"/>
      <c r="C1" s="1"/>
      <c r="D1" s="1"/>
      <c r="E1" s="1"/>
      <c r="F1" s="1"/>
    </row>
    <row r="2">
      <c r="A2" s="3" t="s">
        <v>275</v>
      </c>
      <c r="B2" s="1"/>
      <c r="C2" s="1"/>
      <c r="D2" s="1"/>
      <c r="E2" s="1"/>
      <c r="F2" s="1"/>
    </row>
    <row r="3">
      <c r="A3" s="1" t="s">
        <v>276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8.0" customHeight="1">
      <c r="A5" s="51" t="s">
        <v>139</v>
      </c>
      <c r="B5" s="51" t="s">
        <v>277</v>
      </c>
      <c r="C5" s="51" t="s">
        <v>141</v>
      </c>
      <c r="D5" s="51" t="s">
        <v>33</v>
      </c>
      <c r="E5" s="51" t="s">
        <v>38</v>
      </c>
      <c r="F5" s="51" t="s">
        <v>40</v>
      </c>
      <c r="G5" s="52" t="s">
        <v>278</v>
      </c>
      <c r="H5" s="52" t="s">
        <v>279</v>
      </c>
      <c r="I5" s="52" t="s">
        <v>258</v>
      </c>
      <c r="J5" s="52" t="s">
        <v>280</v>
      </c>
      <c r="K5" s="52" t="s">
        <v>281</v>
      </c>
      <c r="L5" s="52" t="s">
        <v>282</v>
      </c>
      <c r="M5" s="52" t="s">
        <v>283</v>
      </c>
      <c r="N5" s="52" t="s">
        <v>284</v>
      </c>
      <c r="O5" s="52" t="s">
        <v>285</v>
      </c>
      <c r="P5" s="52" t="s">
        <v>286</v>
      </c>
      <c r="Q5" s="52" t="s">
        <v>287</v>
      </c>
      <c r="R5" s="52" t="s">
        <v>288</v>
      </c>
      <c r="S5" s="52" t="s">
        <v>289</v>
      </c>
      <c r="T5" s="52" t="s">
        <v>290</v>
      </c>
    </row>
    <row r="6" ht="24.0" customHeight="1">
      <c r="A6" s="53" t="s">
        <v>291</v>
      </c>
      <c r="B6" s="53" t="s">
        <v>292</v>
      </c>
      <c r="C6" s="53" t="s">
        <v>293</v>
      </c>
      <c r="D6" s="53" t="s">
        <v>294</v>
      </c>
      <c r="E6" s="53" t="s">
        <v>295</v>
      </c>
      <c r="F6" s="53" t="s">
        <v>296</v>
      </c>
      <c r="G6" s="53" t="s">
        <v>249</v>
      </c>
      <c r="H6" s="53" t="s">
        <v>249</v>
      </c>
      <c r="I6" s="54">
        <v>674.39</v>
      </c>
      <c r="J6" s="55">
        <v>46297.0</v>
      </c>
      <c r="K6" s="56"/>
      <c r="L6" s="57"/>
      <c r="M6" s="53" t="s">
        <v>59</v>
      </c>
      <c r="N6" s="58" t="s">
        <v>297</v>
      </c>
      <c r="O6" s="59"/>
      <c r="P6" s="53" t="s">
        <v>59</v>
      </c>
      <c r="Q6" s="60">
        <f t="shared" ref="Q6:Q55" si="1">IF(A6="","",COUNTIFS($A$6:$A$55,A6))</f>
        <v>1</v>
      </c>
      <c r="R6" s="60">
        <f>IF(A6="","",IF(AND(Q6=1,G6="Yes",H6="Yes",P6="Yes",Rules!$B$7&lt;&gt;"Not selected",D6=Rules!$B$7,OR(Rules!$B$8="",E6=Rules!$B$8),OR(Rules!$B$9="Global",F6=Rules!$B$9),ISNUMBER(I6),I6&gt;=Rules!$B$22,ISNUMBER(J6),J6&lt;=Rules!$B$6,Rules!$B$6-J6&lt;=Rules!$B$10,N6&lt;&gt;""),1,0))</f>
        <v>0</v>
      </c>
      <c r="S6" s="60">
        <f>IF(A6="","",IF(AND(R6=1,ISNUMBER(K6),K6&gt;=0,ISNUMBER(L6),L6&lt;=Rules!$B$6,Rules!$B$6-L6&lt;=Rules!$B$11,M6="Yes",O6&lt;&gt;""),1,0))</f>
        <v>0</v>
      </c>
      <c r="T6" s="60" t="str">
        <f>IF(A6="","",IF(Q6&lt;&gt;1,"Duplicate issuer",IF(AND(ISNUMBER(I6),I6&lt;Rules!$B$22),"Below cap floor",IF(R6&lt;&gt;1,"Check scope/cap inputs",IF(S6&lt;&gt;1,"Check revenue inputs","Ready")))))</f>
        <v>Check scope/cap inputs</v>
      </c>
    </row>
    <row r="7" ht="24.0" customHeight="1">
      <c r="A7" s="53" t="s">
        <v>298</v>
      </c>
      <c r="B7" s="53" t="s">
        <v>299</v>
      </c>
      <c r="C7" s="53" t="s">
        <v>300</v>
      </c>
      <c r="D7" s="53" t="s">
        <v>301</v>
      </c>
      <c r="E7" s="53" t="s">
        <v>302</v>
      </c>
      <c r="F7" s="53" t="s">
        <v>296</v>
      </c>
      <c r="G7" s="53" t="s">
        <v>249</v>
      </c>
      <c r="H7" s="53" t="s">
        <v>249</v>
      </c>
      <c r="I7" s="54">
        <v>617.01</v>
      </c>
      <c r="J7" s="55">
        <v>46297.0</v>
      </c>
      <c r="K7" s="56"/>
      <c r="L7" s="57"/>
      <c r="M7" s="53" t="s">
        <v>59</v>
      </c>
      <c r="N7" s="58" t="s">
        <v>303</v>
      </c>
      <c r="O7" s="59"/>
      <c r="P7" s="53" t="s">
        <v>59</v>
      </c>
      <c r="Q7" s="60">
        <f t="shared" si="1"/>
        <v>1</v>
      </c>
      <c r="R7" s="60">
        <f>IF(A7="","",IF(AND(Q7=1,G7="Yes",H7="Yes",P7="Yes",Rules!$B$7&lt;&gt;"Not selected",D7=Rules!$B$7,OR(Rules!$B$8="",E7=Rules!$B$8),OR(Rules!$B$9="Global",F7=Rules!$B$9),ISNUMBER(I7),I7&gt;=Rules!$B$22,ISNUMBER(J7),J7&lt;=Rules!$B$6,Rules!$B$6-J7&lt;=Rules!$B$10,N7&lt;&gt;""),1,0))</f>
        <v>0</v>
      </c>
      <c r="S7" s="60">
        <f>IF(A7="","",IF(AND(R7=1,ISNUMBER(K7),K7&gt;=0,ISNUMBER(L7),L7&lt;=Rules!$B$6,Rules!$B$6-L7&lt;=Rules!$B$11,M7="Yes",O7&lt;&gt;""),1,0))</f>
        <v>0</v>
      </c>
      <c r="T7" s="60" t="str">
        <f>IF(A7="","",IF(Q7&lt;&gt;1,"Duplicate issuer",IF(AND(ISNUMBER(I7),I7&lt;Rules!$B$22),"Below cap floor",IF(R7&lt;&gt;1,"Check scope/cap inputs",IF(S7&lt;&gt;1,"Check revenue inputs","Ready")))))</f>
        <v>Check scope/cap inputs</v>
      </c>
    </row>
    <row r="8" ht="24.0" customHeight="1">
      <c r="A8" s="53" t="s">
        <v>304</v>
      </c>
      <c r="B8" s="53" t="s">
        <v>305</v>
      </c>
      <c r="C8" s="53" t="s">
        <v>306</v>
      </c>
      <c r="D8" s="53" t="s">
        <v>307</v>
      </c>
      <c r="E8" s="53" t="s">
        <v>308</v>
      </c>
      <c r="F8" s="53" t="s">
        <v>296</v>
      </c>
      <c r="G8" s="53" t="s">
        <v>249</v>
      </c>
      <c r="H8" s="53" t="s">
        <v>249</v>
      </c>
      <c r="I8" s="54">
        <v>336.58</v>
      </c>
      <c r="J8" s="55">
        <v>46297.0</v>
      </c>
      <c r="K8" s="56"/>
      <c r="L8" s="57"/>
      <c r="M8" s="53" t="s">
        <v>59</v>
      </c>
      <c r="N8" s="58" t="s">
        <v>309</v>
      </c>
      <c r="O8" s="59"/>
      <c r="P8" s="53" t="s">
        <v>59</v>
      </c>
      <c r="Q8" s="60">
        <f t="shared" si="1"/>
        <v>1</v>
      </c>
      <c r="R8" s="60">
        <f>IF(A8="","",IF(AND(Q8=1,G8="Yes",H8="Yes",P8="Yes",Rules!$B$7&lt;&gt;"Not selected",D8=Rules!$B$7,OR(Rules!$B$8="",E8=Rules!$B$8),OR(Rules!$B$9="Global",F8=Rules!$B$9),ISNUMBER(I8),I8&gt;=Rules!$B$22,ISNUMBER(J8),J8&lt;=Rules!$B$6,Rules!$B$6-J8&lt;=Rules!$B$10,N8&lt;&gt;""),1,0))</f>
        <v>0</v>
      </c>
      <c r="S8" s="60">
        <f>IF(A8="","",IF(AND(R8=1,ISNUMBER(K8),K8&gt;=0,ISNUMBER(L8),L8&lt;=Rules!$B$6,Rules!$B$6-L8&lt;=Rules!$B$11,M8="Yes",O8&lt;&gt;""),1,0))</f>
        <v>0</v>
      </c>
      <c r="T8" s="60" t="str">
        <f>IF(A8="","",IF(Q8&lt;&gt;1,"Duplicate issuer",IF(AND(ISNUMBER(I8),I8&lt;Rules!$B$22),"Below cap floor",IF(R8&lt;&gt;1,"Check scope/cap inputs",IF(S8&lt;&gt;1,"Check revenue inputs","Ready")))))</f>
        <v>Check scope/cap inputs</v>
      </c>
    </row>
    <row r="9" ht="24.0" customHeight="1">
      <c r="A9" s="53" t="s">
        <v>310</v>
      </c>
      <c r="B9" s="53" t="s">
        <v>311</v>
      </c>
      <c r="C9" s="53" t="s">
        <v>312</v>
      </c>
      <c r="D9" s="53" t="s">
        <v>313</v>
      </c>
      <c r="E9" s="53" t="s">
        <v>314</v>
      </c>
      <c r="F9" s="53" t="s">
        <v>296</v>
      </c>
      <c r="G9" s="53" t="s">
        <v>249</v>
      </c>
      <c r="H9" s="53" t="s">
        <v>249</v>
      </c>
      <c r="I9" s="54">
        <v>282.2</v>
      </c>
      <c r="J9" s="55">
        <v>46297.0</v>
      </c>
      <c r="K9" s="56"/>
      <c r="L9" s="57"/>
      <c r="M9" s="53" t="s">
        <v>59</v>
      </c>
      <c r="N9" s="58" t="s">
        <v>315</v>
      </c>
      <c r="O9" s="59"/>
      <c r="P9" s="53" t="s">
        <v>59</v>
      </c>
      <c r="Q9" s="60">
        <f t="shared" si="1"/>
        <v>1</v>
      </c>
      <c r="R9" s="60">
        <f>IF(A9="","",IF(AND(Q9=1,G9="Yes",H9="Yes",P9="Yes",Rules!$B$7&lt;&gt;"Not selected",D9=Rules!$B$7,OR(Rules!$B$8="",E9=Rules!$B$8),OR(Rules!$B$9="Global",F9=Rules!$B$9),ISNUMBER(I9),I9&gt;=Rules!$B$22,ISNUMBER(J9),J9&lt;=Rules!$B$6,Rules!$B$6-J9&lt;=Rules!$B$10,N9&lt;&gt;""),1,0))</f>
        <v>0</v>
      </c>
      <c r="S9" s="60">
        <f>IF(A9="","",IF(AND(R9=1,ISNUMBER(K9),K9&gt;=0,ISNUMBER(L9),L9&lt;=Rules!$B$6,Rules!$B$6-L9&lt;=Rules!$B$11,M9="Yes",O9&lt;&gt;""),1,0))</f>
        <v>0</v>
      </c>
      <c r="T9" s="60" t="str">
        <f>IF(A9="","",IF(Q9&lt;&gt;1,"Duplicate issuer",IF(AND(ISNUMBER(I9),I9&lt;Rules!$B$22),"Below cap floor",IF(R9&lt;&gt;1,"Check scope/cap inputs",IF(S9&lt;&gt;1,"Check revenue inputs","Ready")))))</f>
        <v>Check scope/cap inputs</v>
      </c>
    </row>
    <row r="10" ht="24.0" customHeight="1">
      <c r="A10" s="53" t="s">
        <v>316</v>
      </c>
      <c r="B10" s="53" t="s">
        <v>317</v>
      </c>
      <c r="C10" s="53" t="s">
        <v>317</v>
      </c>
      <c r="D10" s="53" t="s">
        <v>318</v>
      </c>
      <c r="E10" s="53" t="s">
        <v>319</v>
      </c>
      <c r="F10" s="53" t="s">
        <v>296</v>
      </c>
      <c r="G10" s="53" t="s">
        <v>249</v>
      </c>
      <c r="H10" s="53" t="s">
        <v>249</v>
      </c>
      <c r="I10" s="54">
        <v>209.76</v>
      </c>
      <c r="J10" s="55">
        <v>46297.0</v>
      </c>
      <c r="K10" s="56"/>
      <c r="L10" s="57"/>
      <c r="M10" s="53" t="s">
        <v>59</v>
      </c>
      <c r="N10" s="58" t="s">
        <v>320</v>
      </c>
      <c r="O10" s="59"/>
      <c r="P10" s="53" t="s">
        <v>59</v>
      </c>
      <c r="Q10" s="60">
        <f t="shared" si="1"/>
        <v>1</v>
      </c>
      <c r="R10" s="60">
        <f>IF(A10="","",IF(AND(Q10=1,G10="Yes",H10="Yes",P10="Yes",Rules!$B$7&lt;&gt;"Not selected",D10=Rules!$B$7,OR(Rules!$B$8="",E10=Rules!$B$8),OR(Rules!$B$9="Global",F10=Rules!$B$9),ISNUMBER(I10),I10&gt;=Rules!$B$22,ISNUMBER(J10),J10&lt;=Rules!$B$6,Rules!$B$6-J10&lt;=Rules!$B$10,N10&lt;&gt;""),1,0))</f>
        <v>0</v>
      </c>
      <c r="S10" s="60">
        <f>IF(A10="","",IF(AND(R10=1,ISNUMBER(K10),K10&gt;=0,ISNUMBER(L10),L10&lt;=Rules!$B$6,Rules!$B$6-L10&lt;=Rules!$B$11,M10="Yes",O10&lt;&gt;""),1,0))</f>
        <v>0</v>
      </c>
      <c r="T10" s="60" t="str">
        <f>IF(A10="","",IF(Q10&lt;&gt;1,"Duplicate issuer",IF(AND(ISNUMBER(I10),I10&lt;Rules!$B$22),"Below cap floor",IF(R10&lt;&gt;1,"Check scope/cap inputs",IF(S10&lt;&gt;1,"Check revenue inputs","Ready")))))</f>
        <v>Check scope/cap inputs</v>
      </c>
    </row>
    <row r="11" ht="24.0" customHeight="1">
      <c r="A11" s="53" t="s">
        <v>321</v>
      </c>
      <c r="B11" s="53" t="s">
        <v>322</v>
      </c>
      <c r="C11" s="53" t="s">
        <v>323</v>
      </c>
      <c r="D11" s="53" t="s">
        <v>324</v>
      </c>
      <c r="E11" s="53" t="s">
        <v>325</v>
      </c>
      <c r="F11" s="53" t="s">
        <v>296</v>
      </c>
      <c r="G11" s="53" t="s">
        <v>249</v>
      </c>
      <c r="H11" s="53" t="s">
        <v>249</v>
      </c>
      <c r="I11" s="54">
        <v>190.79</v>
      </c>
      <c r="J11" s="55">
        <v>46297.0</v>
      </c>
      <c r="K11" s="56"/>
      <c r="L11" s="57"/>
      <c r="M11" s="53" t="s">
        <v>59</v>
      </c>
      <c r="N11" s="58" t="s">
        <v>326</v>
      </c>
      <c r="O11" s="59"/>
      <c r="P11" s="53" t="s">
        <v>59</v>
      </c>
      <c r="Q11" s="60">
        <f t="shared" si="1"/>
        <v>1</v>
      </c>
      <c r="R11" s="60">
        <f>IF(A11="","",IF(AND(Q11=1,G11="Yes",H11="Yes",P11="Yes",Rules!$B$7&lt;&gt;"Not selected",D11=Rules!$B$7,OR(Rules!$B$8="",E11=Rules!$B$8),OR(Rules!$B$9="Global",F11=Rules!$B$9),ISNUMBER(I11),I11&gt;=Rules!$B$22,ISNUMBER(J11),J11&lt;=Rules!$B$6,Rules!$B$6-J11&lt;=Rules!$B$10,N11&lt;&gt;""),1,0))</f>
        <v>0</v>
      </c>
      <c r="S11" s="60">
        <f>IF(A11="","",IF(AND(R11=1,ISNUMBER(K11),K11&gt;=0,ISNUMBER(L11),L11&lt;=Rules!$B$6,Rules!$B$6-L11&lt;=Rules!$B$11,M11="Yes",O11&lt;&gt;""),1,0))</f>
        <v>0</v>
      </c>
      <c r="T11" s="60" t="str">
        <f>IF(A11="","",IF(Q11&lt;&gt;1,"Duplicate issuer",IF(AND(ISNUMBER(I11),I11&lt;Rules!$B$22),"Below cap floor",IF(R11&lt;&gt;1,"Check scope/cap inputs",IF(S11&lt;&gt;1,"Check revenue inputs","Ready")))))</f>
        <v>Check scope/cap inputs</v>
      </c>
    </row>
    <row r="12" ht="24.0" customHeight="1">
      <c r="A12" s="53" t="s">
        <v>327</v>
      </c>
      <c r="B12" s="53" t="s">
        <v>328</v>
      </c>
      <c r="C12" s="53" t="s">
        <v>329</v>
      </c>
      <c r="D12" s="53" t="s">
        <v>330</v>
      </c>
      <c r="E12" s="53" t="s">
        <v>331</v>
      </c>
      <c r="F12" s="53" t="s">
        <v>296</v>
      </c>
      <c r="G12" s="53" t="s">
        <v>249</v>
      </c>
      <c r="H12" s="53" t="s">
        <v>249</v>
      </c>
      <c r="I12" s="54">
        <v>67.82</v>
      </c>
      <c r="J12" s="55">
        <v>46297.0</v>
      </c>
      <c r="K12" s="56"/>
      <c r="L12" s="57"/>
      <c r="M12" s="53" t="s">
        <v>59</v>
      </c>
      <c r="N12" s="58" t="s">
        <v>332</v>
      </c>
      <c r="O12" s="59"/>
      <c r="P12" s="53" t="s">
        <v>59</v>
      </c>
      <c r="Q12" s="60">
        <f t="shared" si="1"/>
        <v>1</v>
      </c>
      <c r="R12" s="60">
        <f>IF(A12="","",IF(AND(Q12=1,G12="Yes",H12="Yes",P12="Yes",Rules!$B$7&lt;&gt;"Not selected",D12=Rules!$B$7,OR(Rules!$B$8="",E12=Rules!$B$8),OR(Rules!$B$9="Global",F12=Rules!$B$9),ISNUMBER(I12),I12&gt;=Rules!$B$22,ISNUMBER(J12),J12&lt;=Rules!$B$6,Rules!$B$6-J12&lt;=Rules!$B$10,N12&lt;&gt;""),1,0))</f>
        <v>0</v>
      </c>
      <c r="S12" s="60">
        <f>IF(A12="","",IF(AND(R12=1,ISNUMBER(K12),K12&gt;=0,ISNUMBER(L12),L12&lt;=Rules!$B$6,Rules!$B$6-L12&lt;=Rules!$B$11,M12="Yes",O12&lt;&gt;""),1,0))</f>
        <v>0</v>
      </c>
      <c r="T12" s="60" t="str">
        <f>IF(A12="","",IF(Q12&lt;&gt;1,"Duplicate issuer",IF(AND(ISNUMBER(I12),I12&lt;Rules!$B$22),"Below cap floor",IF(R12&lt;&gt;1,"Check scope/cap inputs",IF(S12&lt;&gt;1,"Check revenue inputs","Ready")))))</f>
        <v>Check scope/cap inputs</v>
      </c>
    </row>
    <row r="13" ht="24.0" customHeight="1">
      <c r="A13" s="53" t="s">
        <v>333</v>
      </c>
      <c r="B13" s="53" t="s">
        <v>334</v>
      </c>
      <c r="C13" s="53" t="s">
        <v>335</v>
      </c>
      <c r="D13" s="53" t="s">
        <v>336</v>
      </c>
      <c r="E13" s="53" t="s">
        <v>337</v>
      </c>
      <c r="F13" s="53" t="s">
        <v>296</v>
      </c>
      <c r="G13" s="53" t="s">
        <v>249</v>
      </c>
      <c r="H13" s="53" t="s">
        <v>249</v>
      </c>
      <c r="I13" s="54">
        <v>77.11</v>
      </c>
      <c r="J13" s="55">
        <v>46297.0</v>
      </c>
      <c r="K13" s="56"/>
      <c r="L13" s="57"/>
      <c r="M13" s="53" t="s">
        <v>59</v>
      </c>
      <c r="N13" s="58" t="s">
        <v>338</v>
      </c>
      <c r="O13" s="59"/>
      <c r="P13" s="53" t="s">
        <v>59</v>
      </c>
      <c r="Q13" s="60">
        <f t="shared" si="1"/>
        <v>1</v>
      </c>
      <c r="R13" s="60">
        <f>IF(A13="","",IF(AND(Q13=1,G13="Yes",H13="Yes",P13="Yes",Rules!$B$7&lt;&gt;"Not selected",D13=Rules!$B$7,OR(Rules!$B$8="",E13=Rules!$B$8),OR(Rules!$B$9="Global",F13=Rules!$B$9),ISNUMBER(I13),I13&gt;=Rules!$B$22,ISNUMBER(J13),J13&lt;=Rules!$B$6,Rules!$B$6-J13&lt;=Rules!$B$10,N13&lt;&gt;""),1,0))</f>
        <v>0</v>
      </c>
      <c r="S13" s="60">
        <f>IF(A13="","",IF(AND(R13=1,ISNUMBER(K13),K13&gt;=0,ISNUMBER(L13),L13&lt;=Rules!$B$6,Rules!$B$6-L13&lt;=Rules!$B$11,M13="Yes",O13&lt;&gt;""),1,0))</f>
        <v>0</v>
      </c>
      <c r="T13" s="60" t="str">
        <f>IF(A13="","",IF(Q13&lt;&gt;1,"Duplicate issuer",IF(AND(ISNUMBER(I13),I13&lt;Rules!$B$22),"Below cap floor",IF(R13&lt;&gt;1,"Check scope/cap inputs",IF(S13&lt;&gt;1,"Check revenue inputs","Ready")))))</f>
        <v>Check scope/cap inputs</v>
      </c>
    </row>
    <row r="14" ht="24.0" customHeight="1">
      <c r="A14" s="53" t="s">
        <v>339</v>
      </c>
      <c r="B14" s="53" t="s">
        <v>340</v>
      </c>
      <c r="C14" s="53" t="s">
        <v>341</v>
      </c>
      <c r="D14" s="53" t="s">
        <v>30</v>
      </c>
      <c r="E14" s="53" t="s">
        <v>342</v>
      </c>
      <c r="F14" s="53" t="s">
        <v>296</v>
      </c>
      <c r="G14" s="53" t="s">
        <v>249</v>
      </c>
      <c r="H14" s="53" t="s">
        <v>249</v>
      </c>
      <c r="I14" s="54">
        <v>65.09</v>
      </c>
      <c r="J14" s="55">
        <v>46297.0</v>
      </c>
      <c r="K14" s="56"/>
      <c r="L14" s="57"/>
      <c r="M14" s="53" t="s">
        <v>59</v>
      </c>
      <c r="N14" s="58" t="s">
        <v>343</v>
      </c>
      <c r="O14" s="59"/>
      <c r="P14" s="53" t="s">
        <v>59</v>
      </c>
      <c r="Q14" s="60">
        <f t="shared" si="1"/>
        <v>1</v>
      </c>
      <c r="R14" s="60">
        <f>IF(A14="","",IF(AND(Q14=1,G14="Yes",H14="Yes",P14="Yes",Rules!$B$7&lt;&gt;"Not selected",D14=Rules!$B$7,OR(Rules!$B$8="",E14=Rules!$B$8),OR(Rules!$B$9="Global",F14=Rules!$B$9),ISNUMBER(I14),I14&gt;=Rules!$B$22,ISNUMBER(J14),J14&lt;=Rules!$B$6,Rules!$B$6-J14&lt;=Rules!$B$10,N14&lt;&gt;""),1,0))</f>
        <v>0</v>
      </c>
      <c r="S14" s="60">
        <f>IF(A14="","",IF(AND(R14=1,ISNUMBER(K14),K14&gt;=0,ISNUMBER(L14),L14&lt;=Rules!$B$6,Rules!$B$6-L14&lt;=Rules!$B$11,M14="Yes",O14&lt;&gt;""),1,0))</f>
        <v>0</v>
      </c>
      <c r="T14" s="60" t="str">
        <f>IF(A14="","",IF(Q14&lt;&gt;1,"Duplicate issuer",IF(AND(ISNUMBER(I14),I14&lt;Rules!$B$22),"Below cap floor",IF(R14&lt;&gt;1,"Check scope/cap inputs",IF(S14&lt;&gt;1,"Check revenue inputs","Ready")))))</f>
        <v>Check scope/cap inputs</v>
      </c>
    </row>
    <row r="15" ht="24.0" customHeight="1">
      <c r="A15" s="53" t="s">
        <v>344</v>
      </c>
      <c r="B15" s="53" t="s">
        <v>345</v>
      </c>
      <c r="C15" s="53" t="s">
        <v>346</v>
      </c>
      <c r="D15" s="53" t="s">
        <v>347</v>
      </c>
      <c r="E15" s="53" t="s">
        <v>348</v>
      </c>
      <c r="F15" s="53" t="s">
        <v>296</v>
      </c>
      <c r="G15" s="53" t="s">
        <v>249</v>
      </c>
      <c r="H15" s="53" t="s">
        <v>249</v>
      </c>
      <c r="I15" s="54">
        <v>883.53</v>
      </c>
      <c r="J15" s="55">
        <v>46297.0</v>
      </c>
      <c r="K15" s="56"/>
      <c r="L15" s="57"/>
      <c r="M15" s="53" t="s">
        <v>59</v>
      </c>
      <c r="N15" s="58" t="s">
        <v>349</v>
      </c>
      <c r="O15" s="59"/>
      <c r="P15" s="53" t="s">
        <v>59</v>
      </c>
      <c r="Q15" s="60">
        <f t="shared" si="1"/>
        <v>1</v>
      </c>
      <c r="R15" s="60">
        <f>IF(A15="","",IF(AND(Q15=1,G15="Yes",H15="Yes",P15="Yes",Rules!$B$7&lt;&gt;"Not selected",D15=Rules!$B$7,OR(Rules!$B$8="",E15=Rules!$B$8),OR(Rules!$B$9="Global",F15=Rules!$B$9),ISNUMBER(I15),I15&gt;=Rules!$B$22,ISNUMBER(J15),J15&lt;=Rules!$B$6,Rules!$B$6-J15&lt;=Rules!$B$10,N15&lt;&gt;""),1,0))</f>
        <v>0</v>
      </c>
      <c r="S15" s="60">
        <f>IF(A15="","",IF(AND(R15=1,ISNUMBER(K15),K15&gt;=0,ISNUMBER(L15),L15&lt;=Rules!$B$6,Rules!$B$6-L15&lt;=Rules!$B$11,M15="Yes",O15&lt;&gt;""),1,0))</f>
        <v>0</v>
      </c>
      <c r="T15" s="60" t="str">
        <f>IF(A15="","",IF(Q15&lt;&gt;1,"Duplicate issuer",IF(AND(ISNUMBER(I15),I15&lt;Rules!$B$22),"Below cap floor",IF(R15&lt;&gt;1,"Check scope/cap inputs",IF(S15&lt;&gt;1,"Check revenue inputs","Ready")))))</f>
        <v>Check scope/cap inputs</v>
      </c>
    </row>
    <row r="16" ht="24.0" customHeight="1">
      <c r="A16" s="59"/>
      <c r="B16" s="59"/>
      <c r="C16" s="59"/>
      <c r="D16" s="59"/>
      <c r="E16" s="59"/>
      <c r="F16" s="59"/>
      <c r="G16" s="59"/>
      <c r="H16" s="59"/>
      <c r="I16" s="56"/>
      <c r="J16" s="57"/>
      <c r="K16" s="56"/>
      <c r="L16" s="57"/>
      <c r="M16" s="59"/>
      <c r="N16" s="59"/>
      <c r="O16" s="59"/>
      <c r="P16" s="59"/>
      <c r="Q16" s="60" t="str">
        <f t="shared" si="1"/>
        <v/>
      </c>
      <c r="R16" s="60" t="str">
        <f>IF(A16="","",IF(AND(Q16=1,G16="Yes",H16="Yes",P16="Yes",Rules!$B$7&lt;&gt;"Not selected",D16=Rules!$B$7,OR(Rules!$B$8="",E16=Rules!$B$8),OR(Rules!$B$9="Global",F16=Rules!$B$9),ISNUMBER(I16),I16&gt;=Rules!$B$22,ISNUMBER(J16),J16&lt;=Rules!$B$6,Rules!$B$6-J16&lt;=Rules!$B$10,N16&lt;&gt;""),1,0))</f>
        <v/>
      </c>
      <c r="S16" s="60" t="str">
        <f>IF(A16="","",IF(AND(R16=1,ISNUMBER(K16),K16&gt;=0,ISNUMBER(L16),L16&lt;=Rules!$B$6,Rules!$B$6-L16&lt;=Rules!$B$11,M16="Yes",O16&lt;&gt;""),1,0))</f>
        <v/>
      </c>
      <c r="T16" s="60" t="str">
        <f>IF(A16="","",IF(Q16&lt;&gt;1,"Duplicate issuer",IF(AND(ISNUMBER(I16),I16&lt;Rules!$B$22),"Below cap floor",IF(R16&lt;&gt;1,"Check scope/cap inputs",IF(S16&lt;&gt;1,"Check revenue inputs","Ready")))))</f>
        <v/>
      </c>
    </row>
    <row r="17" ht="24.0" customHeight="1">
      <c r="A17" s="59"/>
      <c r="B17" s="59"/>
      <c r="C17" s="59"/>
      <c r="D17" s="59"/>
      <c r="E17" s="59"/>
      <c r="F17" s="59"/>
      <c r="G17" s="59"/>
      <c r="H17" s="59"/>
      <c r="I17" s="56"/>
      <c r="J17" s="57"/>
      <c r="K17" s="56"/>
      <c r="L17" s="57"/>
      <c r="M17" s="59"/>
      <c r="N17" s="59"/>
      <c r="O17" s="59"/>
      <c r="P17" s="59"/>
      <c r="Q17" s="60" t="str">
        <f t="shared" si="1"/>
        <v/>
      </c>
      <c r="R17" s="60" t="str">
        <f>IF(A17="","",IF(AND(Q17=1,G17="Yes",H17="Yes",P17="Yes",Rules!$B$7&lt;&gt;"Not selected",D17=Rules!$B$7,OR(Rules!$B$8="",E17=Rules!$B$8),OR(Rules!$B$9="Global",F17=Rules!$B$9),ISNUMBER(I17),I17&gt;=Rules!$B$22,ISNUMBER(J17),J17&lt;=Rules!$B$6,Rules!$B$6-J17&lt;=Rules!$B$10,N17&lt;&gt;""),1,0))</f>
        <v/>
      </c>
      <c r="S17" s="60" t="str">
        <f>IF(A17="","",IF(AND(R17=1,ISNUMBER(K17),K17&gt;=0,ISNUMBER(L17),L17&lt;=Rules!$B$6,Rules!$B$6-L17&lt;=Rules!$B$11,M17="Yes",O17&lt;&gt;""),1,0))</f>
        <v/>
      </c>
      <c r="T17" s="60" t="str">
        <f>IF(A17="","",IF(Q17&lt;&gt;1,"Duplicate issuer",IF(AND(ISNUMBER(I17),I17&lt;Rules!$B$22),"Below cap floor",IF(R17&lt;&gt;1,"Check scope/cap inputs",IF(S17&lt;&gt;1,"Check revenue inputs","Ready")))))</f>
        <v/>
      </c>
    </row>
    <row r="18" ht="24.0" customHeight="1">
      <c r="A18" s="59"/>
      <c r="B18" s="59"/>
      <c r="C18" s="59"/>
      <c r="D18" s="59"/>
      <c r="E18" s="59"/>
      <c r="F18" s="59"/>
      <c r="G18" s="59"/>
      <c r="H18" s="59"/>
      <c r="I18" s="56"/>
      <c r="J18" s="57"/>
      <c r="K18" s="56"/>
      <c r="L18" s="57"/>
      <c r="M18" s="59"/>
      <c r="N18" s="59"/>
      <c r="O18" s="59"/>
      <c r="P18" s="59"/>
      <c r="Q18" s="60" t="str">
        <f t="shared" si="1"/>
        <v/>
      </c>
      <c r="R18" s="60" t="str">
        <f>IF(A18="","",IF(AND(Q18=1,G18="Yes",H18="Yes",P18="Yes",Rules!$B$7&lt;&gt;"Not selected",D18=Rules!$B$7,OR(Rules!$B$8="",E18=Rules!$B$8),OR(Rules!$B$9="Global",F18=Rules!$B$9),ISNUMBER(I18),I18&gt;=Rules!$B$22,ISNUMBER(J18),J18&lt;=Rules!$B$6,Rules!$B$6-J18&lt;=Rules!$B$10,N18&lt;&gt;""),1,0))</f>
        <v/>
      </c>
      <c r="S18" s="60" t="str">
        <f>IF(A18="","",IF(AND(R18=1,ISNUMBER(K18),K18&gt;=0,ISNUMBER(L18),L18&lt;=Rules!$B$6,Rules!$B$6-L18&lt;=Rules!$B$11,M18="Yes",O18&lt;&gt;""),1,0))</f>
        <v/>
      </c>
      <c r="T18" s="60" t="str">
        <f>IF(A18="","",IF(Q18&lt;&gt;1,"Duplicate issuer",IF(AND(ISNUMBER(I18),I18&lt;Rules!$B$22),"Below cap floor",IF(R18&lt;&gt;1,"Check scope/cap inputs",IF(S18&lt;&gt;1,"Check revenue inputs","Ready")))))</f>
        <v/>
      </c>
    </row>
    <row r="19" ht="24.0" customHeight="1">
      <c r="A19" s="59"/>
      <c r="B19" s="59"/>
      <c r="C19" s="59"/>
      <c r="D19" s="59"/>
      <c r="E19" s="59"/>
      <c r="F19" s="59"/>
      <c r="G19" s="59"/>
      <c r="H19" s="59"/>
      <c r="I19" s="56"/>
      <c r="J19" s="57"/>
      <c r="K19" s="56"/>
      <c r="L19" s="57"/>
      <c r="M19" s="59"/>
      <c r="N19" s="59"/>
      <c r="O19" s="59"/>
      <c r="P19" s="59"/>
      <c r="Q19" s="60" t="str">
        <f t="shared" si="1"/>
        <v/>
      </c>
      <c r="R19" s="60" t="str">
        <f>IF(A19="","",IF(AND(Q19=1,G19="Yes",H19="Yes",P19="Yes",Rules!$B$7&lt;&gt;"Not selected",D19=Rules!$B$7,OR(Rules!$B$8="",E19=Rules!$B$8),OR(Rules!$B$9="Global",F19=Rules!$B$9),ISNUMBER(I19),I19&gt;=Rules!$B$22,ISNUMBER(J19),J19&lt;=Rules!$B$6,Rules!$B$6-J19&lt;=Rules!$B$10,N19&lt;&gt;""),1,0))</f>
        <v/>
      </c>
      <c r="S19" s="60" t="str">
        <f>IF(A19="","",IF(AND(R19=1,ISNUMBER(K19),K19&gt;=0,ISNUMBER(L19),L19&lt;=Rules!$B$6,Rules!$B$6-L19&lt;=Rules!$B$11,M19="Yes",O19&lt;&gt;""),1,0))</f>
        <v/>
      </c>
      <c r="T19" s="60" t="str">
        <f>IF(A19="","",IF(Q19&lt;&gt;1,"Duplicate issuer",IF(AND(ISNUMBER(I19),I19&lt;Rules!$B$22),"Below cap floor",IF(R19&lt;&gt;1,"Check scope/cap inputs",IF(S19&lt;&gt;1,"Check revenue inputs","Ready")))))</f>
        <v/>
      </c>
    </row>
    <row r="20" ht="24.0" customHeight="1">
      <c r="A20" s="59"/>
      <c r="B20" s="59"/>
      <c r="C20" s="59"/>
      <c r="D20" s="59"/>
      <c r="E20" s="59"/>
      <c r="F20" s="59"/>
      <c r="G20" s="59"/>
      <c r="H20" s="59"/>
      <c r="I20" s="56"/>
      <c r="J20" s="57"/>
      <c r="K20" s="56"/>
      <c r="L20" s="57"/>
      <c r="M20" s="59"/>
      <c r="N20" s="59"/>
      <c r="O20" s="59"/>
      <c r="P20" s="59"/>
      <c r="Q20" s="60" t="str">
        <f t="shared" si="1"/>
        <v/>
      </c>
      <c r="R20" s="60" t="str">
        <f>IF(A20="","",IF(AND(Q20=1,G20="Yes",H20="Yes",P20="Yes",Rules!$B$7&lt;&gt;"Not selected",D20=Rules!$B$7,OR(Rules!$B$8="",E20=Rules!$B$8),OR(Rules!$B$9="Global",F20=Rules!$B$9),ISNUMBER(I20),I20&gt;=Rules!$B$22,ISNUMBER(J20),J20&lt;=Rules!$B$6,Rules!$B$6-J20&lt;=Rules!$B$10,N20&lt;&gt;""),1,0))</f>
        <v/>
      </c>
      <c r="S20" s="60" t="str">
        <f>IF(A20="","",IF(AND(R20=1,ISNUMBER(K20),K20&gt;=0,ISNUMBER(L20),L20&lt;=Rules!$B$6,Rules!$B$6-L20&lt;=Rules!$B$11,M20="Yes",O20&lt;&gt;""),1,0))</f>
        <v/>
      </c>
      <c r="T20" s="60" t="str">
        <f>IF(A20="","",IF(Q20&lt;&gt;1,"Duplicate issuer",IF(AND(ISNUMBER(I20),I20&lt;Rules!$B$22),"Below cap floor",IF(R20&lt;&gt;1,"Check scope/cap inputs",IF(S20&lt;&gt;1,"Check revenue inputs","Ready")))))</f>
        <v/>
      </c>
    </row>
    <row r="21" ht="24.0" customHeight="1">
      <c r="A21" s="59"/>
      <c r="B21" s="59"/>
      <c r="C21" s="59"/>
      <c r="D21" s="59"/>
      <c r="E21" s="59"/>
      <c r="F21" s="59"/>
      <c r="G21" s="59"/>
      <c r="H21" s="59"/>
      <c r="I21" s="56"/>
      <c r="J21" s="57"/>
      <c r="K21" s="56"/>
      <c r="L21" s="57"/>
      <c r="M21" s="59"/>
      <c r="N21" s="59"/>
      <c r="O21" s="59"/>
      <c r="P21" s="59"/>
      <c r="Q21" s="60" t="str">
        <f t="shared" si="1"/>
        <v/>
      </c>
      <c r="R21" s="60" t="str">
        <f>IF(A21="","",IF(AND(Q21=1,G21="Yes",H21="Yes",P21="Yes",Rules!$B$7&lt;&gt;"Not selected",D21=Rules!$B$7,OR(Rules!$B$8="",E21=Rules!$B$8),OR(Rules!$B$9="Global",F21=Rules!$B$9),ISNUMBER(I21),I21&gt;=Rules!$B$22,ISNUMBER(J21),J21&lt;=Rules!$B$6,Rules!$B$6-J21&lt;=Rules!$B$10,N21&lt;&gt;""),1,0))</f>
        <v/>
      </c>
      <c r="S21" s="60" t="str">
        <f>IF(A21="","",IF(AND(R21=1,ISNUMBER(K21),K21&gt;=0,ISNUMBER(L21),L21&lt;=Rules!$B$6,Rules!$B$6-L21&lt;=Rules!$B$11,M21="Yes",O21&lt;&gt;""),1,0))</f>
        <v/>
      </c>
      <c r="T21" s="60" t="str">
        <f>IF(A21="","",IF(Q21&lt;&gt;1,"Duplicate issuer",IF(AND(ISNUMBER(I21),I21&lt;Rules!$B$22),"Below cap floor",IF(R21&lt;&gt;1,"Check scope/cap inputs",IF(S21&lt;&gt;1,"Check revenue inputs","Ready")))))</f>
        <v/>
      </c>
    </row>
    <row r="22" ht="24.0" customHeight="1">
      <c r="A22" s="59"/>
      <c r="B22" s="59"/>
      <c r="C22" s="59"/>
      <c r="D22" s="59"/>
      <c r="E22" s="59"/>
      <c r="F22" s="59"/>
      <c r="G22" s="59"/>
      <c r="H22" s="59"/>
      <c r="I22" s="56"/>
      <c r="J22" s="57"/>
      <c r="K22" s="56"/>
      <c r="L22" s="57"/>
      <c r="M22" s="59"/>
      <c r="N22" s="59"/>
      <c r="O22" s="59"/>
      <c r="P22" s="59"/>
      <c r="Q22" s="60" t="str">
        <f t="shared" si="1"/>
        <v/>
      </c>
      <c r="R22" s="60" t="str">
        <f>IF(A22="","",IF(AND(Q22=1,G22="Yes",H22="Yes",P22="Yes",Rules!$B$7&lt;&gt;"Not selected",D22=Rules!$B$7,OR(Rules!$B$8="",E22=Rules!$B$8),OR(Rules!$B$9="Global",F22=Rules!$B$9),ISNUMBER(I22),I22&gt;=Rules!$B$22,ISNUMBER(J22),J22&lt;=Rules!$B$6,Rules!$B$6-J22&lt;=Rules!$B$10,N22&lt;&gt;""),1,0))</f>
        <v/>
      </c>
      <c r="S22" s="60" t="str">
        <f>IF(A22="","",IF(AND(R22=1,ISNUMBER(K22),K22&gt;=0,ISNUMBER(L22),L22&lt;=Rules!$B$6,Rules!$B$6-L22&lt;=Rules!$B$11,M22="Yes",O22&lt;&gt;""),1,0))</f>
        <v/>
      </c>
      <c r="T22" s="60" t="str">
        <f>IF(A22="","",IF(Q22&lt;&gt;1,"Duplicate issuer",IF(AND(ISNUMBER(I22),I22&lt;Rules!$B$22),"Below cap floor",IF(R22&lt;&gt;1,"Check scope/cap inputs",IF(S22&lt;&gt;1,"Check revenue inputs","Ready")))))</f>
        <v/>
      </c>
    </row>
    <row r="23" ht="24.0" customHeight="1">
      <c r="A23" s="59"/>
      <c r="B23" s="59"/>
      <c r="C23" s="59"/>
      <c r="D23" s="59"/>
      <c r="E23" s="59"/>
      <c r="F23" s="59"/>
      <c r="G23" s="59"/>
      <c r="H23" s="59"/>
      <c r="I23" s="56"/>
      <c r="J23" s="57"/>
      <c r="K23" s="56"/>
      <c r="L23" s="57"/>
      <c r="M23" s="59"/>
      <c r="N23" s="59"/>
      <c r="O23" s="59"/>
      <c r="P23" s="59"/>
      <c r="Q23" s="60" t="str">
        <f t="shared" si="1"/>
        <v/>
      </c>
      <c r="R23" s="60" t="str">
        <f>IF(A23="","",IF(AND(Q23=1,G23="Yes",H23="Yes",P23="Yes",Rules!$B$7&lt;&gt;"Not selected",D23=Rules!$B$7,OR(Rules!$B$8="",E23=Rules!$B$8),OR(Rules!$B$9="Global",F23=Rules!$B$9),ISNUMBER(I23),I23&gt;=Rules!$B$22,ISNUMBER(J23),J23&lt;=Rules!$B$6,Rules!$B$6-J23&lt;=Rules!$B$10,N23&lt;&gt;""),1,0))</f>
        <v/>
      </c>
      <c r="S23" s="60" t="str">
        <f>IF(A23="","",IF(AND(R23=1,ISNUMBER(K23),K23&gt;=0,ISNUMBER(L23),L23&lt;=Rules!$B$6,Rules!$B$6-L23&lt;=Rules!$B$11,M23="Yes",O23&lt;&gt;""),1,0))</f>
        <v/>
      </c>
      <c r="T23" s="60" t="str">
        <f>IF(A23="","",IF(Q23&lt;&gt;1,"Duplicate issuer",IF(AND(ISNUMBER(I23),I23&lt;Rules!$B$22),"Below cap floor",IF(R23&lt;&gt;1,"Check scope/cap inputs",IF(S23&lt;&gt;1,"Check revenue inputs","Ready")))))</f>
        <v/>
      </c>
    </row>
    <row r="24" ht="24.0" customHeight="1">
      <c r="A24" s="59"/>
      <c r="B24" s="59"/>
      <c r="C24" s="59"/>
      <c r="D24" s="59"/>
      <c r="E24" s="59"/>
      <c r="F24" s="59"/>
      <c r="G24" s="59"/>
      <c r="H24" s="59"/>
      <c r="I24" s="56"/>
      <c r="J24" s="57"/>
      <c r="K24" s="56"/>
      <c r="L24" s="57"/>
      <c r="M24" s="59"/>
      <c r="N24" s="59"/>
      <c r="O24" s="59"/>
      <c r="P24" s="59"/>
      <c r="Q24" s="60" t="str">
        <f t="shared" si="1"/>
        <v/>
      </c>
      <c r="R24" s="60" t="str">
        <f>IF(A24="","",IF(AND(Q24=1,G24="Yes",H24="Yes",P24="Yes",Rules!$B$7&lt;&gt;"Not selected",D24=Rules!$B$7,OR(Rules!$B$8="",E24=Rules!$B$8),OR(Rules!$B$9="Global",F24=Rules!$B$9),ISNUMBER(I24),I24&gt;=Rules!$B$22,ISNUMBER(J24),J24&lt;=Rules!$B$6,Rules!$B$6-J24&lt;=Rules!$B$10,N24&lt;&gt;""),1,0))</f>
        <v/>
      </c>
      <c r="S24" s="60" t="str">
        <f>IF(A24="","",IF(AND(R24=1,ISNUMBER(K24),K24&gt;=0,ISNUMBER(L24),L24&lt;=Rules!$B$6,Rules!$B$6-L24&lt;=Rules!$B$11,M24="Yes",O24&lt;&gt;""),1,0))</f>
        <v/>
      </c>
      <c r="T24" s="60" t="str">
        <f>IF(A24="","",IF(Q24&lt;&gt;1,"Duplicate issuer",IF(AND(ISNUMBER(I24),I24&lt;Rules!$B$22),"Below cap floor",IF(R24&lt;&gt;1,"Check scope/cap inputs",IF(S24&lt;&gt;1,"Check revenue inputs","Ready")))))</f>
        <v/>
      </c>
    </row>
    <row r="25" ht="24.0" customHeight="1">
      <c r="A25" s="59"/>
      <c r="B25" s="59"/>
      <c r="C25" s="59"/>
      <c r="D25" s="59"/>
      <c r="E25" s="59"/>
      <c r="F25" s="59"/>
      <c r="G25" s="59"/>
      <c r="H25" s="59"/>
      <c r="I25" s="56"/>
      <c r="J25" s="57"/>
      <c r="K25" s="56"/>
      <c r="L25" s="57"/>
      <c r="M25" s="59"/>
      <c r="N25" s="59"/>
      <c r="O25" s="59"/>
      <c r="P25" s="59"/>
      <c r="Q25" s="60" t="str">
        <f t="shared" si="1"/>
        <v/>
      </c>
      <c r="R25" s="60" t="str">
        <f>IF(A25="","",IF(AND(Q25=1,G25="Yes",H25="Yes",P25="Yes",Rules!$B$7&lt;&gt;"Not selected",D25=Rules!$B$7,OR(Rules!$B$8="",E25=Rules!$B$8),OR(Rules!$B$9="Global",F25=Rules!$B$9),ISNUMBER(I25),I25&gt;=Rules!$B$22,ISNUMBER(J25),J25&lt;=Rules!$B$6,Rules!$B$6-J25&lt;=Rules!$B$10,N25&lt;&gt;""),1,0))</f>
        <v/>
      </c>
      <c r="S25" s="60" t="str">
        <f>IF(A25="","",IF(AND(R25=1,ISNUMBER(K25),K25&gt;=0,ISNUMBER(L25),L25&lt;=Rules!$B$6,Rules!$B$6-L25&lt;=Rules!$B$11,M25="Yes",O25&lt;&gt;""),1,0))</f>
        <v/>
      </c>
      <c r="T25" s="60" t="str">
        <f>IF(A25="","",IF(Q25&lt;&gt;1,"Duplicate issuer",IF(AND(ISNUMBER(I25),I25&lt;Rules!$B$22),"Below cap floor",IF(R25&lt;&gt;1,"Check scope/cap inputs",IF(S25&lt;&gt;1,"Check revenue inputs","Ready")))))</f>
        <v/>
      </c>
    </row>
    <row r="26" ht="24.0" customHeight="1">
      <c r="A26" s="59"/>
      <c r="B26" s="59"/>
      <c r="C26" s="59"/>
      <c r="D26" s="59"/>
      <c r="E26" s="59"/>
      <c r="F26" s="59"/>
      <c r="G26" s="59"/>
      <c r="H26" s="59"/>
      <c r="I26" s="56"/>
      <c r="J26" s="57"/>
      <c r="K26" s="56"/>
      <c r="L26" s="57"/>
      <c r="M26" s="59"/>
      <c r="N26" s="59"/>
      <c r="O26" s="59"/>
      <c r="P26" s="59"/>
      <c r="Q26" s="60" t="str">
        <f t="shared" si="1"/>
        <v/>
      </c>
      <c r="R26" s="60" t="str">
        <f>IF(A26="","",IF(AND(Q26=1,G26="Yes",H26="Yes",P26="Yes",Rules!$B$7&lt;&gt;"Not selected",D26=Rules!$B$7,OR(Rules!$B$8="",E26=Rules!$B$8),OR(Rules!$B$9="Global",F26=Rules!$B$9),ISNUMBER(I26),I26&gt;=Rules!$B$22,ISNUMBER(J26),J26&lt;=Rules!$B$6,Rules!$B$6-J26&lt;=Rules!$B$10,N26&lt;&gt;""),1,0))</f>
        <v/>
      </c>
      <c r="S26" s="60" t="str">
        <f>IF(A26="","",IF(AND(R26=1,ISNUMBER(K26),K26&gt;=0,ISNUMBER(L26),L26&lt;=Rules!$B$6,Rules!$B$6-L26&lt;=Rules!$B$11,M26="Yes",O26&lt;&gt;""),1,0))</f>
        <v/>
      </c>
      <c r="T26" s="60" t="str">
        <f>IF(A26="","",IF(Q26&lt;&gt;1,"Duplicate issuer",IF(AND(ISNUMBER(I26),I26&lt;Rules!$B$22),"Below cap floor",IF(R26&lt;&gt;1,"Check scope/cap inputs",IF(S26&lt;&gt;1,"Check revenue inputs","Ready")))))</f>
        <v/>
      </c>
    </row>
    <row r="27" ht="24.0" customHeight="1">
      <c r="A27" s="59"/>
      <c r="B27" s="59"/>
      <c r="C27" s="59"/>
      <c r="D27" s="59"/>
      <c r="E27" s="59"/>
      <c r="F27" s="59"/>
      <c r="G27" s="59"/>
      <c r="H27" s="59"/>
      <c r="I27" s="56"/>
      <c r="J27" s="57"/>
      <c r="K27" s="56"/>
      <c r="L27" s="57"/>
      <c r="M27" s="59"/>
      <c r="N27" s="59"/>
      <c r="O27" s="59"/>
      <c r="P27" s="59"/>
      <c r="Q27" s="60" t="str">
        <f t="shared" si="1"/>
        <v/>
      </c>
      <c r="R27" s="60" t="str">
        <f>IF(A27="","",IF(AND(Q27=1,G27="Yes",H27="Yes",P27="Yes",Rules!$B$7&lt;&gt;"Not selected",D27=Rules!$B$7,OR(Rules!$B$8="",E27=Rules!$B$8),OR(Rules!$B$9="Global",F27=Rules!$B$9),ISNUMBER(I27),I27&gt;=Rules!$B$22,ISNUMBER(J27),J27&lt;=Rules!$B$6,Rules!$B$6-J27&lt;=Rules!$B$10,N27&lt;&gt;""),1,0))</f>
        <v/>
      </c>
      <c r="S27" s="60" t="str">
        <f>IF(A27="","",IF(AND(R27=1,ISNUMBER(K27),K27&gt;=0,ISNUMBER(L27),L27&lt;=Rules!$B$6,Rules!$B$6-L27&lt;=Rules!$B$11,M27="Yes",O27&lt;&gt;""),1,0))</f>
        <v/>
      </c>
      <c r="T27" s="60" t="str">
        <f>IF(A27="","",IF(Q27&lt;&gt;1,"Duplicate issuer",IF(AND(ISNUMBER(I27),I27&lt;Rules!$B$22),"Below cap floor",IF(R27&lt;&gt;1,"Check scope/cap inputs",IF(S27&lt;&gt;1,"Check revenue inputs","Ready")))))</f>
        <v/>
      </c>
    </row>
    <row r="28" ht="24.0" customHeight="1">
      <c r="A28" s="59"/>
      <c r="B28" s="59"/>
      <c r="C28" s="59"/>
      <c r="D28" s="59"/>
      <c r="E28" s="59"/>
      <c r="F28" s="59"/>
      <c r="G28" s="59"/>
      <c r="H28" s="59"/>
      <c r="I28" s="56"/>
      <c r="J28" s="57"/>
      <c r="K28" s="56"/>
      <c r="L28" s="57"/>
      <c r="M28" s="59"/>
      <c r="N28" s="59"/>
      <c r="O28" s="59"/>
      <c r="P28" s="59"/>
      <c r="Q28" s="60" t="str">
        <f t="shared" si="1"/>
        <v/>
      </c>
      <c r="R28" s="60" t="str">
        <f>IF(A28="","",IF(AND(Q28=1,G28="Yes",H28="Yes",P28="Yes",Rules!$B$7&lt;&gt;"Not selected",D28=Rules!$B$7,OR(Rules!$B$8="",E28=Rules!$B$8),OR(Rules!$B$9="Global",F28=Rules!$B$9),ISNUMBER(I28),I28&gt;=Rules!$B$22,ISNUMBER(J28),J28&lt;=Rules!$B$6,Rules!$B$6-J28&lt;=Rules!$B$10,N28&lt;&gt;""),1,0))</f>
        <v/>
      </c>
      <c r="S28" s="60" t="str">
        <f>IF(A28="","",IF(AND(R28=1,ISNUMBER(K28),K28&gt;=0,ISNUMBER(L28),L28&lt;=Rules!$B$6,Rules!$B$6-L28&lt;=Rules!$B$11,M28="Yes",O28&lt;&gt;""),1,0))</f>
        <v/>
      </c>
      <c r="T28" s="60" t="str">
        <f>IF(A28="","",IF(Q28&lt;&gt;1,"Duplicate issuer",IF(AND(ISNUMBER(I28),I28&lt;Rules!$B$22),"Below cap floor",IF(R28&lt;&gt;1,"Check scope/cap inputs",IF(S28&lt;&gt;1,"Check revenue inputs","Ready")))))</f>
        <v/>
      </c>
    </row>
    <row r="29" ht="24.0" customHeight="1">
      <c r="A29" s="59"/>
      <c r="B29" s="59"/>
      <c r="C29" s="59"/>
      <c r="D29" s="59"/>
      <c r="E29" s="59"/>
      <c r="F29" s="59"/>
      <c r="G29" s="59"/>
      <c r="H29" s="59"/>
      <c r="I29" s="56"/>
      <c r="J29" s="57"/>
      <c r="K29" s="56"/>
      <c r="L29" s="57"/>
      <c r="M29" s="59"/>
      <c r="N29" s="59"/>
      <c r="O29" s="59"/>
      <c r="P29" s="59"/>
      <c r="Q29" s="60" t="str">
        <f t="shared" si="1"/>
        <v/>
      </c>
      <c r="R29" s="60" t="str">
        <f>IF(A29="","",IF(AND(Q29=1,G29="Yes",H29="Yes",P29="Yes",Rules!$B$7&lt;&gt;"Not selected",D29=Rules!$B$7,OR(Rules!$B$8="",E29=Rules!$B$8),OR(Rules!$B$9="Global",F29=Rules!$B$9),ISNUMBER(I29),I29&gt;=Rules!$B$22,ISNUMBER(J29),J29&lt;=Rules!$B$6,Rules!$B$6-J29&lt;=Rules!$B$10,N29&lt;&gt;""),1,0))</f>
        <v/>
      </c>
      <c r="S29" s="60" t="str">
        <f>IF(A29="","",IF(AND(R29=1,ISNUMBER(K29),K29&gt;=0,ISNUMBER(L29),L29&lt;=Rules!$B$6,Rules!$B$6-L29&lt;=Rules!$B$11,M29="Yes",O29&lt;&gt;""),1,0))</f>
        <v/>
      </c>
      <c r="T29" s="60" t="str">
        <f>IF(A29="","",IF(Q29&lt;&gt;1,"Duplicate issuer",IF(AND(ISNUMBER(I29),I29&lt;Rules!$B$22),"Below cap floor",IF(R29&lt;&gt;1,"Check scope/cap inputs",IF(S29&lt;&gt;1,"Check revenue inputs","Ready")))))</f>
        <v/>
      </c>
    </row>
    <row r="30" ht="24.0" customHeight="1">
      <c r="A30" s="59"/>
      <c r="B30" s="59"/>
      <c r="C30" s="59"/>
      <c r="D30" s="59"/>
      <c r="E30" s="59"/>
      <c r="F30" s="59"/>
      <c r="G30" s="59"/>
      <c r="H30" s="59"/>
      <c r="I30" s="56"/>
      <c r="J30" s="57"/>
      <c r="K30" s="56"/>
      <c r="L30" s="57"/>
      <c r="M30" s="59"/>
      <c r="N30" s="59"/>
      <c r="O30" s="59"/>
      <c r="P30" s="59"/>
      <c r="Q30" s="60" t="str">
        <f t="shared" si="1"/>
        <v/>
      </c>
      <c r="R30" s="60" t="str">
        <f>IF(A30="","",IF(AND(Q30=1,G30="Yes",H30="Yes",P30="Yes",Rules!$B$7&lt;&gt;"Not selected",D30=Rules!$B$7,OR(Rules!$B$8="",E30=Rules!$B$8),OR(Rules!$B$9="Global",F30=Rules!$B$9),ISNUMBER(I30),I30&gt;=Rules!$B$22,ISNUMBER(J30),J30&lt;=Rules!$B$6,Rules!$B$6-J30&lt;=Rules!$B$10,N30&lt;&gt;""),1,0))</f>
        <v/>
      </c>
      <c r="S30" s="60" t="str">
        <f>IF(A30="","",IF(AND(R30=1,ISNUMBER(K30),K30&gt;=0,ISNUMBER(L30),L30&lt;=Rules!$B$6,Rules!$B$6-L30&lt;=Rules!$B$11,M30="Yes",O30&lt;&gt;""),1,0))</f>
        <v/>
      </c>
      <c r="T30" s="60" t="str">
        <f>IF(A30="","",IF(Q30&lt;&gt;1,"Duplicate issuer",IF(AND(ISNUMBER(I30),I30&lt;Rules!$B$22),"Below cap floor",IF(R30&lt;&gt;1,"Check scope/cap inputs",IF(S30&lt;&gt;1,"Check revenue inputs","Ready")))))</f>
        <v/>
      </c>
    </row>
    <row r="31" ht="24.0" customHeight="1">
      <c r="A31" s="59"/>
      <c r="B31" s="59"/>
      <c r="C31" s="59"/>
      <c r="D31" s="59"/>
      <c r="E31" s="59"/>
      <c r="F31" s="59"/>
      <c r="G31" s="59"/>
      <c r="H31" s="59"/>
      <c r="I31" s="56"/>
      <c r="J31" s="57"/>
      <c r="K31" s="56"/>
      <c r="L31" s="57"/>
      <c r="M31" s="59"/>
      <c r="N31" s="59"/>
      <c r="O31" s="59"/>
      <c r="P31" s="59"/>
      <c r="Q31" s="60" t="str">
        <f t="shared" si="1"/>
        <v/>
      </c>
      <c r="R31" s="60" t="str">
        <f>IF(A31="","",IF(AND(Q31=1,G31="Yes",H31="Yes",P31="Yes",Rules!$B$7&lt;&gt;"Not selected",D31=Rules!$B$7,OR(Rules!$B$8="",E31=Rules!$B$8),OR(Rules!$B$9="Global",F31=Rules!$B$9),ISNUMBER(I31),I31&gt;=Rules!$B$22,ISNUMBER(J31),J31&lt;=Rules!$B$6,Rules!$B$6-J31&lt;=Rules!$B$10,N31&lt;&gt;""),1,0))</f>
        <v/>
      </c>
      <c r="S31" s="60" t="str">
        <f>IF(A31="","",IF(AND(R31=1,ISNUMBER(K31),K31&gt;=0,ISNUMBER(L31),L31&lt;=Rules!$B$6,Rules!$B$6-L31&lt;=Rules!$B$11,M31="Yes",O31&lt;&gt;""),1,0))</f>
        <v/>
      </c>
      <c r="T31" s="60" t="str">
        <f>IF(A31="","",IF(Q31&lt;&gt;1,"Duplicate issuer",IF(AND(ISNUMBER(I31),I31&lt;Rules!$B$22),"Below cap floor",IF(R31&lt;&gt;1,"Check scope/cap inputs",IF(S31&lt;&gt;1,"Check revenue inputs","Ready")))))</f>
        <v/>
      </c>
    </row>
    <row r="32" ht="24.0" customHeight="1">
      <c r="A32" s="59"/>
      <c r="B32" s="59"/>
      <c r="C32" s="59"/>
      <c r="D32" s="59"/>
      <c r="E32" s="59"/>
      <c r="F32" s="59"/>
      <c r="G32" s="59"/>
      <c r="H32" s="59"/>
      <c r="I32" s="56"/>
      <c r="J32" s="57"/>
      <c r="K32" s="56"/>
      <c r="L32" s="57"/>
      <c r="M32" s="59"/>
      <c r="N32" s="59"/>
      <c r="O32" s="59"/>
      <c r="P32" s="59"/>
      <c r="Q32" s="60" t="str">
        <f t="shared" si="1"/>
        <v/>
      </c>
      <c r="R32" s="60" t="str">
        <f>IF(A32="","",IF(AND(Q32=1,G32="Yes",H32="Yes",P32="Yes",Rules!$B$7&lt;&gt;"Not selected",D32=Rules!$B$7,OR(Rules!$B$8="",E32=Rules!$B$8),OR(Rules!$B$9="Global",F32=Rules!$B$9),ISNUMBER(I32),I32&gt;=Rules!$B$22,ISNUMBER(J32),J32&lt;=Rules!$B$6,Rules!$B$6-J32&lt;=Rules!$B$10,N32&lt;&gt;""),1,0))</f>
        <v/>
      </c>
      <c r="S32" s="60" t="str">
        <f>IF(A32="","",IF(AND(R32=1,ISNUMBER(K32),K32&gt;=0,ISNUMBER(L32),L32&lt;=Rules!$B$6,Rules!$B$6-L32&lt;=Rules!$B$11,M32="Yes",O32&lt;&gt;""),1,0))</f>
        <v/>
      </c>
      <c r="T32" s="60" t="str">
        <f>IF(A32="","",IF(Q32&lt;&gt;1,"Duplicate issuer",IF(AND(ISNUMBER(I32),I32&lt;Rules!$B$22),"Below cap floor",IF(R32&lt;&gt;1,"Check scope/cap inputs",IF(S32&lt;&gt;1,"Check revenue inputs","Ready")))))</f>
        <v/>
      </c>
    </row>
    <row r="33" ht="24.0" customHeight="1">
      <c r="A33" s="59"/>
      <c r="B33" s="59"/>
      <c r="C33" s="59"/>
      <c r="D33" s="59"/>
      <c r="E33" s="59"/>
      <c r="F33" s="59"/>
      <c r="G33" s="59"/>
      <c r="H33" s="59"/>
      <c r="I33" s="56"/>
      <c r="J33" s="57"/>
      <c r="K33" s="56"/>
      <c r="L33" s="57"/>
      <c r="M33" s="59"/>
      <c r="N33" s="59"/>
      <c r="O33" s="59"/>
      <c r="P33" s="59"/>
      <c r="Q33" s="60" t="str">
        <f t="shared" si="1"/>
        <v/>
      </c>
      <c r="R33" s="60" t="str">
        <f>IF(A33="","",IF(AND(Q33=1,G33="Yes",H33="Yes",P33="Yes",Rules!$B$7&lt;&gt;"Not selected",D33=Rules!$B$7,OR(Rules!$B$8="",E33=Rules!$B$8),OR(Rules!$B$9="Global",F33=Rules!$B$9),ISNUMBER(I33),I33&gt;=Rules!$B$22,ISNUMBER(J33),J33&lt;=Rules!$B$6,Rules!$B$6-J33&lt;=Rules!$B$10,N33&lt;&gt;""),1,0))</f>
        <v/>
      </c>
      <c r="S33" s="60" t="str">
        <f>IF(A33="","",IF(AND(R33=1,ISNUMBER(K33),K33&gt;=0,ISNUMBER(L33),L33&lt;=Rules!$B$6,Rules!$B$6-L33&lt;=Rules!$B$11,M33="Yes",O33&lt;&gt;""),1,0))</f>
        <v/>
      </c>
      <c r="T33" s="60" t="str">
        <f>IF(A33="","",IF(Q33&lt;&gt;1,"Duplicate issuer",IF(AND(ISNUMBER(I33),I33&lt;Rules!$B$22),"Below cap floor",IF(R33&lt;&gt;1,"Check scope/cap inputs",IF(S33&lt;&gt;1,"Check revenue inputs","Ready")))))</f>
        <v/>
      </c>
    </row>
    <row r="34" ht="24.0" customHeight="1">
      <c r="A34" s="59"/>
      <c r="B34" s="59"/>
      <c r="C34" s="59"/>
      <c r="D34" s="59"/>
      <c r="E34" s="59"/>
      <c r="F34" s="59"/>
      <c r="G34" s="59"/>
      <c r="H34" s="59"/>
      <c r="I34" s="56"/>
      <c r="J34" s="57"/>
      <c r="K34" s="56"/>
      <c r="L34" s="57"/>
      <c r="M34" s="59"/>
      <c r="N34" s="59"/>
      <c r="O34" s="59"/>
      <c r="P34" s="59"/>
      <c r="Q34" s="60" t="str">
        <f t="shared" si="1"/>
        <v/>
      </c>
      <c r="R34" s="60" t="str">
        <f>IF(A34="","",IF(AND(Q34=1,G34="Yes",H34="Yes",P34="Yes",Rules!$B$7&lt;&gt;"Not selected",D34=Rules!$B$7,OR(Rules!$B$8="",E34=Rules!$B$8),OR(Rules!$B$9="Global",F34=Rules!$B$9),ISNUMBER(I34),I34&gt;=Rules!$B$22,ISNUMBER(J34),J34&lt;=Rules!$B$6,Rules!$B$6-J34&lt;=Rules!$B$10,N34&lt;&gt;""),1,0))</f>
        <v/>
      </c>
      <c r="S34" s="60" t="str">
        <f>IF(A34="","",IF(AND(R34=1,ISNUMBER(K34),K34&gt;=0,ISNUMBER(L34),L34&lt;=Rules!$B$6,Rules!$B$6-L34&lt;=Rules!$B$11,M34="Yes",O34&lt;&gt;""),1,0))</f>
        <v/>
      </c>
      <c r="T34" s="60" t="str">
        <f>IF(A34="","",IF(Q34&lt;&gt;1,"Duplicate issuer",IF(AND(ISNUMBER(I34),I34&lt;Rules!$B$22),"Below cap floor",IF(R34&lt;&gt;1,"Check scope/cap inputs",IF(S34&lt;&gt;1,"Check revenue inputs","Ready")))))</f>
        <v/>
      </c>
    </row>
    <row r="35" ht="24.0" customHeight="1">
      <c r="A35" s="59"/>
      <c r="B35" s="59"/>
      <c r="C35" s="59"/>
      <c r="D35" s="59"/>
      <c r="E35" s="59"/>
      <c r="F35" s="59"/>
      <c r="G35" s="59"/>
      <c r="H35" s="59"/>
      <c r="I35" s="56"/>
      <c r="J35" s="57"/>
      <c r="K35" s="56"/>
      <c r="L35" s="57"/>
      <c r="M35" s="59"/>
      <c r="N35" s="59"/>
      <c r="O35" s="59"/>
      <c r="P35" s="59"/>
      <c r="Q35" s="60" t="str">
        <f t="shared" si="1"/>
        <v/>
      </c>
      <c r="R35" s="60" t="str">
        <f>IF(A35="","",IF(AND(Q35=1,G35="Yes",H35="Yes",P35="Yes",Rules!$B$7&lt;&gt;"Not selected",D35=Rules!$B$7,OR(Rules!$B$8="",E35=Rules!$B$8),OR(Rules!$B$9="Global",F35=Rules!$B$9),ISNUMBER(I35),I35&gt;=Rules!$B$22,ISNUMBER(J35),J35&lt;=Rules!$B$6,Rules!$B$6-J35&lt;=Rules!$B$10,N35&lt;&gt;""),1,0))</f>
        <v/>
      </c>
      <c r="S35" s="60" t="str">
        <f>IF(A35="","",IF(AND(R35=1,ISNUMBER(K35),K35&gt;=0,ISNUMBER(L35),L35&lt;=Rules!$B$6,Rules!$B$6-L35&lt;=Rules!$B$11,M35="Yes",O35&lt;&gt;""),1,0))</f>
        <v/>
      </c>
      <c r="T35" s="60" t="str">
        <f>IF(A35="","",IF(Q35&lt;&gt;1,"Duplicate issuer",IF(AND(ISNUMBER(I35),I35&lt;Rules!$B$22),"Below cap floor",IF(R35&lt;&gt;1,"Check scope/cap inputs",IF(S35&lt;&gt;1,"Check revenue inputs","Ready")))))</f>
        <v/>
      </c>
    </row>
    <row r="36" ht="24.0" customHeight="1">
      <c r="A36" s="59"/>
      <c r="B36" s="59"/>
      <c r="C36" s="59"/>
      <c r="D36" s="59"/>
      <c r="E36" s="59"/>
      <c r="F36" s="59"/>
      <c r="G36" s="59"/>
      <c r="H36" s="59"/>
      <c r="I36" s="56"/>
      <c r="J36" s="57"/>
      <c r="K36" s="56"/>
      <c r="L36" s="57"/>
      <c r="M36" s="59"/>
      <c r="N36" s="59"/>
      <c r="O36" s="59"/>
      <c r="P36" s="59"/>
      <c r="Q36" s="60" t="str">
        <f t="shared" si="1"/>
        <v/>
      </c>
      <c r="R36" s="60" t="str">
        <f>IF(A36="","",IF(AND(Q36=1,G36="Yes",H36="Yes",P36="Yes",Rules!$B$7&lt;&gt;"Not selected",D36=Rules!$B$7,OR(Rules!$B$8="",E36=Rules!$B$8),OR(Rules!$B$9="Global",F36=Rules!$B$9),ISNUMBER(I36),I36&gt;=Rules!$B$22,ISNUMBER(J36),J36&lt;=Rules!$B$6,Rules!$B$6-J36&lt;=Rules!$B$10,N36&lt;&gt;""),1,0))</f>
        <v/>
      </c>
      <c r="S36" s="60" t="str">
        <f>IF(A36="","",IF(AND(R36=1,ISNUMBER(K36),K36&gt;=0,ISNUMBER(L36),L36&lt;=Rules!$B$6,Rules!$B$6-L36&lt;=Rules!$B$11,M36="Yes",O36&lt;&gt;""),1,0))</f>
        <v/>
      </c>
      <c r="T36" s="60" t="str">
        <f>IF(A36="","",IF(Q36&lt;&gt;1,"Duplicate issuer",IF(AND(ISNUMBER(I36),I36&lt;Rules!$B$22),"Below cap floor",IF(R36&lt;&gt;1,"Check scope/cap inputs",IF(S36&lt;&gt;1,"Check revenue inputs","Ready")))))</f>
        <v/>
      </c>
    </row>
    <row r="37" ht="24.0" customHeight="1">
      <c r="A37" s="59"/>
      <c r="B37" s="59"/>
      <c r="C37" s="59"/>
      <c r="D37" s="59"/>
      <c r="E37" s="59"/>
      <c r="F37" s="59"/>
      <c r="G37" s="59"/>
      <c r="H37" s="59"/>
      <c r="I37" s="56"/>
      <c r="J37" s="57"/>
      <c r="K37" s="56"/>
      <c r="L37" s="57"/>
      <c r="M37" s="59"/>
      <c r="N37" s="59"/>
      <c r="O37" s="59"/>
      <c r="P37" s="59"/>
      <c r="Q37" s="60" t="str">
        <f t="shared" si="1"/>
        <v/>
      </c>
      <c r="R37" s="60" t="str">
        <f>IF(A37="","",IF(AND(Q37=1,G37="Yes",H37="Yes",P37="Yes",Rules!$B$7&lt;&gt;"Not selected",D37=Rules!$B$7,OR(Rules!$B$8="",E37=Rules!$B$8),OR(Rules!$B$9="Global",F37=Rules!$B$9),ISNUMBER(I37),I37&gt;=Rules!$B$22,ISNUMBER(J37),J37&lt;=Rules!$B$6,Rules!$B$6-J37&lt;=Rules!$B$10,N37&lt;&gt;""),1,0))</f>
        <v/>
      </c>
      <c r="S37" s="60" t="str">
        <f>IF(A37="","",IF(AND(R37=1,ISNUMBER(K37),K37&gt;=0,ISNUMBER(L37),L37&lt;=Rules!$B$6,Rules!$B$6-L37&lt;=Rules!$B$11,M37="Yes",O37&lt;&gt;""),1,0))</f>
        <v/>
      </c>
      <c r="T37" s="60" t="str">
        <f>IF(A37="","",IF(Q37&lt;&gt;1,"Duplicate issuer",IF(AND(ISNUMBER(I37),I37&lt;Rules!$B$22),"Below cap floor",IF(R37&lt;&gt;1,"Check scope/cap inputs",IF(S37&lt;&gt;1,"Check revenue inputs","Ready")))))</f>
        <v/>
      </c>
    </row>
    <row r="38" ht="24.0" customHeight="1">
      <c r="A38" s="59"/>
      <c r="B38" s="59"/>
      <c r="C38" s="59"/>
      <c r="D38" s="59"/>
      <c r="E38" s="59"/>
      <c r="F38" s="59"/>
      <c r="G38" s="59"/>
      <c r="H38" s="59"/>
      <c r="I38" s="56"/>
      <c r="J38" s="57"/>
      <c r="K38" s="56"/>
      <c r="L38" s="57"/>
      <c r="M38" s="59"/>
      <c r="N38" s="59"/>
      <c r="O38" s="59"/>
      <c r="P38" s="59"/>
      <c r="Q38" s="60" t="str">
        <f t="shared" si="1"/>
        <v/>
      </c>
      <c r="R38" s="60" t="str">
        <f>IF(A38="","",IF(AND(Q38=1,G38="Yes",H38="Yes",P38="Yes",Rules!$B$7&lt;&gt;"Not selected",D38=Rules!$B$7,OR(Rules!$B$8="",E38=Rules!$B$8),OR(Rules!$B$9="Global",F38=Rules!$B$9),ISNUMBER(I38),I38&gt;=Rules!$B$22,ISNUMBER(J38),J38&lt;=Rules!$B$6,Rules!$B$6-J38&lt;=Rules!$B$10,N38&lt;&gt;""),1,0))</f>
        <v/>
      </c>
      <c r="S38" s="60" t="str">
        <f>IF(A38="","",IF(AND(R38=1,ISNUMBER(K38),K38&gt;=0,ISNUMBER(L38),L38&lt;=Rules!$B$6,Rules!$B$6-L38&lt;=Rules!$B$11,M38="Yes",O38&lt;&gt;""),1,0))</f>
        <v/>
      </c>
      <c r="T38" s="60" t="str">
        <f>IF(A38="","",IF(Q38&lt;&gt;1,"Duplicate issuer",IF(AND(ISNUMBER(I38),I38&lt;Rules!$B$22),"Below cap floor",IF(R38&lt;&gt;1,"Check scope/cap inputs",IF(S38&lt;&gt;1,"Check revenue inputs","Ready")))))</f>
        <v/>
      </c>
    </row>
    <row r="39" ht="24.0" customHeight="1">
      <c r="A39" s="59"/>
      <c r="B39" s="59"/>
      <c r="C39" s="59"/>
      <c r="D39" s="59"/>
      <c r="E39" s="59"/>
      <c r="F39" s="59"/>
      <c r="G39" s="59"/>
      <c r="H39" s="59"/>
      <c r="I39" s="56"/>
      <c r="J39" s="57"/>
      <c r="K39" s="56"/>
      <c r="L39" s="57"/>
      <c r="M39" s="59"/>
      <c r="N39" s="59"/>
      <c r="O39" s="59"/>
      <c r="P39" s="59"/>
      <c r="Q39" s="60" t="str">
        <f t="shared" si="1"/>
        <v/>
      </c>
      <c r="R39" s="60" t="str">
        <f>IF(A39="","",IF(AND(Q39=1,G39="Yes",H39="Yes",P39="Yes",Rules!$B$7&lt;&gt;"Not selected",D39=Rules!$B$7,OR(Rules!$B$8="",E39=Rules!$B$8),OR(Rules!$B$9="Global",F39=Rules!$B$9),ISNUMBER(I39),I39&gt;=Rules!$B$22,ISNUMBER(J39),J39&lt;=Rules!$B$6,Rules!$B$6-J39&lt;=Rules!$B$10,N39&lt;&gt;""),1,0))</f>
        <v/>
      </c>
      <c r="S39" s="60" t="str">
        <f>IF(A39="","",IF(AND(R39=1,ISNUMBER(K39),K39&gt;=0,ISNUMBER(L39),L39&lt;=Rules!$B$6,Rules!$B$6-L39&lt;=Rules!$B$11,M39="Yes",O39&lt;&gt;""),1,0))</f>
        <v/>
      </c>
      <c r="T39" s="60" t="str">
        <f>IF(A39="","",IF(Q39&lt;&gt;1,"Duplicate issuer",IF(AND(ISNUMBER(I39),I39&lt;Rules!$B$22),"Below cap floor",IF(R39&lt;&gt;1,"Check scope/cap inputs",IF(S39&lt;&gt;1,"Check revenue inputs","Ready")))))</f>
        <v/>
      </c>
    </row>
    <row r="40" ht="24.0" customHeight="1">
      <c r="A40" s="59"/>
      <c r="B40" s="59"/>
      <c r="C40" s="59"/>
      <c r="D40" s="59"/>
      <c r="E40" s="59"/>
      <c r="F40" s="59"/>
      <c r="G40" s="59"/>
      <c r="H40" s="59"/>
      <c r="I40" s="56"/>
      <c r="J40" s="57"/>
      <c r="K40" s="56"/>
      <c r="L40" s="57"/>
      <c r="M40" s="59"/>
      <c r="N40" s="59"/>
      <c r="O40" s="59"/>
      <c r="P40" s="59"/>
      <c r="Q40" s="60" t="str">
        <f t="shared" si="1"/>
        <v/>
      </c>
      <c r="R40" s="60" t="str">
        <f>IF(A40="","",IF(AND(Q40=1,G40="Yes",H40="Yes",P40="Yes",Rules!$B$7&lt;&gt;"Not selected",D40=Rules!$B$7,OR(Rules!$B$8="",E40=Rules!$B$8),OR(Rules!$B$9="Global",F40=Rules!$B$9),ISNUMBER(I40),I40&gt;=Rules!$B$22,ISNUMBER(J40),J40&lt;=Rules!$B$6,Rules!$B$6-J40&lt;=Rules!$B$10,N40&lt;&gt;""),1,0))</f>
        <v/>
      </c>
      <c r="S40" s="60" t="str">
        <f>IF(A40="","",IF(AND(R40=1,ISNUMBER(K40),K40&gt;=0,ISNUMBER(L40),L40&lt;=Rules!$B$6,Rules!$B$6-L40&lt;=Rules!$B$11,M40="Yes",O40&lt;&gt;""),1,0))</f>
        <v/>
      </c>
      <c r="T40" s="60" t="str">
        <f>IF(A40="","",IF(Q40&lt;&gt;1,"Duplicate issuer",IF(AND(ISNUMBER(I40),I40&lt;Rules!$B$22),"Below cap floor",IF(R40&lt;&gt;1,"Check scope/cap inputs",IF(S40&lt;&gt;1,"Check revenue inputs","Ready")))))</f>
        <v/>
      </c>
    </row>
    <row r="41" ht="24.0" customHeight="1">
      <c r="A41" s="59"/>
      <c r="B41" s="59"/>
      <c r="C41" s="59"/>
      <c r="D41" s="59"/>
      <c r="E41" s="59"/>
      <c r="F41" s="59"/>
      <c r="G41" s="59"/>
      <c r="H41" s="59"/>
      <c r="I41" s="56"/>
      <c r="J41" s="57"/>
      <c r="K41" s="56"/>
      <c r="L41" s="57"/>
      <c r="M41" s="59"/>
      <c r="N41" s="59"/>
      <c r="O41" s="59"/>
      <c r="P41" s="59"/>
      <c r="Q41" s="60" t="str">
        <f t="shared" si="1"/>
        <v/>
      </c>
      <c r="R41" s="60" t="str">
        <f>IF(A41="","",IF(AND(Q41=1,G41="Yes",H41="Yes",P41="Yes",Rules!$B$7&lt;&gt;"Not selected",D41=Rules!$B$7,OR(Rules!$B$8="",E41=Rules!$B$8),OR(Rules!$B$9="Global",F41=Rules!$B$9),ISNUMBER(I41),I41&gt;=Rules!$B$22,ISNUMBER(J41),J41&lt;=Rules!$B$6,Rules!$B$6-J41&lt;=Rules!$B$10,N41&lt;&gt;""),1,0))</f>
        <v/>
      </c>
      <c r="S41" s="60" t="str">
        <f>IF(A41="","",IF(AND(R41=1,ISNUMBER(K41),K41&gt;=0,ISNUMBER(L41),L41&lt;=Rules!$B$6,Rules!$B$6-L41&lt;=Rules!$B$11,M41="Yes",O41&lt;&gt;""),1,0))</f>
        <v/>
      </c>
      <c r="T41" s="60" t="str">
        <f>IF(A41="","",IF(Q41&lt;&gt;1,"Duplicate issuer",IF(AND(ISNUMBER(I41),I41&lt;Rules!$B$22),"Below cap floor",IF(R41&lt;&gt;1,"Check scope/cap inputs",IF(S41&lt;&gt;1,"Check revenue inputs","Ready")))))</f>
        <v/>
      </c>
    </row>
    <row r="42" ht="24.0" customHeight="1">
      <c r="A42" s="59"/>
      <c r="B42" s="59"/>
      <c r="C42" s="59"/>
      <c r="D42" s="59"/>
      <c r="E42" s="59"/>
      <c r="F42" s="59"/>
      <c r="G42" s="59"/>
      <c r="H42" s="59"/>
      <c r="I42" s="56"/>
      <c r="J42" s="57"/>
      <c r="K42" s="56"/>
      <c r="L42" s="57"/>
      <c r="M42" s="59"/>
      <c r="N42" s="59"/>
      <c r="O42" s="59"/>
      <c r="P42" s="59"/>
      <c r="Q42" s="60" t="str">
        <f t="shared" si="1"/>
        <v/>
      </c>
      <c r="R42" s="60" t="str">
        <f>IF(A42="","",IF(AND(Q42=1,G42="Yes",H42="Yes",P42="Yes",Rules!$B$7&lt;&gt;"Not selected",D42=Rules!$B$7,OR(Rules!$B$8="",E42=Rules!$B$8),OR(Rules!$B$9="Global",F42=Rules!$B$9),ISNUMBER(I42),I42&gt;=Rules!$B$22,ISNUMBER(J42),J42&lt;=Rules!$B$6,Rules!$B$6-J42&lt;=Rules!$B$10,N42&lt;&gt;""),1,0))</f>
        <v/>
      </c>
      <c r="S42" s="60" t="str">
        <f>IF(A42="","",IF(AND(R42=1,ISNUMBER(K42),K42&gt;=0,ISNUMBER(L42),L42&lt;=Rules!$B$6,Rules!$B$6-L42&lt;=Rules!$B$11,M42="Yes",O42&lt;&gt;""),1,0))</f>
        <v/>
      </c>
      <c r="T42" s="60" t="str">
        <f>IF(A42="","",IF(Q42&lt;&gt;1,"Duplicate issuer",IF(AND(ISNUMBER(I42),I42&lt;Rules!$B$22),"Below cap floor",IF(R42&lt;&gt;1,"Check scope/cap inputs",IF(S42&lt;&gt;1,"Check revenue inputs","Ready")))))</f>
        <v/>
      </c>
    </row>
    <row r="43" ht="24.0" customHeight="1">
      <c r="A43" s="59"/>
      <c r="B43" s="59"/>
      <c r="C43" s="59"/>
      <c r="D43" s="59"/>
      <c r="E43" s="59"/>
      <c r="F43" s="59"/>
      <c r="G43" s="59"/>
      <c r="H43" s="59"/>
      <c r="I43" s="56"/>
      <c r="J43" s="57"/>
      <c r="K43" s="56"/>
      <c r="L43" s="57"/>
      <c r="M43" s="59"/>
      <c r="N43" s="59"/>
      <c r="O43" s="59"/>
      <c r="P43" s="59"/>
      <c r="Q43" s="60" t="str">
        <f t="shared" si="1"/>
        <v/>
      </c>
      <c r="R43" s="60" t="str">
        <f>IF(A43="","",IF(AND(Q43=1,G43="Yes",H43="Yes",P43="Yes",Rules!$B$7&lt;&gt;"Not selected",D43=Rules!$B$7,OR(Rules!$B$8="",E43=Rules!$B$8),OR(Rules!$B$9="Global",F43=Rules!$B$9),ISNUMBER(I43),I43&gt;=Rules!$B$22,ISNUMBER(J43),J43&lt;=Rules!$B$6,Rules!$B$6-J43&lt;=Rules!$B$10,N43&lt;&gt;""),1,0))</f>
        <v/>
      </c>
      <c r="S43" s="60" t="str">
        <f>IF(A43="","",IF(AND(R43=1,ISNUMBER(K43),K43&gt;=0,ISNUMBER(L43),L43&lt;=Rules!$B$6,Rules!$B$6-L43&lt;=Rules!$B$11,M43="Yes",O43&lt;&gt;""),1,0))</f>
        <v/>
      </c>
      <c r="T43" s="60" t="str">
        <f>IF(A43="","",IF(Q43&lt;&gt;1,"Duplicate issuer",IF(AND(ISNUMBER(I43),I43&lt;Rules!$B$22),"Below cap floor",IF(R43&lt;&gt;1,"Check scope/cap inputs",IF(S43&lt;&gt;1,"Check revenue inputs","Ready")))))</f>
        <v/>
      </c>
    </row>
    <row r="44" ht="24.0" customHeight="1">
      <c r="A44" s="59"/>
      <c r="B44" s="59"/>
      <c r="C44" s="59"/>
      <c r="D44" s="59"/>
      <c r="E44" s="59"/>
      <c r="F44" s="59"/>
      <c r="G44" s="59"/>
      <c r="H44" s="59"/>
      <c r="I44" s="56"/>
      <c r="J44" s="57"/>
      <c r="K44" s="56"/>
      <c r="L44" s="57"/>
      <c r="M44" s="59"/>
      <c r="N44" s="59"/>
      <c r="O44" s="59"/>
      <c r="P44" s="59"/>
      <c r="Q44" s="60" t="str">
        <f t="shared" si="1"/>
        <v/>
      </c>
      <c r="R44" s="60" t="str">
        <f>IF(A44="","",IF(AND(Q44=1,G44="Yes",H44="Yes",P44="Yes",Rules!$B$7&lt;&gt;"Not selected",D44=Rules!$B$7,OR(Rules!$B$8="",E44=Rules!$B$8),OR(Rules!$B$9="Global",F44=Rules!$B$9),ISNUMBER(I44),I44&gt;=Rules!$B$22,ISNUMBER(J44),J44&lt;=Rules!$B$6,Rules!$B$6-J44&lt;=Rules!$B$10,N44&lt;&gt;""),1,0))</f>
        <v/>
      </c>
      <c r="S44" s="60" t="str">
        <f>IF(A44="","",IF(AND(R44=1,ISNUMBER(K44),K44&gt;=0,ISNUMBER(L44),L44&lt;=Rules!$B$6,Rules!$B$6-L44&lt;=Rules!$B$11,M44="Yes",O44&lt;&gt;""),1,0))</f>
        <v/>
      </c>
      <c r="T44" s="60" t="str">
        <f>IF(A44="","",IF(Q44&lt;&gt;1,"Duplicate issuer",IF(AND(ISNUMBER(I44),I44&lt;Rules!$B$22),"Below cap floor",IF(R44&lt;&gt;1,"Check scope/cap inputs",IF(S44&lt;&gt;1,"Check revenue inputs","Ready")))))</f>
        <v/>
      </c>
    </row>
    <row r="45" ht="24.0" customHeight="1">
      <c r="A45" s="59"/>
      <c r="B45" s="59"/>
      <c r="C45" s="59"/>
      <c r="D45" s="59"/>
      <c r="E45" s="59"/>
      <c r="F45" s="59"/>
      <c r="G45" s="59"/>
      <c r="H45" s="59"/>
      <c r="I45" s="56"/>
      <c r="J45" s="57"/>
      <c r="K45" s="56"/>
      <c r="L45" s="57"/>
      <c r="M45" s="59"/>
      <c r="N45" s="59"/>
      <c r="O45" s="59"/>
      <c r="P45" s="59"/>
      <c r="Q45" s="60" t="str">
        <f t="shared" si="1"/>
        <v/>
      </c>
      <c r="R45" s="60" t="str">
        <f>IF(A45="","",IF(AND(Q45=1,G45="Yes",H45="Yes",P45="Yes",Rules!$B$7&lt;&gt;"Not selected",D45=Rules!$B$7,OR(Rules!$B$8="",E45=Rules!$B$8),OR(Rules!$B$9="Global",F45=Rules!$B$9),ISNUMBER(I45),I45&gt;=Rules!$B$22,ISNUMBER(J45),J45&lt;=Rules!$B$6,Rules!$B$6-J45&lt;=Rules!$B$10,N45&lt;&gt;""),1,0))</f>
        <v/>
      </c>
      <c r="S45" s="60" t="str">
        <f>IF(A45="","",IF(AND(R45=1,ISNUMBER(K45),K45&gt;=0,ISNUMBER(L45),L45&lt;=Rules!$B$6,Rules!$B$6-L45&lt;=Rules!$B$11,M45="Yes",O45&lt;&gt;""),1,0))</f>
        <v/>
      </c>
      <c r="T45" s="60" t="str">
        <f>IF(A45="","",IF(Q45&lt;&gt;1,"Duplicate issuer",IF(AND(ISNUMBER(I45),I45&lt;Rules!$B$22),"Below cap floor",IF(R45&lt;&gt;1,"Check scope/cap inputs",IF(S45&lt;&gt;1,"Check revenue inputs","Ready")))))</f>
        <v/>
      </c>
    </row>
    <row r="46" ht="24.0" customHeight="1">
      <c r="A46" s="59"/>
      <c r="B46" s="59"/>
      <c r="C46" s="59"/>
      <c r="D46" s="59"/>
      <c r="E46" s="59"/>
      <c r="F46" s="59"/>
      <c r="G46" s="59"/>
      <c r="H46" s="59"/>
      <c r="I46" s="56"/>
      <c r="J46" s="57"/>
      <c r="K46" s="56"/>
      <c r="L46" s="57"/>
      <c r="M46" s="59"/>
      <c r="N46" s="59"/>
      <c r="O46" s="59"/>
      <c r="P46" s="59"/>
      <c r="Q46" s="60" t="str">
        <f t="shared" si="1"/>
        <v/>
      </c>
      <c r="R46" s="60" t="str">
        <f>IF(A46="","",IF(AND(Q46=1,G46="Yes",H46="Yes",P46="Yes",Rules!$B$7&lt;&gt;"Not selected",D46=Rules!$B$7,OR(Rules!$B$8="",E46=Rules!$B$8),OR(Rules!$B$9="Global",F46=Rules!$B$9),ISNUMBER(I46),I46&gt;=Rules!$B$22,ISNUMBER(J46),J46&lt;=Rules!$B$6,Rules!$B$6-J46&lt;=Rules!$B$10,N46&lt;&gt;""),1,0))</f>
        <v/>
      </c>
      <c r="S46" s="60" t="str">
        <f>IF(A46="","",IF(AND(R46=1,ISNUMBER(K46),K46&gt;=0,ISNUMBER(L46),L46&lt;=Rules!$B$6,Rules!$B$6-L46&lt;=Rules!$B$11,M46="Yes",O46&lt;&gt;""),1,0))</f>
        <v/>
      </c>
      <c r="T46" s="60" t="str">
        <f>IF(A46="","",IF(Q46&lt;&gt;1,"Duplicate issuer",IF(AND(ISNUMBER(I46),I46&lt;Rules!$B$22),"Below cap floor",IF(R46&lt;&gt;1,"Check scope/cap inputs",IF(S46&lt;&gt;1,"Check revenue inputs","Ready")))))</f>
        <v/>
      </c>
    </row>
    <row r="47" ht="24.0" customHeight="1">
      <c r="A47" s="59"/>
      <c r="B47" s="59"/>
      <c r="C47" s="59"/>
      <c r="D47" s="59"/>
      <c r="E47" s="59"/>
      <c r="F47" s="59"/>
      <c r="G47" s="59"/>
      <c r="H47" s="59"/>
      <c r="I47" s="56"/>
      <c r="J47" s="57"/>
      <c r="K47" s="56"/>
      <c r="L47" s="57"/>
      <c r="M47" s="59"/>
      <c r="N47" s="59"/>
      <c r="O47" s="59"/>
      <c r="P47" s="59"/>
      <c r="Q47" s="60" t="str">
        <f t="shared" si="1"/>
        <v/>
      </c>
      <c r="R47" s="60" t="str">
        <f>IF(A47="","",IF(AND(Q47=1,G47="Yes",H47="Yes",P47="Yes",Rules!$B$7&lt;&gt;"Not selected",D47=Rules!$B$7,OR(Rules!$B$8="",E47=Rules!$B$8),OR(Rules!$B$9="Global",F47=Rules!$B$9),ISNUMBER(I47),I47&gt;=Rules!$B$22,ISNUMBER(J47),J47&lt;=Rules!$B$6,Rules!$B$6-J47&lt;=Rules!$B$10,N47&lt;&gt;""),1,0))</f>
        <v/>
      </c>
      <c r="S47" s="60" t="str">
        <f>IF(A47="","",IF(AND(R47=1,ISNUMBER(K47),K47&gt;=0,ISNUMBER(L47),L47&lt;=Rules!$B$6,Rules!$B$6-L47&lt;=Rules!$B$11,M47="Yes",O47&lt;&gt;""),1,0))</f>
        <v/>
      </c>
      <c r="T47" s="60" t="str">
        <f>IF(A47="","",IF(Q47&lt;&gt;1,"Duplicate issuer",IF(AND(ISNUMBER(I47),I47&lt;Rules!$B$22),"Below cap floor",IF(R47&lt;&gt;1,"Check scope/cap inputs",IF(S47&lt;&gt;1,"Check revenue inputs","Ready")))))</f>
        <v/>
      </c>
    </row>
    <row r="48" ht="24.0" customHeight="1">
      <c r="A48" s="59"/>
      <c r="B48" s="59"/>
      <c r="C48" s="59"/>
      <c r="D48" s="59"/>
      <c r="E48" s="59"/>
      <c r="F48" s="59"/>
      <c r="G48" s="59"/>
      <c r="H48" s="59"/>
      <c r="I48" s="56"/>
      <c r="J48" s="57"/>
      <c r="K48" s="56"/>
      <c r="L48" s="57"/>
      <c r="M48" s="59"/>
      <c r="N48" s="59"/>
      <c r="O48" s="59"/>
      <c r="P48" s="59"/>
      <c r="Q48" s="60" t="str">
        <f t="shared" si="1"/>
        <v/>
      </c>
      <c r="R48" s="60" t="str">
        <f>IF(A48="","",IF(AND(Q48=1,G48="Yes",H48="Yes",P48="Yes",Rules!$B$7&lt;&gt;"Not selected",D48=Rules!$B$7,OR(Rules!$B$8="",E48=Rules!$B$8),OR(Rules!$B$9="Global",F48=Rules!$B$9),ISNUMBER(I48),I48&gt;=Rules!$B$22,ISNUMBER(J48),J48&lt;=Rules!$B$6,Rules!$B$6-J48&lt;=Rules!$B$10,N48&lt;&gt;""),1,0))</f>
        <v/>
      </c>
      <c r="S48" s="60" t="str">
        <f>IF(A48="","",IF(AND(R48=1,ISNUMBER(K48),K48&gt;=0,ISNUMBER(L48),L48&lt;=Rules!$B$6,Rules!$B$6-L48&lt;=Rules!$B$11,M48="Yes",O48&lt;&gt;""),1,0))</f>
        <v/>
      </c>
      <c r="T48" s="60" t="str">
        <f>IF(A48="","",IF(Q48&lt;&gt;1,"Duplicate issuer",IF(AND(ISNUMBER(I48),I48&lt;Rules!$B$22),"Below cap floor",IF(R48&lt;&gt;1,"Check scope/cap inputs",IF(S48&lt;&gt;1,"Check revenue inputs","Ready")))))</f>
        <v/>
      </c>
    </row>
    <row r="49" ht="24.0" customHeight="1">
      <c r="A49" s="59"/>
      <c r="B49" s="59"/>
      <c r="C49" s="59"/>
      <c r="D49" s="59"/>
      <c r="E49" s="59"/>
      <c r="F49" s="59"/>
      <c r="G49" s="59"/>
      <c r="H49" s="59"/>
      <c r="I49" s="56"/>
      <c r="J49" s="57"/>
      <c r="K49" s="56"/>
      <c r="L49" s="57"/>
      <c r="M49" s="59"/>
      <c r="N49" s="59"/>
      <c r="O49" s="59"/>
      <c r="P49" s="59"/>
      <c r="Q49" s="60" t="str">
        <f t="shared" si="1"/>
        <v/>
      </c>
      <c r="R49" s="60" t="str">
        <f>IF(A49="","",IF(AND(Q49=1,G49="Yes",H49="Yes",P49="Yes",Rules!$B$7&lt;&gt;"Not selected",D49=Rules!$B$7,OR(Rules!$B$8="",E49=Rules!$B$8),OR(Rules!$B$9="Global",F49=Rules!$B$9),ISNUMBER(I49),I49&gt;=Rules!$B$22,ISNUMBER(J49),J49&lt;=Rules!$B$6,Rules!$B$6-J49&lt;=Rules!$B$10,N49&lt;&gt;""),1,0))</f>
        <v/>
      </c>
      <c r="S49" s="60" t="str">
        <f>IF(A49="","",IF(AND(R49=1,ISNUMBER(K49),K49&gt;=0,ISNUMBER(L49),L49&lt;=Rules!$B$6,Rules!$B$6-L49&lt;=Rules!$B$11,M49="Yes",O49&lt;&gt;""),1,0))</f>
        <v/>
      </c>
      <c r="T49" s="60" t="str">
        <f>IF(A49="","",IF(Q49&lt;&gt;1,"Duplicate issuer",IF(AND(ISNUMBER(I49),I49&lt;Rules!$B$22),"Below cap floor",IF(R49&lt;&gt;1,"Check scope/cap inputs",IF(S49&lt;&gt;1,"Check revenue inputs","Ready")))))</f>
        <v/>
      </c>
    </row>
    <row r="50" ht="24.0" customHeight="1">
      <c r="A50" s="59"/>
      <c r="B50" s="59"/>
      <c r="C50" s="59"/>
      <c r="D50" s="59"/>
      <c r="E50" s="59"/>
      <c r="F50" s="59"/>
      <c r="G50" s="59"/>
      <c r="H50" s="59"/>
      <c r="I50" s="56"/>
      <c r="J50" s="57"/>
      <c r="K50" s="56"/>
      <c r="L50" s="57"/>
      <c r="M50" s="59"/>
      <c r="N50" s="59"/>
      <c r="O50" s="59"/>
      <c r="P50" s="59"/>
      <c r="Q50" s="60" t="str">
        <f t="shared" si="1"/>
        <v/>
      </c>
      <c r="R50" s="60" t="str">
        <f>IF(A50="","",IF(AND(Q50=1,G50="Yes",H50="Yes",P50="Yes",Rules!$B$7&lt;&gt;"Not selected",D50=Rules!$B$7,OR(Rules!$B$8="",E50=Rules!$B$8),OR(Rules!$B$9="Global",F50=Rules!$B$9),ISNUMBER(I50),I50&gt;=Rules!$B$22,ISNUMBER(J50),J50&lt;=Rules!$B$6,Rules!$B$6-J50&lt;=Rules!$B$10,N50&lt;&gt;""),1,0))</f>
        <v/>
      </c>
      <c r="S50" s="60" t="str">
        <f>IF(A50="","",IF(AND(R50=1,ISNUMBER(K50),K50&gt;=0,ISNUMBER(L50),L50&lt;=Rules!$B$6,Rules!$B$6-L50&lt;=Rules!$B$11,M50="Yes",O50&lt;&gt;""),1,0))</f>
        <v/>
      </c>
      <c r="T50" s="60" t="str">
        <f>IF(A50="","",IF(Q50&lt;&gt;1,"Duplicate issuer",IF(AND(ISNUMBER(I50),I50&lt;Rules!$B$22),"Below cap floor",IF(R50&lt;&gt;1,"Check scope/cap inputs",IF(S50&lt;&gt;1,"Check revenue inputs","Ready")))))</f>
        <v/>
      </c>
    </row>
    <row r="51" ht="24.0" customHeight="1">
      <c r="A51" s="59"/>
      <c r="B51" s="59"/>
      <c r="C51" s="59"/>
      <c r="D51" s="59"/>
      <c r="E51" s="59"/>
      <c r="F51" s="59"/>
      <c r="G51" s="59"/>
      <c r="H51" s="59"/>
      <c r="I51" s="56"/>
      <c r="J51" s="57"/>
      <c r="K51" s="56"/>
      <c r="L51" s="57"/>
      <c r="M51" s="59"/>
      <c r="N51" s="59"/>
      <c r="O51" s="59"/>
      <c r="P51" s="59"/>
      <c r="Q51" s="60" t="str">
        <f t="shared" si="1"/>
        <v/>
      </c>
      <c r="R51" s="60" t="str">
        <f>IF(A51="","",IF(AND(Q51=1,G51="Yes",H51="Yes",P51="Yes",Rules!$B$7&lt;&gt;"Not selected",D51=Rules!$B$7,OR(Rules!$B$8="",E51=Rules!$B$8),OR(Rules!$B$9="Global",F51=Rules!$B$9),ISNUMBER(I51),I51&gt;=Rules!$B$22,ISNUMBER(J51),J51&lt;=Rules!$B$6,Rules!$B$6-J51&lt;=Rules!$B$10,N51&lt;&gt;""),1,0))</f>
        <v/>
      </c>
      <c r="S51" s="60" t="str">
        <f>IF(A51="","",IF(AND(R51=1,ISNUMBER(K51),K51&gt;=0,ISNUMBER(L51),L51&lt;=Rules!$B$6,Rules!$B$6-L51&lt;=Rules!$B$11,M51="Yes",O51&lt;&gt;""),1,0))</f>
        <v/>
      </c>
      <c r="T51" s="60" t="str">
        <f>IF(A51="","",IF(Q51&lt;&gt;1,"Duplicate issuer",IF(AND(ISNUMBER(I51),I51&lt;Rules!$B$22),"Below cap floor",IF(R51&lt;&gt;1,"Check scope/cap inputs",IF(S51&lt;&gt;1,"Check revenue inputs","Ready")))))</f>
        <v/>
      </c>
    </row>
    <row r="52" ht="24.0" customHeight="1">
      <c r="A52" s="59"/>
      <c r="B52" s="59"/>
      <c r="C52" s="59"/>
      <c r="D52" s="59"/>
      <c r="E52" s="59"/>
      <c r="F52" s="59"/>
      <c r="G52" s="59"/>
      <c r="H52" s="59"/>
      <c r="I52" s="56"/>
      <c r="J52" s="57"/>
      <c r="K52" s="56"/>
      <c r="L52" s="57"/>
      <c r="M52" s="59"/>
      <c r="N52" s="59"/>
      <c r="O52" s="59"/>
      <c r="P52" s="59"/>
      <c r="Q52" s="60" t="str">
        <f t="shared" si="1"/>
        <v/>
      </c>
      <c r="R52" s="60" t="str">
        <f>IF(A52="","",IF(AND(Q52=1,G52="Yes",H52="Yes",P52="Yes",Rules!$B$7&lt;&gt;"Not selected",D52=Rules!$B$7,OR(Rules!$B$8="",E52=Rules!$B$8),OR(Rules!$B$9="Global",F52=Rules!$B$9),ISNUMBER(I52),I52&gt;=Rules!$B$22,ISNUMBER(J52),J52&lt;=Rules!$B$6,Rules!$B$6-J52&lt;=Rules!$B$10,N52&lt;&gt;""),1,0))</f>
        <v/>
      </c>
      <c r="S52" s="60" t="str">
        <f>IF(A52="","",IF(AND(R52=1,ISNUMBER(K52),K52&gt;=0,ISNUMBER(L52),L52&lt;=Rules!$B$6,Rules!$B$6-L52&lt;=Rules!$B$11,M52="Yes",O52&lt;&gt;""),1,0))</f>
        <v/>
      </c>
      <c r="T52" s="60" t="str">
        <f>IF(A52="","",IF(Q52&lt;&gt;1,"Duplicate issuer",IF(AND(ISNUMBER(I52),I52&lt;Rules!$B$22),"Below cap floor",IF(R52&lt;&gt;1,"Check scope/cap inputs",IF(S52&lt;&gt;1,"Check revenue inputs","Ready")))))</f>
        <v/>
      </c>
    </row>
    <row r="53" ht="24.0" customHeight="1">
      <c r="A53" s="59"/>
      <c r="B53" s="59"/>
      <c r="C53" s="59"/>
      <c r="D53" s="59"/>
      <c r="E53" s="59"/>
      <c r="F53" s="59"/>
      <c r="G53" s="59"/>
      <c r="H53" s="59"/>
      <c r="I53" s="56"/>
      <c r="J53" s="57"/>
      <c r="K53" s="56"/>
      <c r="L53" s="57"/>
      <c r="M53" s="59"/>
      <c r="N53" s="59"/>
      <c r="O53" s="59"/>
      <c r="P53" s="59"/>
      <c r="Q53" s="60" t="str">
        <f t="shared" si="1"/>
        <v/>
      </c>
      <c r="R53" s="60" t="str">
        <f>IF(A53="","",IF(AND(Q53=1,G53="Yes",H53="Yes",P53="Yes",Rules!$B$7&lt;&gt;"Not selected",D53=Rules!$B$7,OR(Rules!$B$8="",E53=Rules!$B$8),OR(Rules!$B$9="Global",F53=Rules!$B$9),ISNUMBER(I53),I53&gt;=Rules!$B$22,ISNUMBER(J53),J53&lt;=Rules!$B$6,Rules!$B$6-J53&lt;=Rules!$B$10,N53&lt;&gt;""),1,0))</f>
        <v/>
      </c>
      <c r="S53" s="60" t="str">
        <f>IF(A53="","",IF(AND(R53=1,ISNUMBER(K53),K53&gt;=0,ISNUMBER(L53),L53&lt;=Rules!$B$6,Rules!$B$6-L53&lt;=Rules!$B$11,M53="Yes",O53&lt;&gt;""),1,0))</f>
        <v/>
      </c>
      <c r="T53" s="60" t="str">
        <f>IF(A53="","",IF(Q53&lt;&gt;1,"Duplicate issuer",IF(AND(ISNUMBER(I53),I53&lt;Rules!$B$22),"Below cap floor",IF(R53&lt;&gt;1,"Check scope/cap inputs",IF(S53&lt;&gt;1,"Check revenue inputs","Ready")))))</f>
        <v/>
      </c>
    </row>
    <row r="54" ht="24.0" customHeight="1">
      <c r="A54" s="59"/>
      <c r="B54" s="59"/>
      <c r="C54" s="59"/>
      <c r="D54" s="59"/>
      <c r="E54" s="59"/>
      <c r="F54" s="59"/>
      <c r="G54" s="59"/>
      <c r="H54" s="59"/>
      <c r="I54" s="56"/>
      <c r="J54" s="57"/>
      <c r="K54" s="56"/>
      <c r="L54" s="57"/>
      <c r="M54" s="59"/>
      <c r="N54" s="59"/>
      <c r="O54" s="59"/>
      <c r="P54" s="59"/>
      <c r="Q54" s="60" t="str">
        <f t="shared" si="1"/>
        <v/>
      </c>
      <c r="R54" s="60" t="str">
        <f>IF(A54="","",IF(AND(Q54=1,G54="Yes",H54="Yes",P54="Yes",Rules!$B$7&lt;&gt;"Not selected",D54=Rules!$B$7,OR(Rules!$B$8="",E54=Rules!$B$8),OR(Rules!$B$9="Global",F54=Rules!$B$9),ISNUMBER(I54),I54&gt;=Rules!$B$22,ISNUMBER(J54),J54&lt;=Rules!$B$6,Rules!$B$6-J54&lt;=Rules!$B$10,N54&lt;&gt;""),1,0))</f>
        <v/>
      </c>
      <c r="S54" s="60" t="str">
        <f>IF(A54="","",IF(AND(R54=1,ISNUMBER(K54),K54&gt;=0,ISNUMBER(L54),L54&lt;=Rules!$B$6,Rules!$B$6-L54&lt;=Rules!$B$11,M54="Yes",O54&lt;&gt;""),1,0))</f>
        <v/>
      </c>
      <c r="T54" s="60" t="str">
        <f>IF(A54="","",IF(Q54&lt;&gt;1,"Duplicate issuer",IF(AND(ISNUMBER(I54),I54&lt;Rules!$B$22),"Below cap floor",IF(R54&lt;&gt;1,"Check scope/cap inputs",IF(S54&lt;&gt;1,"Check revenue inputs","Ready")))))</f>
        <v/>
      </c>
    </row>
    <row r="55" ht="24.0" customHeight="1">
      <c r="A55" s="59"/>
      <c r="B55" s="59"/>
      <c r="C55" s="59"/>
      <c r="D55" s="59"/>
      <c r="E55" s="59"/>
      <c r="F55" s="59"/>
      <c r="G55" s="59"/>
      <c r="H55" s="59"/>
      <c r="I55" s="56"/>
      <c r="J55" s="57"/>
      <c r="K55" s="56"/>
      <c r="L55" s="57"/>
      <c r="M55" s="59"/>
      <c r="N55" s="59"/>
      <c r="O55" s="59"/>
      <c r="P55" s="59"/>
      <c r="Q55" s="60" t="str">
        <f t="shared" si="1"/>
        <v/>
      </c>
      <c r="R55" s="60" t="str">
        <f>IF(A55="","",IF(AND(Q55=1,G55="Yes",H55="Yes",P55="Yes",Rules!$B$7&lt;&gt;"Not selected",D55=Rules!$B$7,OR(Rules!$B$8="",E55=Rules!$B$8),OR(Rules!$B$9="Global",F55=Rules!$B$9),ISNUMBER(I55),I55&gt;=Rules!$B$22,ISNUMBER(J55),J55&lt;=Rules!$B$6,Rules!$B$6-J55&lt;=Rules!$B$10,N55&lt;&gt;""),1,0))</f>
        <v/>
      </c>
      <c r="S55" s="60" t="str">
        <f>IF(A55="","",IF(AND(R55=1,ISNUMBER(K55),K55&gt;=0,ISNUMBER(L55),L55&lt;=Rules!$B$6,Rules!$B$6-L55&lt;=Rules!$B$11,M55="Yes",O55&lt;&gt;""),1,0))</f>
        <v/>
      </c>
      <c r="T55" s="60" t="str">
        <f>IF(A55="","",IF(Q55&lt;&gt;1,"Duplicate issuer",IF(AND(ISNUMBER(I55),I55&lt;Rules!$B$22),"Below cap floor",IF(R55&lt;&gt;1,"Check scope/cap inputs",IF(S55&lt;&gt;1,"Check revenue inputs","Ready")))))</f>
        <v/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:T55">
    <cfRule type="expression" dxfId="0" priority="1">
      <formula>AND($A6&lt;&gt;"",$T6&lt;&gt;"Ready")</formula>
    </cfRule>
  </conditionalFormatting>
  <dataValidations>
    <dataValidation type="list" allowBlank="1" sqref="G6:H55 M6:M55 P6:P55">
      <formula1>"Yes,No"</formula1>
    </dataValidation>
  </dataValidations>
  <hyperlinks>
    <hyperlink r:id="rId2" ref="N6"/>
    <hyperlink r:id="rId3" ref="N7"/>
    <hyperlink r:id="rId4" ref="N8"/>
    <hyperlink r:id="rId5" ref="N9"/>
    <hyperlink r:id="rId6" ref="N10"/>
    <hyperlink r:id="rId7" ref="N11"/>
    <hyperlink r:id="rId8" ref="N12"/>
    <hyperlink r:id="rId9" ref="N13"/>
    <hyperlink r:id="rId10" ref="N14"/>
    <hyperlink r:id="rId11" ref="N15"/>
  </hyperlinks>
  <printOptions/>
  <pageMargins bottom="0.75" footer="0.0" header="0.0" left="0.7" right="0.7" top="0.75"/>
  <pageSetup orientation="landscape"/>
  <drawing r:id="rId12"/>
  <legacy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19.0"/>
    <col customWidth="1" min="3" max="3" width="33.0"/>
    <col customWidth="1" min="4" max="9" width="19.0"/>
    <col customWidth="1" min="10" max="10" width="40.0"/>
    <col customWidth="1" min="11" max="11" width="19.0"/>
    <col customWidth="1" min="12" max="12" width="28.0"/>
    <col customWidth="1" min="13" max="26" width="8.63"/>
  </cols>
  <sheetData>
    <row r="1">
      <c r="A1" s="1"/>
      <c r="B1" s="1"/>
      <c r="C1" s="1"/>
      <c r="D1" s="1"/>
      <c r="E1" s="1"/>
      <c r="F1" s="1"/>
    </row>
    <row r="2">
      <c r="A2" s="3" t="s">
        <v>350</v>
      </c>
      <c r="B2" s="1"/>
      <c r="C2" s="1"/>
      <c r="D2" s="1"/>
      <c r="E2" s="1"/>
      <c r="F2" s="1"/>
    </row>
    <row r="3">
      <c r="A3" s="1" t="s">
        <v>351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8.0" customHeight="1">
      <c r="A5" s="51" t="s">
        <v>352</v>
      </c>
      <c r="B5" s="51" t="s">
        <v>277</v>
      </c>
      <c r="C5" s="51" t="s">
        <v>353</v>
      </c>
      <c r="D5" s="51" t="s">
        <v>354</v>
      </c>
      <c r="E5" s="51" t="s">
        <v>33</v>
      </c>
      <c r="F5" s="51" t="s">
        <v>38</v>
      </c>
      <c r="G5" s="52" t="s">
        <v>355</v>
      </c>
      <c r="H5" s="52" t="s">
        <v>356</v>
      </c>
      <c r="I5" s="52" t="s">
        <v>357</v>
      </c>
      <c r="J5" s="52" t="s">
        <v>358</v>
      </c>
      <c r="K5" s="52" t="s">
        <v>359</v>
      </c>
      <c r="L5" s="52" t="s">
        <v>290</v>
      </c>
    </row>
    <row r="6" ht="24.0" customHeight="1">
      <c r="A6" s="59"/>
      <c r="B6" s="59"/>
      <c r="C6" s="59"/>
      <c r="D6" s="59"/>
      <c r="E6" s="59"/>
      <c r="F6" s="59"/>
      <c r="G6" s="56"/>
      <c r="H6" s="57"/>
      <c r="I6" s="59"/>
      <c r="J6" s="59"/>
      <c r="K6" s="60" t="str">
        <f>IF(A6="","",IF(AND(COUNTIFS($A$6:$A$25,A6)=1,I6="Yes",OR(D6="Passive",D6="Active"),E6=Rules!$B$7,OR(Rules!$B$8="",F6=Rules!$B$8),ISNUMBER(G6),G6&gt;=Rules!$B$17,ISNUMBER(H6),H6&lt;=Rules!$B$6,Rules!$B$6-H6&lt;=Rules!$B$16,J6&lt;&gt;"",COUNTIFS($I$6:$I$25,"Yes")&lt;=Rules!$B$18),1,0))</f>
        <v/>
      </c>
      <c r="L6" s="60" t="str">
        <f>IF(A6="","",IF(COUNTIFS($A$6:$A$25,A6)&lt;&gt;1,"Duplicate ETF",IF(I6&lt;&gt;"Yes","Not selected",IF(COUNTIFS($I$6:$I$25,"Yes")&gt;Rules!$B$18,"Too many selected ETFs",IF(K6=1,"Ready","Check scope/AUM/date")))))</f>
        <v/>
      </c>
    </row>
    <row r="7" ht="24.0" customHeight="1">
      <c r="A7" s="59"/>
      <c r="B7" s="59"/>
      <c r="C7" s="59"/>
      <c r="D7" s="59"/>
      <c r="E7" s="59"/>
      <c r="F7" s="59"/>
      <c r="G7" s="56"/>
      <c r="H7" s="57"/>
      <c r="I7" s="59"/>
      <c r="J7" s="59"/>
      <c r="K7" s="60" t="str">
        <f>IF(A7="","",IF(AND(COUNTIFS($A$6:$A$25,A7)=1,I7="Yes",OR(D7="Passive",D7="Active"),E7=Rules!$B$7,OR(Rules!$B$8="",F7=Rules!$B$8),ISNUMBER(G7),G7&gt;=Rules!$B$17,ISNUMBER(H7),H7&lt;=Rules!$B$6,Rules!$B$6-H7&lt;=Rules!$B$16,J7&lt;&gt;"",COUNTIFS($I$6:$I$25,"Yes")&lt;=Rules!$B$18),1,0))</f>
        <v/>
      </c>
      <c r="L7" s="60" t="str">
        <f>IF(A7="","",IF(COUNTIFS($A$6:$A$25,A7)&lt;&gt;1,"Duplicate ETF",IF(I7&lt;&gt;"Yes","Not selected",IF(COUNTIFS($I$6:$I$25,"Yes")&gt;Rules!$B$18,"Too many selected ETFs",IF(K7=1,"Ready","Check scope/AUM/date")))))</f>
        <v/>
      </c>
    </row>
    <row r="8" ht="24.0" customHeight="1">
      <c r="A8" s="59"/>
      <c r="B8" s="59"/>
      <c r="C8" s="59"/>
      <c r="D8" s="59"/>
      <c r="E8" s="59"/>
      <c r="F8" s="59"/>
      <c r="G8" s="56"/>
      <c r="H8" s="57"/>
      <c r="I8" s="59"/>
      <c r="J8" s="59"/>
      <c r="K8" s="60" t="str">
        <f>IF(A8="","",IF(AND(COUNTIFS($A$6:$A$25,A8)=1,I8="Yes",OR(D8="Passive",D8="Active"),E8=Rules!$B$7,OR(Rules!$B$8="",F8=Rules!$B$8),ISNUMBER(G8),G8&gt;=Rules!$B$17,ISNUMBER(H8),H8&lt;=Rules!$B$6,Rules!$B$6-H8&lt;=Rules!$B$16,J8&lt;&gt;"",COUNTIFS($I$6:$I$25,"Yes")&lt;=Rules!$B$18),1,0))</f>
        <v/>
      </c>
      <c r="L8" s="60" t="str">
        <f>IF(A8="","",IF(COUNTIFS($A$6:$A$25,A8)&lt;&gt;1,"Duplicate ETF",IF(I8&lt;&gt;"Yes","Not selected",IF(COUNTIFS($I$6:$I$25,"Yes")&gt;Rules!$B$18,"Too many selected ETFs",IF(K8=1,"Ready","Check scope/AUM/date")))))</f>
        <v/>
      </c>
    </row>
    <row r="9" ht="24.0" customHeight="1">
      <c r="A9" s="59"/>
      <c r="B9" s="59"/>
      <c r="C9" s="59"/>
      <c r="D9" s="59"/>
      <c r="E9" s="59"/>
      <c r="F9" s="59"/>
      <c r="G9" s="56"/>
      <c r="H9" s="57"/>
      <c r="I9" s="59"/>
      <c r="J9" s="59"/>
      <c r="K9" s="60" t="str">
        <f>IF(A9="","",IF(AND(COUNTIFS($A$6:$A$25,A9)=1,I9="Yes",OR(D9="Passive",D9="Active"),E9=Rules!$B$7,OR(Rules!$B$8="",F9=Rules!$B$8),ISNUMBER(G9),G9&gt;=Rules!$B$17,ISNUMBER(H9),H9&lt;=Rules!$B$6,Rules!$B$6-H9&lt;=Rules!$B$16,J9&lt;&gt;"",COUNTIFS($I$6:$I$25,"Yes")&lt;=Rules!$B$18),1,0))</f>
        <v/>
      </c>
      <c r="L9" s="60" t="str">
        <f>IF(A9="","",IF(COUNTIFS($A$6:$A$25,A9)&lt;&gt;1,"Duplicate ETF",IF(I9&lt;&gt;"Yes","Not selected",IF(COUNTIFS($I$6:$I$25,"Yes")&gt;Rules!$B$18,"Too many selected ETFs",IF(K9=1,"Ready","Check scope/AUM/date")))))</f>
        <v/>
      </c>
    </row>
    <row r="10" ht="24.0" customHeight="1">
      <c r="A10" s="59"/>
      <c r="B10" s="59"/>
      <c r="C10" s="59"/>
      <c r="D10" s="59"/>
      <c r="E10" s="59"/>
      <c r="F10" s="59"/>
      <c r="G10" s="56"/>
      <c r="H10" s="57"/>
      <c r="I10" s="59"/>
      <c r="J10" s="59"/>
      <c r="K10" s="60" t="str">
        <f>IF(A10="","",IF(AND(COUNTIFS($A$6:$A$25,A10)=1,I10="Yes",OR(D10="Passive",D10="Active"),E10=Rules!$B$7,OR(Rules!$B$8="",F10=Rules!$B$8),ISNUMBER(G10),G10&gt;=Rules!$B$17,ISNUMBER(H10),H10&lt;=Rules!$B$6,Rules!$B$6-H10&lt;=Rules!$B$16,J10&lt;&gt;"",COUNTIFS($I$6:$I$25,"Yes")&lt;=Rules!$B$18),1,0))</f>
        <v/>
      </c>
      <c r="L10" s="60" t="str">
        <f>IF(A10="","",IF(COUNTIFS($A$6:$A$25,A10)&lt;&gt;1,"Duplicate ETF",IF(I10&lt;&gt;"Yes","Not selected",IF(COUNTIFS($I$6:$I$25,"Yes")&gt;Rules!$B$18,"Too many selected ETFs",IF(K10=1,"Ready","Check scope/AUM/date")))))</f>
        <v/>
      </c>
    </row>
    <row r="11" ht="24.0" customHeight="1">
      <c r="A11" s="59"/>
      <c r="B11" s="59"/>
      <c r="C11" s="59"/>
      <c r="D11" s="59"/>
      <c r="E11" s="59"/>
      <c r="F11" s="59"/>
      <c r="G11" s="56"/>
      <c r="H11" s="57"/>
      <c r="I11" s="59"/>
      <c r="J11" s="59"/>
      <c r="K11" s="60" t="str">
        <f>IF(A11="","",IF(AND(COUNTIFS($A$6:$A$25,A11)=1,I11="Yes",OR(D11="Passive",D11="Active"),E11=Rules!$B$7,OR(Rules!$B$8="",F11=Rules!$B$8),ISNUMBER(G11),G11&gt;=Rules!$B$17,ISNUMBER(H11),H11&lt;=Rules!$B$6,Rules!$B$6-H11&lt;=Rules!$B$16,J11&lt;&gt;"",COUNTIFS($I$6:$I$25,"Yes")&lt;=Rules!$B$18),1,0))</f>
        <v/>
      </c>
      <c r="L11" s="60" t="str">
        <f>IF(A11="","",IF(COUNTIFS($A$6:$A$25,A11)&lt;&gt;1,"Duplicate ETF",IF(I11&lt;&gt;"Yes","Not selected",IF(COUNTIFS($I$6:$I$25,"Yes")&gt;Rules!$B$18,"Too many selected ETFs",IF(K11=1,"Ready","Check scope/AUM/date")))))</f>
        <v/>
      </c>
    </row>
    <row r="12" ht="24.0" customHeight="1">
      <c r="A12" s="59"/>
      <c r="B12" s="59"/>
      <c r="C12" s="59"/>
      <c r="D12" s="59"/>
      <c r="E12" s="59"/>
      <c r="F12" s="59"/>
      <c r="G12" s="56"/>
      <c r="H12" s="57"/>
      <c r="I12" s="59"/>
      <c r="J12" s="59"/>
      <c r="K12" s="60" t="str">
        <f>IF(A12="","",IF(AND(COUNTIFS($A$6:$A$25,A12)=1,I12="Yes",OR(D12="Passive",D12="Active"),E12=Rules!$B$7,OR(Rules!$B$8="",F12=Rules!$B$8),ISNUMBER(G12),G12&gt;=Rules!$B$17,ISNUMBER(H12),H12&lt;=Rules!$B$6,Rules!$B$6-H12&lt;=Rules!$B$16,J12&lt;&gt;"",COUNTIFS($I$6:$I$25,"Yes")&lt;=Rules!$B$18),1,0))</f>
        <v/>
      </c>
      <c r="L12" s="60" t="str">
        <f>IF(A12="","",IF(COUNTIFS($A$6:$A$25,A12)&lt;&gt;1,"Duplicate ETF",IF(I12&lt;&gt;"Yes","Not selected",IF(COUNTIFS($I$6:$I$25,"Yes")&gt;Rules!$B$18,"Too many selected ETFs",IF(K12=1,"Ready","Check scope/AUM/date")))))</f>
        <v/>
      </c>
    </row>
    <row r="13" ht="24.0" customHeight="1">
      <c r="A13" s="59"/>
      <c r="B13" s="59"/>
      <c r="C13" s="59"/>
      <c r="D13" s="59"/>
      <c r="E13" s="59"/>
      <c r="F13" s="59"/>
      <c r="G13" s="56"/>
      <c r="H13" s="57"/>
      <c r="I13" s="59"/>
      <c r="J13" s="59"/>
      <c r="K13" s="60" t="str">
        <f>IF(A13="","",IF(AND(COUNTIFS($A$6:$A$25,A13)=1,I13="Yes",OR(D13="Passive",D13="Active"),E13=Rules!$B$7,OR(Rules!$B$8="",F13=Rules!$B$8),ISNUMBER(G13),G13&gt;=Rules!$B$17,ISNUMBER(H13),H13&lt;=Rules!$B$6,Rules!$B$6-H13&lt;=Rules!$B$16,J13&lt;&gt;"",COUNTIFS($I$6:$I$25,"Yes")&lt;=Rules!$B$18),1,0))</f>
        <v/>
      </c>
      <c r="L13" s="60" t="str">
        <f>IF(A13="","",IF(COUNTIFS($A$6:$A$25,A13)&lt;&gt;1,"Duplicate ETF",IF(I13&lt;&gt;"Yes","Not selected",IF(COUNTIFS($I$6:$I$25,"Yes")&gt;Rules!$B$18,"Too many selected ETFs",IF(K13=1,"Ready","Check scope/AUM/date")))))</f>
        <v/>
      </c>
    </row>
    <row r="14" ht="24.0" customHeight="1">
      <c r="A14" s="59"/>
      <c r="B14" s="59"/>
      <c r="C14" s="59"/>
      <c r="D14" s="59"/>
      <c r="E14" s="59"/>
      <c r="F14" s="59"/>
      <c r="G14" s="56"/>
      <c r="H14" s="57"/>
      <c r="I14" s="59"/>
      <c r="J14" s="59"/>
      <c r="K14" s="60" t="str">
        <f>IF(A14="","",IF(AND(COUNTIFS($A$6:$A$25,A14)=1,I14="Yes",OR(D14="Passive",D14="Active"),E14=Rules!$B$7,OR(Rules!$B$8="",F14=Rules!$B$8),ISNUMBER(G14),G14&gt;=Rules!$B$17,ISNUMBER(H14),H14&lt;=Rules!$B$6,Rules!$B$6-H14&lt;=Rules!$B$16,J14&lt;&gt;"",COUNTIFS($I$6:$I$25,"Yes")&lt;=Rules!$B$18),1,0))</f>
        <v/>
      </c>
      <c r="L14" s="60" t="str">
        <f>IF(A14="","",IF(COUNTIFS($A$6:$A$25,A14)&lt;&gt;1,"Duplicate ETF",IF(I14&lt;&gt;"Yes","Not selected",IF(COUNTIFS($I$6:$I$25,"Yes")&gt;Rules!$B$18,"Too many selected ETFs",IF(K14=1,"Ready","Check scope/AUM/date")))))</f>
        <v/>
      </c>
    </row>
    <row r="15" ht="24.0" customHeight="1">
      <c r="A15" s="59"/>
      <c r="B15" s="59"/>
      <c r="C15" s="59"/>
      <c r="D15" s="59"/>
      <c r="E15" s="59"/>
      <c r="F15" s="59"/>
      <c r="G15" s="56"/>
      <c r="H15" s="57"/>
      <c r="I15" s="59"/>
      <c r="J15" s="59"/>
      <c r="K15" s="60" t="str">
        <f>IF(A15="","",IF(AND(COUNTIFS($A$6:$A$25,A15)=1,I15="Yes",OR(D15="Passive",D15="Active"),E15=Rules!$B$7,OR(Rules!$B$8="",F15=Rules!$B$8),ISNUMBER(G15),G15&gt;=Rules!$B$17,ISNUMBER(H15),H15&lt;=Rules!$B$6,Rules!$B$6-H15&lt;=Rules!$B$16,J15&lt;&gt;"",COUNTIFS($I$6:$I$25,"Yes")&lt;=Rules!$B$18),1,0))</f>
        <v/>
      </c>
      <c r="L15" s="60" t="str">
        <f>IF(A15="","",IF(COUNTIFS($A$6:$A$25,A15)&lt;&gt;1,"Duplicate ETF",IF(I15&lt;&gt;"Yes","Not selected",IF(COUNTIFS($I$6:$I$25,"Yes")&gt;Rules!$B$18,"Too many selected ETFs",IF(K15=1,"Ready","Check scope/AUM/date")))))</f>
        <v/>
      </c>
    </row>
    <row r="16" ht="24.0" customHeight="1">
      <c r="A16" s="59"/>
      <c r="B16" s="59"/>
      <c r="C16" s="59"/>
      <c r="D16" s="59"/>
      <c r="E16" s="59"/>
      <c r="F16" s="59"/>
      <c r="G16" s="56"/>
      <c r="H16" s="57"/>
      <c r="I16" s="59"/>
      <c r="J16" s="59"/>
      <c r="K16" s="60" t="str">
        <f>IF(A16="","",IF(AND(COUNTIFS($A$6:$A$25,A16)=1,I16="Yes",OR(D16="Passive",D16="Active"),E16=Rules!$B$7,OR(Rules!$B$8="",F16=Rules!$B$8),ISNUMBER(G16),G16&gt;=Rules!$B$17,ISNUMBER(H16),H16&lt;=Rules!$B$6,Rules!$B$6-H16&lt;=Rules!$B$16,J16&lt;&gt;"",COUNTIFS($I$6:$I$25,"Yes")&lt;=Rules!$B$18),1,0))</f>
        <v/>
      </c>
      <c r="L16" s="60" t="str">
        <f>IF(A16="","",IF(COUNTIFS($A$6:$A$25,A16)&lt;&gt;1,"Duplicate ETF",IF(I16&lt;&gt;"Yes","Not selected",IF(COUNTIFS($I$6:$I$25,"Yes")&gt;Rules!$B$18,"Too many selected ETFs",IF(K16=1,"Ready","Check scope/AUM/date")))))</f>
        <v/>
      </c>
    </row>
    <row r="17" ht="24.0" customHeight="1">
      <c r="A17" s="59"/>
      <c r="B17" s="59"/>
      <c r="C17" s="59"/>
      <c r="D17" s="59"/>
      <c r="E17" s="59"/>
      <c r="F17" s="59"/>
      <c r="G17" s="56"/>
      <c r="H17" s="57"/>
      <c r="I17" s="59"/>
      <c r="J17" s="59"/>
      <c r="K17" s="60" t="str">
        <f>IF(A17="","",IF(AND(COUNTIFS($A$6:$A$25,A17)=1,I17="Yes",OR(D17="Passive",D17="Active"),E17=Rules!$B$7,OR(Rules!$B$8="",F17=Rules!$B$8),ISNUMBER(G17),G17&gt;=Rules!$B$17,ISNUMBER(H17),H17&lt;=Rules!$B$6,Rules!$B$6-H17&lt;=Rules!$B$16,J17&lt;&gt;"",COUNTIFS($I$6:$I$25,"Yes")&lt;=Rules!$B$18),1,0))</f>
        <v/>
      </c>
      <c r="L17" s="60" t="str">
        <f>IF(A17="","",IF(COUNTIFS($A$6:$A$25,A17)&lt;&gt;1,"Duplicate ETF",IF(I17&lt;&gt;"Yes","Not selected",IF(COUNTIFS($I$6:$I$25,"Yes")&gt;Rules!$B$18,"Too many selected ETFs",IF(K17=1,"Ready","Check scope/AUM/date")))))</f>
        <v/>
      </c>
    </row>
    <row r="18" ht="24.0" customHeight="1">
      <c r="A18" s="59"/>
      <c r="B18" s="59"/>
      <c r="C18" s="59"/>
      <c r="D18" s="59"/>
      <c r="E18" s="59"/>
      <c r="F18" s="59"/>
      <c r="G18" s="56"/>
      <c r="H18" s="57"/>
      <c r="I18" s="59"/>
      <c r="J18" s="59"/>
      <c r="K18" s="60" t="str">
        <f>IF(A18="","",IF(AND(COUNTIFS($A$6:$A$25,A18)=1,I18="Yes",OR(D18="Passive",D18="Active"),E18=Rules!$B$7,OR(Rules!$B$8="",F18=Rules!$B$8),ISNUMBER(G18),G18&gt;=Rules!$B$17,ISNUMBER(H18),H18&lt;=Rules!$B$6,Rules!$B$6-H18&lt;=Rules!$B$16,J18&lt;&gt;"",COUNTIFS($I$6:$I$25,"Yes")&lt;=Rules!$B$18),1,0))</f>
        <v/>
      </c>
      <c r="L18" s="60" t="str">
        <f>IF(A18="","",IF(COUNTIFS($A$6:$A$25,A18)&lt;&gt;1,"Duplicate ETF",IF(I18&lt;&gt;"Yes","Not selected",IF(COUNTIFS($I$6:$I$25,"Yes")&gt;Rules!$B$18,"Too many selected ETFs",IF(K18=1,"Ready","Check scope/AUM/date")))))</f>
        <v/>
      </c>
    </row>
    <row r="19" ht="24.0" customHeight="1">
      <c r="A19" s="59"/>
      <c r="B19" s="59"/>
      <c r="C19" s="59"/>
      <c r="D19" s="59"/>
      <c r="E19" s="59"/>
      <c r="F19" s="59"/>
      <c r="G19" s="56"/>
      <c r="H19" s="57"/>
      <c r="I19" s="59"/>
      <c r="J19" s="59"/>
      <c r="K19" s="60" t="str">
        <f>IF(A19="","",IF(AND(COUNTIFS($A$6:$A$25,A19)=1,I19="Yes",OR(D19="Passive",D19="Active"),E19=Rules!$B$7,OR(Rules!$B$8="",F19=Rules!$B$8),ISNUMBER(G19),G19&gt;=Rules!$B$17,ISNUMBER(H19),H19&lt;=Rules!$B$6,Rules!$B$6-H19&lt;=Rules!$B$16,J19&lt;&gt;"",COUNTIFS($I$6:$I$25,"Yes")&lt;=Rules!$B$18),1,0))</f>
        <v/>
      </c>
      <c r="L19" s="60" t="str">
        <f>IF(A19="","",IF(COUNTIFS($A$6:$A$25,A19)&lt;&gt;1,"Duplicate ETF",IF(I19&lt;&gt;"Yes","Not selected",IF(COUNTIFS($I$6:$I$25,"Yes")&gt;Rules!$B$18,"Too many selected ETFs",IF(K19=1,"Ready","Check scope/AUM/date")))))</f>
        <v/>
      </c>
    </row>
    <row r="20" ht="24.0" customHeight="1">
      <c r="A20" s="59"/>
      <c r="B20" s="59"/>
      <c r="C20" s="59"/>
      <c r="D20" s="59"/>
      <c r="E20" s="59"/>
      <c r="F20" s="59"/>
      <c r="G20" s="56"/>
      <c r="H20" s="57"/>
      <c r="I20" s="59"/>
      <c r="J20" s="59"/>
      <c r="K20" s="60" t="str">
        <f>IF(A20="","",IF(AND(COUNTIFS($A$6:$A$25,A20)=1,I20="Yes",OR(D20="Passive",D20="Active"),E20=Rules!$B$7,OR(Rules!$B$8="",F20=Rules!$B$8),ISNUMBER(G20),G20&gt;=Rules!$B$17,ISNUMBER(H20),H20&lt;=Rules!$B$6,Rules!$B$6-H20&lt;=Rules!$B$16,J20&lt;&gt;"",COUNTIFS($I$6:$I$25,"Yes")&lt;=Rules!$B$18),1,0))</f>
        <v/>
      </c>
      <c r="L20" s="60" t="str">
        <f>IF(A20="","",IF(COUNTIFS($A$6:$A$25,A20)&lt;&gt;1,"Duplicate ETF",IF(I20&lt;&gt;"Yes","Not selected",IF(COUNTIFS($I$6:$I$25,"Yes")&gt;Rules!$B$18,"Too many selected ETFs",IF(K20=1,"Ready","Check scope/AUM/date")))))</f>
        <v/>
      </c>
    </row>
    <row r="21" ht="24.0" customHeight="1">
      <c r="A21" s="59"/>
      <c r="B21" s="59"/>
      <c r="C21" s="59"/>
      <c r="D21" s="59"/>
      <c r="E21" s="59"/>
      <c r="F21" s="59"/>
      <c r="G21" s="56"/>
      <c r="H21" s="57"/>
      <c r="I21" s="59"/>
      <c r="J21" s="59"/>
      <c r="K21" s="60" t="str">
        <f>IF(A21="","",IF(AND(COUNTIFS($A$6:$A$25,A21)=1,I21="Yes",OR(D21="Passive",D21="Active"),E21=Rules!$B$7,OR(Rules!$B$8="",F21=Rules!$B$8),ISNUMBER(G21),G21&gt;=Rules!$B$17,ISNUMBER(H21),H21&lt;=Rules!$B$6,Rules!$B$6-H21&lt;=Rules!$B$16,J21&lt;&gt;"",COUNTIFS($I$6:$I$25,"Yes")&lt;=Rules!$B$18),1,0))</f>
        <v/>
      </c>
      <c r="L21" s="60" t="str">
        <f>IF(A21="","",IF(COUNTIFS($A$6:$A$25,A21)&lt;&gt;1,"Duplicate ETF",IF(I21&lt;&gt;"Yes","Not selected",IF(COUNTIFS($I$6:$I$25,"Yes")&gt;Rules!$B$18,"Too many selected ETFs",IF(K21=1,"Ready","Check scope/AUM/date")))))</f>
        <v/>
      </c>
    </row>
    <row r="22" ht="24.0" customHeight="1">
      <c r="A22" s="59"/>
      <c r="B22" s="59"/>
      <c r="C22" s="59"/>
      <c r="D22" s="59"/>
      <c r="E22" s="59"/>
      <c r="F22" s="59"/>
      <c r="G22" s="56"/>
      <c r="H22" s="57"/>
      <c r="I22" s="59"/>
      <c r="J22" s="59"/>
      <c r="K22" s="60" t="str">
        <f>IF(A22="","",IF(AND(COUNTIFS($A$6:$A$25,A22)=1,I22="Yes",OR(D22="Passive",D22="Active"),E22=Rules!$B$7,OR(Rules!$B$8="",F22=Rules!$B$8),ISNUMBER(G22),G22&gt;=Rules!$B$17,ISNUMBER(H22),H22&lt;=Rules!$B$6,Rules!$B$6-H22&lt;=Rules!$B$16,J22&lt;&gt;"",COUNTIFS($I$6:$I$25,"Yes")&lt;=Rules!$B$18),1,0))</f>
        <v/>
      </c>
      <c r="L22" s="60" t="str">
        <f>IF(A22="","",IF(COUNTIFS($A$6:$A$25,A22)&lt;&gt;1,"Duplicate ETF",IF(I22&lt;&gt;"Yes","Not selected",IF(COUNTIFS($I$6:$I$25,"Yes")&gt;Rules!$B$18,"Too many selected ETFs",IF(K22=1,"Ready","Check scope/AUM/date")))))</f>
        <v/>
      </c>
    </row>
    <row r="23" ht="24.0" customHeight="1">
      <c r="A23" s="59"/>
      <c r="B23" s="59"/>
      <c r="C23" s="59"/>
      <c r="D23" s="59"/>
      <c r="E23" s="59"/>
      <c r="F23" s="59"/>
      <c r="G23" s="56"/>
      <c r="H23" s="57"/>
      <c r="I23" s="59"/>
      <c r="J23" s="59"/>
      <c r="K23" s="60" t="str">
        <f>IF(A23="","",IF(AND(COUNTIFS($A$6:$A$25,A23)=1,I23="Yes",OR(D23="Passive",D23="Active"),E23=Rules!$B$7,OR(Rules!$B$8="",F23=Rules!$B$8),ISNUMBER(G23),G23&gt;=Rules!$B$17,ISNUMBER(H23),H23&lt;=Rules!$B$6,Rules!$B$6-H23&lt;=Rules!$B$16,J23&lt;&gt;"",COUNTIFS($I$6:$I$25,"Yes")&lt;=Rules!$B$18),1,0))</f>
        <v/>
      </c>
      <c r="L23" s="60" t="str">
        <f>IF(A23="","",IF(COUNTIFS($A$6:$A$25,A23)&lt;&gt;1,"Duplicate ETF",IF(I23&lt;&gt;"Yes","Not selected",IF(COUNTIFS($I$6:$I$25,"Yes")&gt;Rules!$B$18,"Too many selected ETFs",IF(K23=1,"Ready","Check scope/AUM/date")))))</f>
        <v/>
      </c>
    </row>
    <row r="24" ht="24.0" customHeight="1">
      <c r="A24" s="59"/>
      <c r="B24" s="59"/>
      <c r="C24" s="59"/>
      <c r="D24" s="59"/>
      <c r="E24" s="59"/>
      <c r="F24" s="59"/>
      <c r="G24" s="56"/>
      <c r="H24" s="57"/>
      <c r="I24" s="59"/>
      <c r="J24" s="59"/>
      <c r="K24" s="60" t="str">
        <f>IF(A24="","",IF(AND(COUNTIFS($A$6:$A$25,A24)=1,I24="Yes",OR(D24="Passive",D24="Active"),E24=Rules!$B$7,OR(Rules!$B$8="",F24=Rules!$B$8),ISNUMBER(G24),G24&gt;=Rules!$B$17,ISNUMBER(H24),H24&lt;=Rules!$B$6,Rules!$B$6-H24&lt;=Rules!$B$16,J24&lt;&gt;"",COUNTIFS($I$6:$I$25,"Yes")&lt;=Rules!$B$18),1,0))</f>
        <v/>
      </c>
      <c r="L24" s="60" t="str">
        <f>IF(A24="","",IF(COUNTIFS($A$6:$A$25,A24)&lt;&gt;1,"Duplicate ETF",IF(I24&lt;&gt;"Yes","Not selected",IF(COUNTIFS($I$6:$I$25,"Yes")&gt;Rules!$B$18,"Too many selected ETFs",IF(K24=1,"Ready","Check scope/AUM/date")))))</f>
        <v/>
      </c>
    </row>
    <row r="25" ht="24.0" customHeight="1">
      <c r="A25" s="59"/>
      <c r="B25" s="59"/>
      <c r="C25" s="59"/>
      <c r="D25" s="59"/>
      <c r="E25" s="59"/>
      <c r="F25" s="59"/>
      <c r="G25" s="56"/>
      <c r="H25" s="57"/>
      <c r="I25" s="59"/>
      <c r="J25" s="59"/>
      <c r="K25" s="60" t="str">
        <f>IF(A25="","",IF(AND(COUNTIFS($A$6:$A$25,A25)=1,I25="Yes",OR(D25="Passive",D25="Active"),E25=Rules!$B$7,OR(Rules!$B$8="",F25=Rules!$B$8),ISNUMBER(G25),G25&gt;=Rules!$B$17,ISNUMBER(H25),H25&lt;=Rules!$B$6,Rules!$B$6-H25&lt;=Rules!$B$16,J25&lt;&gt;"",COUNTIFS($I$6:$I$25,"Yes")&lt;=Rules!$B$18),1,0))</f>
        <v/>
      </c>
      <c r="L25" s="60" t="str">
        <f>IF(A25="","",IF(COUNTIFS($A$6:$A$25,A25)&lt;&gt;1,"Duplicate ETF",IF(I25&lt;&gt;"Yes","Not selected",IF(COUNTIFS($I$6:$I$25,"Yes")&gt;Rules!$B$18,"Too many selected ETFs",IF(K25=1,"Ready","Check scope/AUM/date")))))</f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:L25">
    <cfRule type="expression" dxfId="0" priority="1">
      <formula>AND($A6&lt;&gt;"",$I6="Yes",$L6&lt;&gt;"Ready")</formula>
    </cfRule>
  </conditionalFormatting>
  <dataValidations>
    <dataValidation type="list" allowBlank="1" sqref="D6:D25">
      <formula1>"Passive,Active"</formula1>
    </dataValidation>
    <dataValidation type="list" allowBlank="1" sqref="I6:I2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5" width="19.0"/>
    <col customWidth="1" min="6" max="6" width="43.0"/>
    <col customWidth="1" min="7" max="11" width="19.0"/>
    <col customWidth="1" min="12" max="12" width="31.0"/>
    <col customWidth="1" min="13" max="26" width="8.63"/>
  </cols>
  <sheetData>
    <row r="1">
      <c r="A1" s="1"/>
      <c r="B1" s="1"/>
      <c r="C1" s="1"/>
      <c r="D1" s="1"/>
      <c r="E1" s="1"/>
      <c r="F1" s="1"/>
    </row>
    <row r="2">
      <c r="A2" s="3" t="s">
        <v>360</v>
      </c>
      <c r="B2" s="1"/>
      <c r="C2" s="1"/>
      <c r="D2" s="1"/>
      <c r="E2" s="1"/>
      <c r="F2" s="1"/>
    </row>
    <row r="3">
      <c r="A3" s="1" t="s">
        <v>361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8.0" customHeight="1">
      <c r="A5" s="51" t="s">
        <v>139</v>
      </c>
      <c r="B5" s="51" t="s">
        <v>352</v>
      </c>
      <c r="C5" s="51" t="s">
        <v>362</v>
      </c>
      <c r="D5" s="51" t="s">
        <v>363</v>
      </c>
      <c r="E5" s="51" t="s">
        <v>356</v>
      </c>
      <c r="F5" s="51" t="s">
        <v>358</v>
      </c>
      <c r="G5" s="52" t="s">
        <v>364</v>
      </c>
      <c r="H5" s="52" t="s">
        <v>365</v>
      </c>
      <c r="I5" s="52" t="s">
        <v>366</v>
      </c>
      <c r="J5" s="52" t="s">
        <v>367</v>
      </c>
      <c r="K5" s="52" t="s">
        <v>368</v>
      </c>
      <c r="L5" s="52" t="s">
        <v>290</v>
      </c>
    </row>
    <row r="6" ht="24.0" customHeight="1">
      <c r="A6" s="59"/>
      <c r="B6" s="59"/>
      <c r="C6" s="61"/>
      <c r="D6" s="56"/>
      <c r="E6" s="57"/>
      <c r="F6" s="59"/>
      <c r="G6" s="59"/>
      <c r="H6" s="60" t="str">
        <f t="array" ref="H6">IF(OR(A6="",B6=""),"",IF(COUNTIFS(ETFs!$A$6:$A$25,B6)&lt;&gt;1,"Unmatched ETF",INDEX(ETFs!$D$6:$D$25,MATCH(B6,ETFs!$A$6:$A$25,0))))</f>
        <v/>
      </c>
      <c r="I6" s="62" t="str">
        <f t="array" ref="I6">IF(OR(A6="",B6=""),"",IF(COUNTIFS(ETFs!$A$6:$A$25,B6,ETFs!$K$6:$K$25,1)&lt;&gt;1,"",INDEX(ETFs!$G$6:$G$25,MATCH(B6,ETFs!$A$6:$A$25,0))))</f>
        <v/>
      </c>
      <c r="J6" s="60" t="str">
        <f t="shared" ref="J6:J205" si="1">IF(OR(A6="",B6=""),"",COUNTIFS($A$6:$A$205,A6,$B$6:$B$205,B6))</f>
        <v/>
      </c>
      <c r="K6" s="60" t="str">
        <f t="array" ref="K6">IF(OR(A6="",B6=""),"",IF(COUNTIFS(ETFs!$A$6:$A$25,B6,ETFs!$K$6:$K$25,1)&lt;&gt;1,0,IF(AND(J6=1,COUNTIFS(Companies!$A$6:$A$55,A6,Companies!$R$6:$R$55,1)=1,ISNUMBER(C6),C6&gt;=0,C6&lt;=1,ISNUMBER(D6),D6&gt;=0,ISNUMBER(I6),ABS(D6-C6*I6)&lt;=0.00000001*MAX(1,I6),ISNUMBER(E6),E6=INDEX(ETFs!$H$6:$H$25,MATCH(B6,ETFs!$A$6:$A$25,0)),G6="Yes",F6&lt;&gt;""),1,0)))</f>
        <v/>
      </c>
      <c r="L6" s="60" t="str">
        <f t="shared" ref="L6:L205" si="2">IF(OR(A6="",B6=""),"",IF(J6&lt;&gt;1,"Duplicate holding pair",IF(K6=1,"Ready","Check pair/values/date")))</f>
        <v/>
      </c>
    </row>
    <row r="7" ht="24.0" customHeight="1">
      <c r="A7" s="59"/>
      <c r="B7" s="59"/>
      <c r="C7" s="61"/>
      <c r="D7" s="56"/>
      <c r="E7" s="57"/>
      <c r="F7" s="59"/>
      <c r="G7" s="59"/>
      <c r="H7" s="60" t="str">
        <f t="array" ref="H7">IF(OR(A7="",B7=""),"",IF(COUNTIFS(ETFs!$A$6:$A$25,B7)&lt;&gt;1,"Unmatched ETF",INDEX(ETFs!$D$6:$D$25,MATCH(B7,ETFs!$A$6:$A$25,0))))</f>
        <v/>
      </c>
      <c r="I7" s="62" t="str">
        <f t="array" ref="I7">IF(OR(A7="",B7=""),"",IF(COUNTIFS(ETFs!$A$6:$A$25,B7,ETFs!$K$6:$K$25,1)&lt;&gt;1,"",INDEX(ETFs!$G$6:$G$25,MATCH(B7,ETFs!$A$6:$A$25,0))))</f>
        <v/>
      </c>
      <c r="J7" s="60" t="str">
        <f t="shared" si="1"/>
        <v/>
      </c>
      <c r="K7" s="60" t="str">
        <f t="array" ref="K7">IF(OR(A7="",B7=""),"",IF(COUNTIFS(ETFs!$A$6:$A$25,B7,ETFs!$K$6:$K$25,1)&lt;&gt;1,0,IF(AND(J7=1,COUNTIFS(Companies!$A$6:$A$55,A7,Companies!$R$6:$R$55,1)=1,ISNUMBER(C7),C7&gt;=0,C7&lt;=1,ISNUMBER(D7),D7&gt;=0,ISNUMBER(I7),ABS(D7-C7*I7)&lt;=0.00000001*MAX(1,I7),ISNUMBER(E7),E7=INDEX(ETFs!$H$6:$H$25,MATCH(B7,ETFs!$A$6:$A$25,0)),G7="Yes",F7&lt;&gt;""),1,0)))</f>
        <v/>
      </c>
      <c r="L7" s="60" t="str">
        <f t="shared" si="2"/>
        <v/>
      </c>
    </row>
    <row r="8" ht="24.0" customHeight="1">
      <c r="A8" s="59"/>
      <c r="B8" s="59"/>
      <c r="C8" s="61"/>
      <c r="D8" s="56"/>
      <c r="E8" s="57"/>
      <c r="F8" s="59"/>
      <c r="G8" s="59"/>
      <c r="H8" s="60" t="str">
        <f t="array" ref="H8">IF(OR(A8="",B8=""),"",IF(COUNTIFS(ETFs!$A$6:$A$25,B8)&lt;&gt;1,"Unmatched ETF",INDEX(ETFs!$D$6:$D$25,MATCH(B8,ETFs!$A$6:$A$25,0))))</f>
        <v/>
      </c>
      <c r="I8" s="62" t="str">
        <f t="array" ref="I8">IF(OR(A8="",B8=""),"",IF(COUNTIFS(ETFs!$A$6:$A$25,B8,ETFs!$K$6:$K$25,1)&lt;&gt;1,"",INDEX(ETFs!$G$6:$G$25,MATCH(B8,ETFs!$A$6:$A$25,0))))</f>
        <v/>
      </c>
      <c r="J8" s="60" t="str">
        <f t="shared" si="1"/>
        <v/>
      </c>
      <c r="K8" s="60" t="str">
        <f t="array" ref="K8">IF(OR(A8="",B8=""),"",IF(COUNTIFS(ETFs!$A$6:$A$25,B8,ETFs!$K$6:$K$25,1)&lt;&gt;1,0,IF(AND(J8=1,COUNTIFS(Companies!$A$6:$A$55,A8,Companies!$R$6:$R$55,1)=1,ISNUMBER(C8),C8&gt;=0,C8&lt;=1,ISNUMBER(D8),D8&gt;=0,ISNUMBER(I8),ABS(D8-C8*I8)&lt;=0.00000001*MAX(1,I8),ISNUMBER(E8),E8=INDEX(ETFs!$H$6:$H$25,MATCH(B8,ETFs!$A$6:$A$25,0)),G8="Yes",F8&lt;&gt;""),1,0)))</f>
        <v/>
      </c>
      <c r="L8" s="60" t="str">
        <f t="shared" si="2"/>
        <v/>
      </c>
    </row>
    <row r="9" ht="24.0" customHeight="1">
      <c r="A9" s="59"/>
      <c r="B9" s="59"/>
      <c r="C9" s="61"/>
      <c r="D9" s="56"/>
      <c r="E9" s="57"/>
      <c r="F9" s="59"/>
      <c r="G9" s="59"/>
      <c r="H9" s="60" t="str">
        <f t="array" ref="H9">IF(OR(A9="",B9=""),"",IF(COUNTIFS(ETFs!$A$6:$A$25,B9)&lt;&gt;1,"Unmatched ETF",INDEX(ETFs!$D$6:$D$25,MATCH(B9,ETFs!$A$6:$A$25,0))))</f>
        <v/>
      </c>
      <c r="I9" s="62" t="str">
        <f t="array" ref="I9">IF(OR(A9="",B9=""),"",IF(COUNTIFS(ETFs!$A$6:$A$25,B9,ETFs!$K$6:$K$25,1)&lt;&gt;1,"",INDEX(ETFs!$G$6:$G$25,MATCH(B9,ETFs!$A$6:$A$25,0))))</f>
        <v/>
      </c>
      <c r="J9" s="60" t="str">
        <f t="shared" si="1"/>
        <v/>
      </c>
      <c r="K9" s="60" t="str">
        <f t="array" ref="K9">IF(OR(A9="",B9=""),"",IF(COUNTIFS(ETFs!$A$6:$A$25,B9,ETFs!$K$6:$K$25,1)&lt;&gt;1,0,IF(AND(J9=1,COUNTIFS(Companies!$A$6:$A$55,A9,Companies!$R$6:$R$55,1)=1,ISNUMBER(C9),C9&gt;=0,C9&lt;=1,ISNUMBER(D9),D9&gt;=0,ISNUMBER(I9),ABS(D9-C9*I9)&lt;=0.00000001*MAX(1,I9),ISNUMBER(E9),E9=INDEX(ETFs!$H$6:$H$25,MATCH(B9,ETFs!$A$6:$A$25,0)),G9="Yes",F9&lt;&gt;""),1,0)))</f>
        <v/>
      </c>
      <c r="L9" s="60" t="str">
        <f t="shared" si="2"/>
        <v/>
      </c>
    </row>
    <row r="10" ht="24.0" customHeight="1">
      <c r="A10" s="59"/>
      <c r="B10" s="59"/>
      <c r="C10" s="61"/>
      <c r="D10" s="56"/>
      <c r="E10" s="57"/>
      <c r="F10" s="59"/>
      <c r="G10" s="59"/>
      <c r="H10" s="60" t="str">
        <f t="array" ref="H10">IF(OR(A10="",B10=""),"",IF(COUNTIFS(ETFs!$A$6:$A$25,B10)&lt;&gt;1,"Unmatched ETF",INDEX(ETFs!$D$6:$D$25,MATCH(B10,ETFs!$A$6:$A$25,0))))</f>
        <v/>
      </c>
      <c r="I10" s="62" t="str">
        <f t="array" ref="I10">IF(OR(A10="",B10=""),"",IF(COUNTIFS(ETFs!$A$6:$A$25,B10,ETFs!$K$6:$K$25,1)&lt;&gt;1,"",INDEX(ETFs!$G$6:$G$25,MATCH(B10,ETFs!$A$6:$A$25,0))))</f>
        <v/>
      </c>
      <c r="J10" s="60" t="str">
        <f t="shared" si="1"/>
        <v/>
      </c>
      <c r="K10" s="60" t="str">
        <f t="array" ref="K10">IF(OR(A10="",B10=""),"",IF(COUNTIFS(ETFs!$A$6:$A$25,B10,ETFs!$K$6:$K$25,1)&lt;&gt;1,0,IF(AND(J10=1,COUNTIFS(Companies!$A$6:$A$55,A10,Companies!$R$6:$R$55,1)=1,ISNUMBER(C10),C10&gt;=0,C10&lt;=1,ISNUMBER(D10),D10&gt;=0,ISNUMBER(I10),ABS(D10-C10*I10)&lt;=0.00000001*MAX(1,I10),ISNUMBER(E10),E10=INDEX(ETFs!$H$6:$H$25,MATCH(B10,ETFs!$A$6:$A$25,0)),G10="Yes",F10&lt;&gt;""),1,0)))</f>
        <v/>
      </c>
      <c r="L10" s="60" t="str">
        <f t="shared" si="2"/>
        <v/>
      </c>
    </row>
    <row r="11" ht="24.0" customHeight="1">
      <c r="A11" s="59"/>
      <c r="B11" s="59"/>
      <c r="C11" s="61"/>
      <c r="D11" s="56"/>
      <c r="E11" s="57"/>
      <c r="F11" s="59"/>
      <c r="G11" s="59"/>
      <c r="H11" s="60" t="str">
        <f t="array" ref="H11">IF(OR(A11="",B11=""),"",IF(COUNTIFS(ETFs!$A$6:$A$25,B11)&lt;&gt;1,"Unmatched ETF",INDEX(ETFs!$D$6:$D$25,MATCH(B11,ETFs!$A$6:$A$25,0))))</f>
        <v/>
      </c>
      <c r="I11" s="62" t="str">
        <f t="array" ref="I11">IF(OR(A11="",B11=""),"",IF(COUNTIFS(ETFs!$A$6:$A$25,B11,ETFs!$K$6:$K$25,1)&lt;&gt;1,"",INDEX(ETFs!$G$6:$G$25,MATCH(B11,ETFs!$A$6:$A$25,0))))</f>
        <v/>
      </c>
      <c r="J11" s="60" t="str">
        <f t="shared" si="1"/>
        <v/>
      </c>
      <c r="K11" s="60" t="str">
        <f t="array" ref="K11">IF(OR(A11="",B11=""),"",IF(COUNTIFS(ETFs!$A$6:$A$25,B11,ETFs!$K$6:$K$25,1)&lt;&gt;1,0,IF(AND(J11=1,COUNTIFS(Companies!$A$6:$A$55,A11,Companies!$R$6:$R$55,1)=1,ISNUMBER(C11),C11&gt;=0,C11&lt;=1,ISNUMBER(D11),D11&gt;=0,ISNUMBER(I11),ABS(D11-C11*I11)&lt;=0.00000001*MAX(1,I11),ISNUMBER(E11),E11=INDEX(ETFs!$H$6:$H$25,MATCH(B11,ETFs!$A$6:$A$25,0)),G11="Yes",F11&lt;&gt;""),1,0)))</f>
        <v/>
      </c>
      <c r="L11" s="60" t="str">
        <f t="shared" si="2"/>
        <v/>
      </c>
    </row>
    <row r="12" ht="24.0" customHeight="1">
      <c r="A12" s="59"/>
      <c r="B12" s="59"/>
      <c r="C12" s="61"/>
      <c r="D12" s="56"/>
      <c r="E12" s="57"/>
      <c r="F12" s="59"/>
      <c r="G12" s="59"/>
      <c r="H12" s="60" t="str">
        <f t="array" ref="H12">IF(OR(A12="",B12=""),"",IF(COUNTIFS(ETFs!$A$6:$A$25,B12)&lt;&gt;1,"Unmatched ETF",INDEX(ETFs!$D$6:$D$25,MATCH(B12,ETFs!$A$6:$A$25,0))))</f>
        <v/>
      </c>
      <c r="I12" s="62" t="str">
        <f t="array" ref="I12">IF(OR(A12="",B12=""),"",IF(COUNTIFS(ETFs!$A$6:$A$25,B12,ETFs!$K$6:$K$25,1)&lt;&gt;1,"",INDEX(ETFs!$G$6:$G$25,MATCH(B12,ETFs!$A$6:$A$25,0))))</f>
        <v/>
      </c>
      <c r="J12" s="60" t="str">
        <f t="shared" si="1"/>
        <v/>
      </c>
      <c r="K12" s="60" t="str">
        <f t="array" ref="K12">IF(OR(A12="",B12=""),"",IF(COUNTIFS(ETFs!$A$6:$A$25,B12,ETFs!$K$6:$K$25,1)&lt;&gt;1,0,IF(AND(J12=1,COUNTIFS(Companies!$A$6:$A$55,A12,Companies!$R$6:$R$55,1)=1,ISNUMBER(C12),C12&gt;=0,C12&lt;=1,ISNUMBER(D12),D12&gt;=0,ISNUMBER(I12),ABS(D12-C12*I12)&lt;=0.00000001*MAX(1,I12),ISNUMBER(E12),E12=INDEX(ETFs!$H$6:$H$25,MATCH(B12,ETFs!$A$6:$A$25,0)),G12="Yes",F12&lt;&gt;""),1,0)))</f>
        <v/>
      </c>
      <c r="L12" s="60" t="str">
        <f t="shared" si="2"/>
        <v/>
      </c>
    </row>
    <row r="13" ht="24.0" customHeight="1">
      <c r="A13" s="59"/>
      <c r="B13" s="59"/>
      <c r="C13" s="61"/>
      <c r="D13" s="56"/>
      <c r="E13" s="57"/>
      <c r="F13" s="59"/>
      <c r="G13" s="59"/>
      <c r="H13" s="60" t="str">
        <f t="array" ref="H13">IF(OR(A13="",B13=""),"",IF(COUNTIFS(ETFs!$A$6:$A$25,B13)&lt;&gt;1,"Unmatched ETF",INDEX(ETFs!$D$6:$D$25,MATCH(B13,ETFs!$A$6:$A$25,0))))</f>
        <v/>
      </c>
      <c r="I13" s="62" t="str">
        <f t="array" ref="I13">IF(OR(A13="",B13=""),"",IF(COUNTIFS(ETFs!$A$6:$A$25,B13,ETFs!$K$6:$K$25,1)&lt;&gt;1,"",INDEX(ETFs!$G$6:$G$25,MATCH(B13,ETFs!$A$6:$A$25,0))))</f>
        <v/>
      </c>
      <c r="J13" s="60" t="str">
        <f t="shared" si="1"/>
        <v/>
      </c>
      <c r="K13" s="60" t="str">
        <f t="array" ref="K13">IF(OR(A13="",B13=""),"",IF(COUNTIFS(ETFs!$A$6:$A$25,B13,ETFs!$K$6:$K$25,1)&lt;&gt;1,0,IF(AND(J13=1,COUNTIFS(Companies!$A$6:$A$55,A13,Companies!$R$6:$R$55,1)=1,ISNUMBER(C13),C13&gt;=0,C13&lt;=1,ISNUMBER(D13),D13&gt;=0,ISNUMBER(I13),ABS(D13-C13*I13)&lt;=0.00000001*MAX(1,I13),ISNUMBER(E13),E13=INDEX(ETFs!$H$6:$H$25,MATCH(B13,ETFs!$A$6:$A$25,0)),G13="Yes",F13&lt;&gt;""),1,0)))</f>
        <v/>
      </c>
      <c r="L13" s="60" t="str">
        <f t="shared" si="2"/>
        <v/>
      </c>
    </row>
    <row r="14" ht="24.0" customHeight="1">
      <c r="A14" s="59"/>
      <c r="B14" s="59"/>
      <c r="C14" s="61"/>
      <c r="D14" s="56"/>
      <c r="E14" s="57"/>
      <c r="F14" s="59"/>
      <c r="G14" s="59"/>
      <c r="H14" s="60" t="str">
        <f t="array" ref="H14">IF(OR(A14="",B14=""),"",IF(COUNTIFS(ETFs!$A$6:$A$25,B14)&lt;&gt;1,"Unmatched ETF",INDEX(ETFs!$D$6:$D$25,MATCH(B14,ETFs!$A$6:$A$25,0))))</f>
        <v/>
      </c>
      <c r="I14" s="62" t="str">
        <f t="array" ref="I14">IF(OR(A14="",B14=""),"",IF(COUNTIFS(ETFs!$A$6:$A$25,B14,ETFs!$K$6:$K$25,1)&lt;&gt;1,"",INDEX(ETFs!$G$6:$G$25,MATCH(B14,ETFs!$A$6:$A$25,0))))</f>
        <v/>
      </c>
      <c r="J14" s="60" t="str">
        <f t="shared" si="1"/>
        <v/>
      </c>
      <c r="K14" s="60" t="str">
        <f t="array" ref="K14">IF(OR(A14="",B14=""),"",IF(COUNTIFS(ETFs!$A$6:$A$25,B14,ETFs!$K$6:$K$25,1)&lt;&gt;1,0,IF(AND(J14=1,COUNTIFS(Companies!$A$6:$A$55,A14,Companies!$R$6:$R$55,1)=1,ISNUMBER(C14),C14&gt;=0,C14&lt;=1,ISNUMBER(D14),D14&gt;=0,ISNUMBER(I14),ABS(D14-C14*I14)&lt;=0.00000001*MAX(1,I14),ISNUMBER(E14),E14=INDEX(ETFs!$H$6:$H$25,MATCH(B14,ETFs!$A$6:$A$25,0)),G14="Yes",F14&lt;&gt;""),1,0)))</f>
        <v/>
      </c>
      <c r="L14" s="60" t="str">
        <f t="shared" si="2"/>
        <v/>
      </c>
    </row>
    <row r="15" ht="24.0" customHeight="1">
      <c r="A15" s="59"/>
      <c r="B15" s="59"/>
      <c r="C15" s="61"/>
      <c r="D15" s="56"/>
      <c r="E15" s="57"/>
      <c r="F15" s="59"/>
      <c r="G15" s="59"/>
      <c r="H15" s="60" t="str">
        <f t="array" ref="H15">IF(OR(A15="",B15=""),"",IF(COUNTIFS(ETFs!$A$6:$A$25,B15)&lt;&gt;1,"Unmatched ETF",INDEX(ETFs!$D$6:$D$25,MATCH(B15,ETFs!$A$6:$A$25,0))))</f>
        <v/>
      </c>
      <c r="I15" s="62" t="str">
        <f t="array" ref="I15">IF(OR(A15="",B15=""),"",IF(COUNTIFS(ETFs!$A$6:$A$25,B15,ETFs!$K$6:$K$25,1)&lt;&gt;1,"",INDEX(ETFs!$G$6:$G$25,MATCH(B15,ETFs!$A$6:$A$25,0))))</f>
        <v/>
      </c>
      <c r="J15" s="60" t="str">
        <f t="shared" si="1"/>
        <v/>
      </c>
      <c r="K15" s="60" t="str">
        <f t="array" ref="K15">IF(OR(A15="",B15=""),"",IF(COUNTIFS(ETFs!$A$6:$A$25,B15,ETFs!$K$6:$K$25,1)&lt;&gt;1,0,IF(AND(J15=1,COUNTIFS(Companies!$A$6:$A$55,A15,Companies!$R$6:$R$55,1)=1,ISNUMBER(C15),C15&gt;=0,C15&lt;=1,ISNUMBER(D15),D15&gt;=0,ISNUMBER(I15),ABS(D15-C15*I15)&lt;=0.00000001*MAX(1,I15),ISNUMBER(E15),E15=INDEX(ETFs!$H$6:$H$25,MATCH(B15,ETFs!$A$6:$A$25,0)),G15="Yes",F15&lt;&gt;""),1,0)))</f>
        <v/>
      </c>
      <c r="L15" s="60" t="str">
        <f t="shared" si="2"/>
        <v/>
      </c>
    </row>
    <row r="16" ht="24.0" customHeight="1">
      <c r="A16" s="59"/>
      <c r="B16" s="59"/>
      <c r="C16" s="61"/>
      <c r="D16" s="56"/>
      <c r="E16" s="57"/>
      <c r="F16" s="59"/>
      <c r="G16" s="59"/>
      <c r="H16" s="60" t="str">
        <f t="array" ref="H16">IF(OR(A16="",B16=""),"",IF(COUNTIFS(ETFs!$A$6:$A$25,B16)&lt;&gt;1,"Unmatched ETF",INDEX(ETFs!$D$6:$D$25,MATCH(B16,ETFs!$A$6:$A$25,0))))</f>
        <v/>
      </c>
      <c r="I16" s="62" t="str">
        <f t="array" ref="I16">IF(OR(A16="",B16=""),"",IF(COUNTIFS(ETFs!$A$6:$A$25,B16,ETFs!$K$6:$K$25,1)&lt;&gt;1,"",INDEX(ETFs!$G$6:$G$25,MATCH(B16,ETFs!$A$6:$A$25,0))))</f>
        <v/>
      </c>
      <c r="J16" s="60" t="str">
        <f t="shared" si="1"/>
        <v/>
      </c>
      <c r="K16" s="60" t="str">
        <f t="array" ref="K16">IF(OR(A16="",B16=""),"",IF(COUNTIFS(ETFs!$A$6:$A$25,B16,ETFs!$K$6:$K$25,1)&lt;&gt;1,0,IF(AND(J16=1,COUNTIFS(Companies!$A$6:$A$55,A16,Companies!$R$6:$R$55,1)=1,ISNUMBER(C16),C16&gt;=0,C16&lt;=1,ISNUMBER(D16),D16&gt;=0,ISNUMBER(I16),ABS(D16-C16*I16)&lt;=0.00000001*MAX(1,I16),ISNUMBER(E16),E16=INDEX(ETFs!$H$6:$H$25,MATCH(B16,ETFs!$A$6:$A$25,0)),G16="Yes",F16&lt;&gt;""),1,0)))</f>
        <v/>
      </c>
      <c r="L16" s="60" t="str">
        <f t="shared" si="2"/>
        <v/>
      </c>
    </row>
    <row r="17" ht="24.0" customHeight="1">
      <c r="A17" s="59"/>
      <c r="B17" s="59"/>
      <c r="C17" s="61"/>
      <c r="D17" s="56"/>
      <c r="E17" s="57"/>
      <c r="F17" s="59"/>
      <c r="G17" s="59"/>
      <c r="H17" s="60" t="str">
        <f t="array" ref="H17">IF(OR(A17="",B17=""),"",IF(COUNTIFS(ETFs!$A$6:$A$25,B17)&lt;&gt;1,"Unmatched ETF",INDEX(ETFs!$D$6:$D$25,MATCH(B17,ETFs!$A$6:$A$25,0))))</f>
        <v/>
      </c>
      <c r="I17" s="62" t="str">
        <f t="array" ref="I17">IF(OR(A17="",B17=""),"",IF(COUNTIFS(ETFs!$A$6:$A$25,B17,ETFs!$K$6:$K$25,1)&lt;&gt;1,"",INDEX(ETFs!$G$6:$G$25,MATCH(B17,ETFs!$A$6:$A$25,0))))</f>
        <v/>
      </c>
      <c r="J17" s="60" t="str">
        <f t="shared" si="1"/>
        <v/>
      </c>
      <c r="K17" s="60" t="str">
        <f t="array" ref="K17">IF(OR(A17="",B17=""),"",IF(COUNTIFS(ETFs!$A$6:$A$25,B17,ETFs!$K$6:$K$25,1)&lt;&gt;1,0,IF(AND(J17=1,COUNTIFS(Companies!$A$6:$A$55,A17,Companies!$R$6:$R$55,1)=1,ISNUMBER(C17),C17&gt;=0,C17&lt;=1,ISNUMBER(D17),D17&gt;=0,ISNUMBER(I17),ABS(D17-C17*I17)&lt;=0.00000001*MAX(1,I17),ISNUMBER(E17),E17=INDEX(ETFs!$H$6:$H$25,MATCH(B17,ETFs!$A$6:$A$25,0)),G17="Yes",F17&lt;&gt;""),1,0)))</f>
        <v/>
      </c>
      <c r="L17" s="60" t="str">
        <f t="shared" si="2"/>
        <v/>
      </c>
    </row>
    <row r="18" ht="24.0" customHeight="1">
      <c r="A18" s="59"/>
      <c r="B18" s="59"/>
      <c r="C18" s="61"/>
      <c r="D18" s="56"/>
      <c r="E18" s="57"/>
      <c r="F18" s="59"/>
      <c r="G18" s="59"/>
      <c r="H18" s="60" t="str">
        <f t="array" ref="H18">IF(OR(A18="",B18=""),"",IF(COUNTIFS(ETFs!$A$6:$A$25,B18)&lt;&gt;1,"Unmatched ETF",INDEX(ETFs!$D$6:$D$25,MATCH(B18,ETFs!$A$6:$A$25,0))))</f>
        <v/>
      </c>
      <c r="I18" s="62" t="str">
        <f t="array" ref="I18">IF(OR(A18="",B18=""),"",IF(COUNTIFS(ETFs!$A$6:$A$25,B18,ETFs!$K$6:$K$25,1)&lt;&gt;1,"",INDEX(ETFs!$G$6:$G$25,MATCH(B18,ETFs!$A$6:$A$25,0))))</f>
        <v/>
      </c>
      <c r="J18" s="60" t="str">
        <f t="shared" si="1"/>
        <v/>
      </c>
      <c r="K18" s="60" t="str">
        <f t="array" ref="K18">IF(OR(A18="",B18=""),"",IF(COUNTIFS(ETFs!$A$6:$A$25,B18,ETFs!$K$6:$K$25,1)&lt;&gt;1,0,IF(AND(J18=1,COUNTIFS(Companies!$A$6:$A$55,A18,Companies!$R$6:$R$55,1)=1,ISNUMBER(C18),C18&gt;=0,C18&lt;=1,ISNUMBER(D18),D18&gt;=0,ISNUMBER(I18),ABS(D18-C18*I18)&lt;=0.00000001*MAX(1,I18),ISNUMBER(E18),E18=INDEX(ETFs!$H$6:$H$25,MATCH(B18,ETFs!$A$6:$A$25,0)),G18="Yes",F18&lt;&gt;""),1,0)))</f>
        <v/>
      </c>
      <c r="L18" s="60" t="str">
        <f t="shared" si="2"/>
        <v/>
      </c>
    </row>
    <row r="19" ht="24.0" customHeight="1">
      <c r="A19" s="59"/>
      <c r="B19" s="59"/>
      <c r="C19" s="61"/>
      <c r="D19" s="56"/>
      <c r="E19" s="57"/>
      <c r="F19" s="59"/>
      <c r="G19" s="59"/>
      <c r="H19" s="60" t="str">
        <f t="array" ref="H19">IF(OR(A19="",B19=""),"",IF(COUNTIFS(ETFs!$A$6:$A$25,B19)&lt;&gt;1,"Unmatched ETF",INDEX(ETFs!$D$6:$D$25,MATCH(B19,ETFs!$A$6:$A$25,0))))</f>
        <v/>
      </c>
      <c r="I19" s="62" t="str">
        <f t="array" ref="I19">IF(OR(A19="",B19=""),"",IF(COUNTIFS(ETFs!$A$6:$A$25,B19,ETFs!$K$6:$K$25,1)&lt;&gt;1,"",INDEX(ETFs!$G$6:$G$25,MATCH(B19,ETFs!$A$6:$A$25,0))))</f>
        <v/>
      </c>
      <c r="J19" s="60" t="str">
        <f t="shared" si="1"/>
        <v/>
      </c>
      <c r="K19" s="60" t="str">
        <f t="array" ref="K19">IF(OR(A19="",B19=""),"",IF(COUNTIFS(ETFs!$A$6:$A$25,B19,ETFs!$K$6:$K$25,1)&lt;&gt;1,0,IF(AND(J19=1,COUNTIFS(Companies!$A$6:$A$55,A19,Companies!$R$6:$R$55,1)=1,ISNUMBER(C19),C19&gt;=0,C19&lt;=1,ISNUMBER(D19),D19&gt;=0,ISNUMBER(I19),ABS(D19-C19*I19)&lt;=0.00000001*MAX(1,I19),ISNUMBER(E19),E19=INDEX(ETFs!$H$6:$H$25,MATCH(B19,ETFs!$A$6:$A$25,0)),G19="Yes",F19&lt;&gt;""),1,0)))</f>
        <v/>
      </c>
      <c r="L19" s="60" t="str">
        <f t="shared" si="2"/>
        <v/>
      </c>
    </row>
    <row r="20" ht="24.0" customHeight="1">
      <c r="A20" s="59"/>
      <c r="B20" s="59"/>
      <c r="C20" s="61"/>
      <c r="D20" s="56"/>
      <c r="E20" s="57"/>
      <c r="F20" s="59"/>
      <c r="G20" s="59"/>
      <c r="H20" s="60" t="str">
        <f t="array" ref="H20">IF(OR(A20="",B20=""),"",IF(COUNTIFS(ETFs!$A$6:$A$25,B20)&lt;&gt;1,"Unmatched ETF",INDEX(ETFs!$D$6:$D$25,MATCH(B20,ETFs!$A$6:$A$25,0))))</f>
        <v/>
      </c>
      <c r="I20" s="62" t="str">
        <f t="array" ref="I20">IF(OR(A20="",B20=""),"",IF(COUNTIFS(ETFs!$A$6:$A$25,B20,ETFs!$K$6:$K$25,1)&lt;&gt;1,"",INDEX(ETFs!$G$6:$G$25,MATCH(B20,ETFs!$A$6:$A$25,0))))</f>
        <v/>
      </c>
      <c r="J20" s="60" t="str">
        <f t="shared" si="1"/>
        <v/>
      </c>
      <c r="K20" s="60" t="str">
        <f t="array" ref="K20">IF(OR(A20="",B20=""),"",IF(COUNTIFS(ETFs!$A$6:$A$25,B20,ETFs!$K$6:$K$25,1)&lt;&gt;1,0,IF(AND(J20=1,COUNTIFS(Companies!$A$6:$A$55,A20,Companies!$R$6:$R$55,1)=1,ISNUMBER(C20),C20&gt;=0,C20&lt;=1,ISNUMBER(D20),D20&gt;=0,ISNUMBER(I20),ABS(D20-C20*I20)&lt;=0.00000001*MAX(1,I20),ISNUMBER(E20),E20=INDEX(ETFs!$H$6:$H$25,MATCH(B20,ETFs!$A$6:$A$25,0)),G20="Yes",F20&lt;&gt;""),1,0)))</f>
        <v/>
      </c>
      <c r="L20" s="60" t="str">
        <f t="shared" si="2"/>
        <v/>
      </c>
    </row>
    <row r="21" ht="24.0" customHeight="1">
      <c r="A21" s="59"/>
      <c r="B21" s="59"/>
      <c r="C21" s="61"/>
      <c r="D21" s="56"/>
      <c r="E21" s="57"/>
      <c r="F21" s="59"/>
      <c r="G21" s="59"/>
      <c r="H21" s="60" t="str">
        <f t="array" ref="H21">IF(OR(A21="",B21=""),"",IF(COUNTIFS(ETFs!$A$6:$A$25,B21)&lt;&gt;1,"Unmatched ETF",INDEX(ETFs!$D$6:$D$25,MATCH(B21,ETFs!$A$6:$A$25,0))))</f>
        <v/>
      </c>
      <c r="I21" s="62" t="str">
        <f t="array" ref="I21">IF(OR(A21="",B21=""),"",IF(COUNTIFS(ETFs!$A$6:$A$25,B21,ETFs!$K$6:$K$25,1)&lt;&gt;1,"",INDEX(ETFs!$G$6:$G$25,MATCH(B21,ETFs!$A$6:$A$25,0))))</f>
        <v/>
      </c>
      <c r="J21" s="60" t="str">
        <f t="shared" si="1"/>
        <v/>
      </c>
      <c r="K21" s="60" t="str">
        <f t="array" ref="K21">IF(OR(A21="",B21=""),"",IF(COUNTIFS(ETFs!$A$6:$A$25,B21,ETFs!$K$6:$K$25,1)&lt;&gt;1,0,IF(AND(J21=1,COUNTIFS(Companies!$A$6:$A$55,A21,Companies!$R$6:$R$55,1)=1,ISNUMBER(C21),C21&gt;=0,C21&lt;=1,ISNUMBER(D21),D21&gt;=0,ISNUMBER(I21),ABS(D21-C21*I21)&lt;=0.00000001*MAX(1,I21),ISNUMBER(E21),E21=INDEX(ETFs!$H$6:$H$25,MATCH(B21,ETFs!$A$6:$A$25,0)),G21="Yes",F21&lt;&gt;""),1,0)))</f>
        <v/>
      </c>
      <c r="L21" s="60" t="str">
        <f t="shared" si="2"/>
        <v/>
      </c>
    </row>
    <row r="22" ht="24.0" customHeight="1">
      <c r="A22" s="59"/>
      <c r="B22" s="59"/>
      <c r="C22" s="61"/>
      <c r="D22" s="56"/>
      <c r="E22" s="57"/>
      <c r="F22" s="59"/>
      <c r="G22" s="59"/>
      <c r="H22" s="60" t="str">
        <f t="array" ref="H22">IF(OR(A22="",B22=""),"",IF(COUNTIFS(ETFs!$A$6:$A$25,B22)&lt;&gt;1,"Unmatched ETF",INDEX(ETFs!$D$6:$D$25,MATCH(B22,ETFs!$A$6:$A$25,0))))</f>
        <v/>
      </c>
      <c r="I22" s="62" t="str">
        <f t="array" ref="I22">IF(OR(A22="",B22=""),"",IF(COUNTIFS(ETFs!$A$6:$A$25,B22,ETFs!$K$6:$K$25,1)&lt;&gt;1,"",INDEX(ETFs!$G$6:$G$25,MATCH(B22,ETFs!$A$6:$A$25,0))))</f>
        <v/>
      </c>
      <c r="J22" s="60" t="str">
        <f t="shared" si="1"/>
        <v/>
      </c>
      <c r="K22" s="60" t="str">
        <f t="array" ref="K22">IF(OR(A22="",B22=""),"",IF(COUNTIFS(ETFs!$A$6:$A$25,B22,ETFs!$K$6:$K$25,1)&lt;&gt;1,0,IF(AND(J22=1,COUNTIFS(Companies!$A$6:$A$55,A22,Companies!$R$6:$R$55,1)=1,ISNUMBER(C22),C22&gt;=0,C22&lt;=1,ISNUMBER(D22),D22&gt;=0,ISNUMBER(I22),ABS(D22-C22*I22)&lt;=0.00000001*MAX(1,I22),ISNUMBER(E22),E22=INDEX(ETFs!$H$6:$H$25,MATCH(B22,ETFs!$A$6:$A$25,0)),G22="Yes",F22&lt;&gt;""),1,0)))</f>
        <v/>
      </c>
      <c r="L22" s="60" t="str">
        <f t="shared" si="2"/>
        <v/>
      </c>
    </row>
    <row r="23" ht="24.0" customHeight="1">
      <c r="A23" s="59"/>
      <c r="B23" s="59"/>
      <c r="C23" s="61"/>
      <c r="D23" s="56"/>
      <c r="E23" s="57"/>
      <c r="F23" s="59"/>
      <c r="G23" s="59"/>
      <c r="H23" s="60" t="str">
        <f t="array" ref="H23">IF(OR(A23="",B23=""),"",IF(COUNTIFS(ETFs!$A$6:$A$25,B23)&lt;&gt;1,"Unmatched ETF",INDEX(ETFs!$D$6:$D$25,MATCH(B23,ETFs!$A$6:$A$25,0))))</f>
        <v/>
      </c>
      <c r="I23" s="62" t="str">
        <f t="array" ref="I23">IF(OR(A23="",B23=""),"",IF(COUNTIFS(ETFs!$A$6:$A$25,B23,ETFs!$K$6:$K$25,1)&lt;&gt;1,"",INDEX(ETFs!$G$6:$G$25,MATCH(B23,ETFs!$A$6:$A$25,0))))</f>
        <v/>
      </c>
      <c r="J23" s="60" t="str">
        <f t="shared" si="1"/>
        <v/>
      </c>
      <c r="K23" s="60" t="str">
        <f t="array" ref="K23">IF(OR(A23="",B23=""),"",IF(COUNTIFS(ETFs!$A$6:$A$25,B23,ETFs!$K$6:$K$25,1)&lt;&gt;1,0,IF(AND(J23=1,COUNTIFS(Companies!$A$6:$A$55,A23,Companies!$R$6:$R$55,1)=1,ISNUMBER(C23),C23&gt;=0,C23&lt;=1,ISNUMBER(D23),D23&gt;=0,ISNUMBER(I23),ABS(D23-C23*I23)&lt;=0.00000001*MAX(1,I23),ISNUMBER(E23),E23=INDEX(ETFs!$H$6:$H$25,MATCH(B23,ETFs!$A$6:$A$25,0)),G23="Yes",F23&lt;&gt;""),1,0)))</f>
        <v/>
      </c>
      <c r="L23" s="60" t="str">
        <f t="shared" si="2"/>
        <v/>
      </c>
    </row>
    <row r="24" ht="24.0" customHeight="1">
      <c r="A24" s="59"/>
      <c r="B24" s="59"/>
      <c r="C24" s="61"/>
      <c r="D24" s="56"/>
      <c r="E24" s="57"/>
      <c r="F24" s="59"/>
      <c r="G24" s="59"/>
      <c r="H24" s="60" t="str">
        <f t="array" ref="H24">IF(OR(A24="",B24=""),"",IF(COUNTIFS(ETFs!$A$6:$A$25,B24)&lt;&gt;1,"Unmatched ETF",INDEX(ETFs!$D$6:$D$25,MATCH(B24,ETFs!$A$6:$A$25,0))))</f>
        <v/>
      </c>
      <c r="I24" s="62" t="str">
        <f t="array" ref="I24">IF(OR(A24="",B24=""),"",IF(COUNTIFS(ETFs!$A$6:$A$25,B24,ETFs!$K$6:$K$25,1)&lt;&gt;1,"",INDEX(ETFs!$G$6:$G$25,MATCH(B24,ETFs!$A$6:$A$25,0))))</f>
        <v/>
      </c>
      <c r="J24" s="60" t="str">
        <f t="shared" si="1"/>
        <v/>
      </c>
      <c r="K24" s="60" t="str">
        <f t="array" ref="K24">IF(OR(A24="",B24=""),"",IF(COUNTIFS(ETFs!$A$6:$A$25,B24,ETFs!$K$6:$K$25,1)&lt;&gt;1,0,IF(AND(J24=1,COUNTIFS(Companies!$A$6:$A$55,A24,Companies!$R$6:$R$55,1)=1,ISNUMBER(C24),C24&gt;=0,C24&lt;=1,ISNUMBER(D24),D24&gt;=0,ISNUMBER(I24),ABS(D24-C24*I24)&lt;=0.00000001*MAX(1,I24),ISNUMBER(E24),E24=INDEX(ETFs!$H$6:$H$25,MATCH(B24,ETFs!$A$6:$A$25,0)),G24="Yes",F24&lt;&gt;""),1,0)))</f>
        <v/>
      </c>
      <c r="L24" s="60" t="str">
        <f t="shared" si="2"/>
        <v/>
      </c>
    </row>
    <row r="25" ht="24.0" customHeight="1">
      <c r="A25" s="59"/>
      <c r="B25" s="59"/>
      <c r="C25" s="61"/>
      <c r="D25" s="56"/>
      <c r="E25" s="57"/>
      <c r="F25" s="59"/>
      <c r="G25" s="59"/>
      <c r="H25" s="60" t="str">
        <f t="array" ref="H25">IF(OR(A25="",B25=""),"",IF(COUNTIFS(ETFs!$A$6:$A$25,B25)&lt;&gt;1,"Unmatched ETF",INDEX(ETFs!$D$6:$D$25,MATCH(B25,ETFs!$A$6:$A$25,0))))</f>
        <v/>
      </c>
      <c r="I25" s="62" t="str">
        <f t="array" ref="I25">IF(OR(A25="",B25=""),"",IF(COUNTIFS(ETFs!$A$6:$A$25,B25,ETFs!$K$6:$K$25,1)&lt;&gt;1,"",INDEX(ETFs!$G$6:$G$25,MATCH(B25,ETFs!$A$6:$A$25,0))))</f>
        <v/>
      </c>
      <c r="J25" s="60" t="str">
        <f t="shared" si="1"/>
        <v/>
      </c>
      <c r="K25" s="60" t="str">
        <f t="array" ref="K25">IF(OR(A25="",B25=""),"",IF(COUNTIFS(ETFs!$A$6:$A$25,B25,ETFs!$K$6:$K$25,1)&lt;&gt;1,0,IF(AND(J25=1,COUNTIFS(Companies!$A$6:$A$55,A25,Companies!$R$6:$R$55,1)=1,ISNUMBER(C25),C25&gt;=0,C25&lt;=1,ISNUMBER(D25),D25&gt;=0,ISNUMBER(I25),ABS(D25-C25*I25)&lt;=0.00000001*MAX(1,I25),ISNUMBER(E25),E25=INDEX(ETFs!$H$6:$H$25,MATCH(B25,ETFs!$A$6:$A$25,0)),G25="Yes",F25&lt;&gt;""),1,0)))</f>
        <v/>
      </c>
      <c r="L25" s="60" t="str">
        <f t="shared" si="2"/>
        <v/>
      </c>
    </row>
    <row r="26" ht="24.0" customHeight="1">
      <c r="A26" s="59"/>
      <c r="B26" s="59"/>
      <c r="C26" s="61"/>
      <c r="D26" s="56"/>
      <c r="E26" s="57"/>
      <c r="F26" s="59"/>
      <c r="G26" s="59"/>
      <c r="H26" s="60" t="str">
        <f t="array" ref="H26">IF(OR(A26="",B26=""),"",IF(COUNTIFS(ETFs!$A$6:$A$25,B26)&lt;&gt;1,"Unmatched ETF",INDEX(ETFs!$D$6:$D$25,MATCH(B26,ETFs!$A$6:$A$25,0))))</f>
        <v/>
      </c>
      <c r="I26" s="62" t="str">
        <f t="array" ref="I26">IF(OR(A26="",B26=""),"",IF(COUNTIFS(ETFs!$A$6:$A$25,B26,ETFs!$K$6:$K$25,1)&lt;&gt;1,"",INDEX(ETFs!$G$6:$G$25,MATCH(B26,ETFs!$A$6:$A$25,0))))</f>
        <v/>
      </c>
      <c r="J26" s="60" t="str">
        <f t="shared" si="1"/>
        <v/>
      </c>
      <c r="K26" s="60" t="str">
        <f t="array" ref="K26">IF(OR(A26="",B26=""),"",IF(COUNTIFS(ETFs!$A$6:$A$25,B26,ETFs!$K$6:$K$25,1)&lt;&gt;1,0,IF(AND(J26=1,COUNTIFS(Companies!$A$6:$A$55,A26,Companies!$R$6:$R$55,1)=1,ISNUMBER(C26),C26&gt;=0,C26&lt;=1,ISNUMBER(D26),D26&gt;=0,ISNUMBER(I26),ABS(D26-C26*I26)&lt;=0.00000001*MAX(1,I26),ISNUMBER(E26),E26=INDEX(ETFs!$H$6:$H$25,MATCH(B26,ETFs!$A$6:$A$25,0)),G26="Yes",F26&lt;&gt;""),1,0)))</f>
        <v/>
      </c>
      <c r="L26" s="60" t="str">
        <f t="shared" si="2"/>
        <v/>
      </c>
    </row>
    <row r="27" ht="24.0" customHeight="1">
      <c r="A27" s="59"/>
      <c r="B27" s="59"/>
      <c r="C27" s="61"/>
      <c r="D27" s="56"/>
      <c r="E27" s="57"/>
      <c r="F27" s="59"/>
      <c r="G27" s="59"/>
      <c r="H27" s="60" t="str">
        <f t="array" ref="H27">IF(OR(A27="",B27=""),"",IF(COUNTIFS(ETFs!$A$6:$A$25,B27)&lt;&gt;1,"Unmatched ETF",INDEX(ETFs!$D$6:$D$25,MATCH(B27,ETFs!$A$6:$A$25,0))))</f>
        <v/>
      </c>
      <c r="I27" s="62" t="str">
        <f t="array" ref="I27">IF(OR(A27="",B27=""),"",IF(COUNTIFS(ETFs!$A$6:$A$25,B27,ETFs!$K$6:$K$25,1)&lt;&gt;1,"",INDEX(ETFs!$G$6:$G$25,MATCH(B27,ETFs!$A$6:$A$25,0))))</f>
        <v/>
      </c>
      <c r="J27" s="60" t="str">
        <f t="shared" si="1"/>
        <v/>
      </c>
      <c r="K27" s="60" t="str">
        <f t="array" ref="K27">IF(OR(A27="",B27=""),"",IF(COUNTIFS(ETFs!$A$6:$A$25,B27,ETFs!$K$6:$K$25,1)&lt;&gt;1,0,IF(AND(J27=1,COUNTIFS(Companies!$A$6:$A$55,A27,Companies!$R$6:$R$55,1)=1,ISNUMBER(C27),C27&gt;=0,C27&lt;=1,ISNUMBER(D27),D27&gt;=0,ISNUMBER(I27),ABS(D27-C27*I27)&lt;=0.00000001*MAX(1,I27),ISNUMBER(E27),E27=INDEX(ETFs!$H$6:$H$25,MATCH(B27,ETFs!$A$6:$A$25,0)),G27="Yes",F27&lt;&gt;""),1,0)))</f>
        <v/>
      </c>
      <c r="L27" s="60" t="str">
        <f t="shared" si="2"/>
        <v/>
      </c>
    </row>
    <row r="28" ht="24.0" customHeight="1">
      <c r="A28" s="59"/>
      <c r="B28" s="59"/>
      <c r="C28" s="61"/>
      <c r="D28" s="56"/>
      <c r="E28" s="57"/>
      <c r="F28" s="59"/>
      <c r="G28" s="59"/>
      <c r="H28" s="60" t="str">
        <f t="array" ref="H28">IF(OR(A28="",B28=""),"",IF(COUNTIFS(ETFs!$A$6:$A$25,B28)&lt;&gt;1,"Unmatched ETF",INDEX(ETFs!$D$6:$D$25,MATCH(B28,ETFs!$A$6:$A$25,0))))</f>
        <v/>
      </c>
      <c r="I28" s="62" t="str">
        <f t="array" ref="I28">IF(OR(A28="",B28=""),"",IF(COUNTIFS(ETFs!$A$6:$A$25,B28,ETFs!$K$6:$K$25,1)&lt;&gt;1,"",INDEX(ETFs!$G$6:$G$25,MATCH(B28,ETFs!$A$6:$A$25,0))))</f>
        <v/>
      </c>
      <c r="J28" s="60" t="str">
        <f t="shared" si="1"/>
        <v/>
      </c>
      <c r="K28" s="60" t="str">
        <f t="array" ref="K28">IF(OR(A28="",B28=""),"",IF(COUNTIFS(ETFs!$A$6:$A$25,B28,ETFs!$K$6:$K$25,1)&lt;&gt;1,0,IF(AND(J28=1,COUNTIFS(Companies!$A$6:$A$55,A28,Companies!$R$6:$R$55,1)=1,ISNUMBER(C28),C28&gt;=0,C28&lt;=1,ISNUMBER(D28),D28&gt;=0,ISNUMBER(I28),ABS(D28-C28*I28)&lt;=0.00000001*MAX(1,I28),ISNUMBER(E28),E28=INDEX(ETFs!$H$6:$H$25,MATCH(B28,ETFs!$A$6:$A$25,0)),G28="Yes",F28&lt;&gt;""),1,0)))</f>
        <v/>
      </c>
      <c r="L28" s="60" t="str">
        <f t="shared" si="2"/>
        <v/>
      </c>
    </row>
    <row r="29" ht="24.0" customHeight="1">
      <c r="A29" s="59"/>
      <c r="B29" s="59"/>
      <c r="C29" s="61"/>
      <c r="D29" s="56"/>
      <c r="E29" s="57"/>
      <c r="F29" s="59"/>
      <c r="G29" s="59"/>
      <c r="H29" s="60" t="str">
        <f t="array" ref="H29">IF(OR(A29="",B29=""),"",IF(COUNTIFS(ETFs!$A$6:$A$25,B29)&lt;&gt;1,"Unmatched ETF",INDEX(ETFs!$D$6:$D$25,MATCH(B29,ETFs!$A$6:$A$25,0))))</f>
        <v/>
      </c>
      <c r="I29" s="62" t="str">
        <f t="array" ref="I29">IF(OR(A29="",B29=""),"",IF(COUNTIFS(ETFs!$A$6:$A$25,B29,ETFs!$K$6:$K$25,1)&lt;&gt;1,"",INDEX(ETFs!$G$6:$G$25,MATCH(B29,ETFs!$A$6:$A$25,0))))</f>
        <v/>
      </c>
      <c r="J29" s="60" t="str">
        <f t="shared" si="1"/>
        <v/>
      </c>
      <c r="K29" s="60" t="str">
        <f t="array" ref="K29">IF(OR(A29="",B29=""),"",IF(COUNTIFS(ETFs!$A$6:$A$25,B29,ETFs!$K$6:$K$25,1)&lt;&gt;1,0,IF(AND(J29=1,COUNTIFS(Companies!$A$6:$A$55,A29,Companies!$R$6:$R$55,1)=1,ISNUMBER(C29),C29&gt;=0,C29&lt;=1,ISNUMBER(D29),D29&gt;=0,ISNUMBER(I29),ABS(D29-C29*I29)&lt;=0.00000001*MAX(1,I29),ISNUMBER(E29),E29=INDEX(ETFs!$H$6:$H$25,MATCH(B29,ETFs!$A$6:$A$25,0)),G29="Yes",F29&lt;&gt;""),1,0)))</f>
        <v/>
      </c>
      <c r="L29" s="60" t="str">
        <f t="shared" si="2"/>
        <v/>
      </c>
    </row>
    <row r="30" ht="24.0" customHeight="1">
      <c r="A30" s="59"/>
      <c r="B30" s="59"/>
      <c r="C30" s="61"/>
      <c r="D30" s="56"/>
      <c r="E30" s="57"/>
      <c r="F30" s="59"/>
      <c r="G30" s="59"/>
      <c r="H30" s="60" t="str">
        <f t="array" ref="H30">IF(OR(A30="",B30=""),"",IF(COUNTIFS(ETFs!$A$6:$A$25,B30)&lt;&gt;1,"Unmatched ETF",INDEX(ETFs!$D$6:$D$25,MATCH(B30,ETFs!$A$6:$A$25,0))))</f>
        <v/>
      </c>
      <c r="I30" s="62" t="str">
        <f t="array" ref="I30">IF(OR(A30="",B30=""),"",IF(COUNTIFS(ETFs!$A$6:$A$25,B30,ETFs!$K$6:$K$25,1)&lt;&gt;1,"",INDEX(ETFs!$G$6:$G$25,MATCH(B30,ETFs!$A$6:$A$25,0))))</f>
        <v/>
      </c>
      <c r="J30" s="60" t="str">
        <f t="shared" si="1"/>
        <v/>
      </c>
      <c r="K30" s="60" t="str">
        <f t="array" ref="K30">IF(OR(A30="",B30=""),"",IF(COUNTIFS(ETFs!$A$6:$A$25,B30,ETFs!$K$6:$K$25,1)&lt;&gt;1,0,IF(AND(J30=1,COUNTIFS(Companies!$A$6:$A$55,A30,Companies!$R$6:$R$55,1)=1,ISNUMBER(C30),C30&gt;=0,C30&lt;=1,ISNUMBER(D30),D30&gt;=0,ISNUMBER(I30),ABS(D30-C30*I30)&lt;=0.00000001*MAX(1,I30),ISNUMBER(E30),E30=INDEX(ETFs!$H$6:$H$25,MATCH(B30,ETFs!$A$6:$A$25,0)),G30="Yes",F30&lt;&gt;""),1,0)))</f>
        <v/>
      </c>
      <c r="L30" s="60" t="str">
        <f t="shared" si="2"/>
        <v/>
      </c>
    </row>
    <row r="31" ht="24.0" customHeight="1">
      <c r="A31" s="59"/>
      <c r="B31" s="59"/>
      <c r="C31" s="61"/>
      <c r="D31" s="56"/>
      <c r="E31" s="57"/>
      <c r="F31" s="59"/>
      <c r="G31" s="59"/>
      <c r="H31" s="60" t="str">
        <f t="array" ref="H31">IF(OR(A31="",B31=""),"",IF(COUNTIFS(ETFs!$A$6:$A$25,B31)&lt;&gt;1,"Unmatched ETF",INDEX(ETFs!$D$6:$D$25,MATCH(B31,ETFs!$A$6:$A$25,0))))</f>
        <v/>
      </c>
      <c r="I31" s="62" t="str">
        <f t="array" ref="I31">IF(OR(A31="",B31=""),"",IF(COUNTIFS(ETFs!$A$6:$A$25,B31,ETFs!$K$6:$K$25,1)&lt;&gt;1,"",INDEX(ETFs!$G$6:$G$25,MATCH(B31,ETFs!$A$6:$A$25,0))))</f>
        <v/>
      </c>
      <c r="J31" s="60" t="str">
        <f t="shared" si="1"/>
        <v/>
      </c>
      <c r="K31" s="60" t="str">
        <f t="array" ref="K31">IF(OR(A31="",B31=""),"",IF(COUNTIFS(ETFs!$A$6:$A$25,B31,ETFs!$K$6:$K$25,1)&lt;&gt;1,0,IF(AND(J31=1,COUNTIFS(Companies!$A$6:$A$55,A31,Companies!$R$6:$R$55,1)=1,ISNUMBER(C31),C31&gt;=0,C31&lt;=1,ISNUMBER(D31),D31&gt;=0,ISNUMBER(I31),ABS(D31-C31*I31)&lt;=0.00000001*MAX(1,I31),ISNUMBER(E31),E31=INDEX(ETFs!$H$6:$H$25,MATCH(B31,ETFs!$A$6:$A$25,0)),G31="Yes",F31&lt;&gt;""),1,0)))</f>
        <v/>
      </c>
      <c r="L31" s="60" t="str">
        <f t="shared" si="2"/>
        <v/>
      </c>
    </row>
    <row r="32" ht="24.0" customHeight="1">
      <c r="A32" s="59"/>
      <c r="B32" s="59"/>
      <c r="C32" s="61"/>
      <c r="D32" s="56"/>
      <c r="E32" s="57"/>
      <c r="F32" s="59"/>
      <c r="G32" s="59"/>
      <c r="H32" s="60" t="str">
        <f t="array" ref="H32">IF(OR(A32="",B32=""),"",IF(COUNTIFS(ETFs!$A$6:$A$25,B32)&lt;&gt;1,"Unmatched ETF",INDEX(ETFs!$D$6:$D$25,MATCH(B32,ETFs!$A$6:$A$25,0))))</f>
        <v/>
      </c>
      <c r="I32" s="62" t="str">
        <f t="array" ref="I32">IF(OR(A32="",B32=""),"",IF(COUNTIFS(ETFs!$A$6:$A$25,B32,ETFs!$K$6:$K$25,1)&lt;&gt;1,"",INDEX(ETFs!$G$6:$G$25,MATCH(B32,ETFs!$A$6:$A$25,0))))</f>
        <v/>
      </c>
      <c r="J32" s="60" t="str">
        <f t="shared" si="1"/>
        <v/>
      </c>
      <c r="K32" s="60" t="str">
        <f t="array" ref="K32">IF(OR(A32="",B32=""),"",IF(COUNTIFS(ETFs!$A$6:$A$25,B32,ETFs!$K$6:$K$25,1)&lt;&gt;1,0,IF(AND(J32=1,COUNTIFS(Companies!$A$6:$A$55,A32,Companies!$R$6:$R$55,1)=1,ISNUMBER(C32),C32&gt;=0,C32&lt;=1,ISNUMBER(D32),D32&gt;=0,ISNUMBER(I32),ABS(D32-C32*I32)&lt;=0.00000001*MAX(1,I32),ISNUMBER(E32),E32=INDEX(ETFs!$H$6:$H$25,MATCH(B32,ETFs!$A$6:$A$25,0)),G32="Yes",F32&lt;&gt;""),1,0)))</f>
        <v/>
      </c>
      <c r="L32" s="60" t="str">
        <f t="shared" si="2"/>
        <v/>
      </c>
    </row>
    <row r="33" ht="24.0" customHeight="1">
      <c r="A33" s="59"/>
      <c r="B33" s="59"/>
      <c r="C33" s="61"/>
      <c r="D33" s="56"/>
      <c r="E33" s="57"/>
      <c r="F33" s="59"/>
      <c r="G33" s="59"/>
      <c r="H33" s="60" t="str">
        <f t="array" ref="H33">IF(OR(A33="",B33=""),"",IF(COUNTIFS(ETFs!$A$6:$A$25,B33)&lt;&gt;1,"Unmatched ETF",INDEX(ETFs!$D$6:$D$25,MATCH(B33,ETFs!$A$6:$A$25,0))))</f>
        <v/>
      </c>
      <c r="I33" s="62" t="str">
        <f t="array" ref="I33">IF(OR(A33="",B33=""),"",IF(COUNTIFS(ETFs!$A$6:$A$25,B33,ETFs!$K$6:$K$25,1)&lt;&gt;1,"",INDEX(ETFs!$G$6:$G$25,MATCH(B33,ETFs!$A$6:$A$25,0))))</f>
        <v/>
      </c>
      <c r="J33" s="60" t="str">
        <f t="shared" si="1"/>
        <v/>
      </c>
      <c r="K33" s="60" t="str">
        <f t="array" ref="K33">IF(OR(A33="",B33=""),"",IF(COUNTIFS(ETFs!$A$6:$A$25,B33,ETFs!$K$6:$K$25,1)&lt;&gt;1,0,IF(AND(J33=1,COUNTIFS(Companies!$A$6:$A$55,A33,Companies!$R$6:$R$55,1)=1,ISNUMBER(C33),C33&gt;=0,C33&lt;=1,ISNUMBER(D33),D33&gt;=0,ISNUMBER(I33),ABS(D33-C33*I33)&lt;=0.00000001*MAX(1,I33),ISNUMBER(E33),E33=INDEX(ETFs!$H$6:$H$25,MATCH(B33,ETFs!$A$6:$A$25,0)),G33="Yes",F33&lt;&gt;""),1,0)))</f>
        <v/>
      </c>
      <c r="L33" s="60" t="str">
        <f t="shared" si="2"/>
        <v/>
      </c>
    </row>
    <row r="34" ht="24.0" customHeight="1">
      <c r="A34" s="59"/>
      <c r="B34" s="59"/>
      <c r="C34" s="61"/>
      <c r="D34" s="56"/>
      <c r="E34" s="57"/>
      <c r="F34" s="59"/>
      <c r="G34" s="59"/>
      <c r="H34" s="60" t="str">
        <f t="array" ref="H34">IF(OR(A34="",B34=""),"",IF(COUNTIFS(ETFs!$A$6:$A$25,B34)&lt;&gt;1,"Unmatched ETF",INDEX(ETFs!$D$6:$D$25,MATCH(B34,ETFs!$A$6:$A$25,0))))</f>
        <v/>
      </c>
      <c r="I34" s="62" t="str">
        <f t="array" ref="I34">IF(OR(A34="",B34=""),"",IF(COUNTIFS(ETFs!$A$6:$A$25,B34,ETFs!$K$6:$K$25,1)&lt;&gt;1,"",INDEX(ETFs!$G$6:$G$25,MATCH(B34,ETFs!$A$6:$A$25,0))))</f>
        <v/>
      </c>
      <c r="J34" s="60" t="str">
        <f t="shared" si="1"/>
        <v/>
      </c>
      <c r="K34" s="60" t="str">
        <f t="array" ref="K34">IF(OR(A34="",B34=""),"",IF(COUNTIFS(ETFs!$A$6:$A$25,B34,ETFs!$K$6:$K$25,1)&lt;&gt;1,0,IF(AND(J34=1,COUNTIFS(Companies!$A$6:$A$55,A34,Companies!$R$6:$R$55,1)=1,ISNUMBER(C34),C34&gt;=0,C34&lt;=1,ISNUMBER(D34),D34&gt;=0,ISNUMBER(I34),ABS(D34-C34*I34)&lt;=0.00000001*MAX(1,I34),ISNUMBER(E34),E34=INDEX(ETFs!$H$6:$H$25,MATCH(B34,ETFs!$A$6:$A$25,0)),G34="Yes",F34&lt;&gt;""),1,0)))</f>
        <v/>
      </c>
      <c r="L34" s="60" t="str">
        <f t="shared" si="2"/>
        <v/>
      </c>
    </row>
    <row r="35" ht="24.0" customHeight="1">
      <c r="A35" s="59"/>
      <c r="B35" s="59"/>
      <c r="C35" s="61"/>
      <c r="D35" s="56"/>
      <c r="E35" s="57"/>
      <c r="F35" s="59"/>
      <c r="G35" s="59"/>
      <c r="H35" s="60" t="str">
        <f t="array" ref="H35">IF(OR(A35="",B35=""),"",IF(COUNTIFS(ETFs!$A$6:$A$25,B35)&lt;&gt;1,"Unmatched ETF",INDEX(ETFs!$D$6:$D$25,MATCH(B35,ETFs!$A$6:$A$25,0))))</f>
        <v/>
      </c>
      <c r="I35" s="62" t="str">
        <f t="array" ref="I35">IF(OR(A35="",B35=""),"",IF(COUNTIFS(ETFs!$A$6:$A$25,B35,ETFs!$K$6:$K$25,1)&lt;&gt;1,"",INDEX(ETFs!$G$6:$G$25,MATCH(B35,ETFs!$A$6:$A$25,0))))</f>
        <v/>
      </c>
      <c r="J35" s="60" t="str">
        <f t="shared" si="1"/>
        <v/>
      </c>
      <c r="K35" s="60" t="str">
        <f t="array" ref="K35">IF(OR(A35="",B35=""),"",IF(COUNTIFS(ETFs!$A$6:$A$25,B35,ETFs!$K$6:$K$25,1)&lt;&gt;1,0,IF(AND(J35=1,COUNTIFS(Companies!$A$6:$A$55,A35,Companies!$R$6:$R$55,1)=1,ISNUMBER(C35),C35&gt;=0,C35&lt;=1,ISNUMBER(D35),D35&gt;=0,ISNUMBER(I35),ABS(D35-C35*I35)&lt;=0.00000001*MAX(1,I35),ISNUMBER(E35),E35=INDEX(ETFs!$H$6:$H$25,MATCH(B35,ETFs!$A$6:$A$25,0)),G35="Yes",F35&lt;&gt;""),1,0)))</f>
        <v/>
      </c>
      <c r="L35" s="60" t="str">
        <f t="shared" si="2"/>
        <v/>
      </c>
    </row>
    <row r="36" ht="24.0" customHeight="1">
      <c r="A36" s="59"/>
      <c r="B36" s="59"/>
      <c r="C36" s="61"/>
      <c r="D36" s="56"/>
      <c r="E36" s="57"/>
      <c r="F36" s="59"/>
      <c r="G36" s="59"/>
      <c r="H36" s="60" t="str">
        <f t="array" ref="H36">IF(OR(A36="",B36=""),"",IF(COUNTIFS(ETFs!$A$6:$A$25,B36)&lt;&gt;1,"Unmatched ETF",INDEX(ETFs!$D$6:$D$25,MATCH(B36,ETFs!$A$6:$A$25,0))))</f>
        <v/>
      </c>
      <c r="I36" s="62" t="str">
        <f t="array" ref="I36">IF(OR(A36="",B36=""),"",IF(COUNTIFS(ETFs!$A$6:$A$25,B36,ETFs!$K$6:$K$25,1)&lt;&gt;1,"",INDEX(ETFs!$G$6:$G$25,MATCH(B36,ETFs!$A$6:$A$25,0))))</f>
        <v/>
      </c>
      <c r="J36" s="60" t="str">
        <f t="shared" si="1"/>
        <v/>
      </c>
      <c r="K36" s="60" t="str">
        <f t="array" ref="K36">IF(OR(A36="",B36=""),"",IF(COUNTIFS(ETFs!$A$6:$A$25,B36,ETFs!$K$6:$K$25,1)&lt;&gt;1,0,IF(AND(J36=1,COUNTIFS(Companies!$A$6:$A$55,A36,Companies!$R$6:$R$55,1)=1,ISNUMBER(C36),C36&gt;=0,C36&lt;=1,ISNUMBER(D36),D36&gt;=0,ISNUMBER(I36),ABS(D36-C36*I36)&lt;=0.00000001*MAX(1,I36),ISNUMBER(E36),E36=INDEX(ETFs!$H$6:$H$25,MATCH(B36,ETFs!$A$6:$A$25,0)),G36="Yes",F36&lt;&gt;""),1,0)))</f>
        <v/>
      </c>
      <c r="L36" s="60" t="str">
        <f t="shared" si="2"/>
        <v/>
      </c>
    </row>
    <row r="37" ht="24.0" customHeight="1">
      <c r="A37" s="59"/>
      <c r="B37" s="59"/>
      <c r="C37" s="61"/>
      <c r="D37" s="56"/>
      <c r="E37" s="57"/>
      <c r="F37" s="59"/>
      <c r="G37" s="59"/>
      <c r="H37" s="60" t="str">
        <f t="array" ref="H37">IF(OR(A37="",B37=""),"",IF(COUNTIFS(ETFs!$A$6:$A$25,B37)&lt;&gt;1,"Unmatched ETF",INDEX(ETFs!$D$6:$D$25,MATCH(B37,ETFs!$A$6:$A$25,0))))</f>
        <v/>
      </c>
      <c r="I37" s="62" t="str">
        <f t="array" ref="I37">IF(OR(A37="",B37=""),"",IF(COUNTIFS(ETFs!$A$6:$A$25,B37,ETFs!$K$6:$K$25,1)&lt;&gt;1,"",INDEX(ETFs!$G$6:$G$25,MATCH(B37,ETFs!$A$6:$A$25,0))))</f>
        <v/>
      </c>
      <c r="J37" s="60" t="str">
        <f t="shared" si="1"/>
        <v/>
      </c>
      <c r="K37" s="60" t="str">
        <f t="array" ref="K37">IF(OR(A37="",B37=""),"",IF(COUNTIFS(ETFs!$A$6:$A$25,B37,ETFs!$K$6:$K$25,1)&lt;&gt;1,0,IF(AND(J37=1,COUNTIFS(Companies!$A$6:$A$55,A37,Companies!$R$6:$R$55,1)=1,ISNUMBER(C37),C37&gt;=0,C37&lt;=1,ISNUMBER(D37),D37&gt;=0,ISNUMBER(I37),ABS(D37-C37*I37)&lt;=0.00000001*MAX(1,I37),ISNUMBER(E37),E37=INDEX(ETFs!$H$6:$H$25,MATCH(B37,ETFs!$A$6:$A$25,0)),G37="Yes",F37&lt;&gt;""),1,0)))</f>
        <v/>
      </c>
      <c r="L37" s="60" t="str">
        <f t="shared" si="2"/>
        <v/>
      </c>
    </row>
    <row r="38" ht="24.0" customHeight="1">
      <c r="A38" s="59"/>
      <c r="B38" s="59"/>
      <c r="C38" s="61"/>
      <c r="D38" s="56"/>
      <c r="E38" s="57"/>
      <c r="F38" s="59"/>
      <c r="G38" s="59"/>
      <c r="H38" s="60" t="str">
        <f t="array" ref="H38">IF(OR(A38="",B38=""),"",IF(COUNTIFS(ETFs!$A$6:$A$25,B38)&lt;&gt;1,"Unmatched ETF",INDEX(ETFs!$D$6:$D$25,MATCH(B38,ETFs!$A$6:$A$25,0))))</f>
        <v/>
      </c>
      <c r="I38" s="62" t="str">
        <f t="array" ref="I38">IF(OR(A38="",B38=""),"",IF(COUNTIFS(ETFs!$A$6:$A$25,B38,ETFs!$K$6:$K$25,1)&lt;&gt;1,"",INDEX(ETFs!$G$6:$G$25,MATCH(B38,ETFs!$A$6:$A$25,0))))</f>
        <v/>
      </c>
      <c r="J38" s="60" t="str">
        <f t="shared" si="1"/>
        <v/>
      </c>
      <c r="K38" s="60" t="str">
        <f t="array" ref="K38">IF(OR(A38="",B38=""),"",IF(COUNTIFS(ETFs!$A$6:$A$25,B38,ETFs!$K$6:$K$25,1)&lt;&gt;1,0,IF(AND(J38=1,COUNTIFS(Companies!$A$6:$A$55,A38,Companies!$R$6:$R$55,1)=1,ISNUMBER(C38),C38&gt;=0,C38&lt;=1,ISNUMBER(D38),D38&gt;=0,ISNUMBER(I38),ABS(D38-C38*I38)&lt;=0.00000001*MAX(1,I38),ISNUMBER(E38),E38=INDEX(ETFs!$H$6:$H$25,MATCH(B38,ETFs!$A$6:$A$25,0)),G38="Yes",F38&lt;&gt;""),1,0)))</f>
        <v/>
      </c>
      <c r="L38" s="60" t="str">
        <f t="shared" si="2"/>
        <v/>
      </c>
    </row>
    <row r="39" ht="24.0" customHeight="1">
      <c r="A39" s="59"/>
      <c r="B39" s="59"/>
      <c r="C39" s="61"/>
      <c r="D39" s="56"/>
      <c r="E39" s="57"/>
      <c r="F39" s="59"/>
      <c r="G39" s="59"/>
      <c r="H39" s="60" t="str">
        <f t="array" ref="H39">IF(OR(A39="",B39=""),"",IF(COUNTIFS(ETFs!$A$6:$A$25,B39)&lt;&gt;1,"Unmatched ETF",INDEX(ETFs!$D$6:$D$25,MATCH(B39,ETFs!$A$6:$A$25,0))))</f>
        <v/>
      </c>
      <c r="I39" s="62" t="str">
        <f t="array" ref="I39">IF(OR(A39="",B39=""),"",IF(COUNTIFS(ETFs!$A$6:$A$25,B39,ETFs!$K$6:$K$25,1)&lt;&gt;1,"",INDEX(ETFs!$G$6:$G$25,MATCH(B39,ETFs!$A$6:$A$25,0))))</f>
        <v/>
      </c>
      <c r="J39" s="60" t="str">
        <f t="shared" si="1"/>
        <v/>
      </c>
      <c r="K39" s="60" t="str">
        <f t="array" ref="K39">IF(OR(A39="",B39=""),"",IF(COUNTIFS(ETFs!$A$6:$A$25,B39,ETFs!$K$6:$K$25,1)&lt;&gt;1,0,IF(AND(J39=1,COUNTIFS(Companies!$A$6:$A$55,A39,Companies!$R$6:$R$55,1)=1,ISNUMBER(C39),C39&gt;=0,C39&lt;=1,ISNUMBER(D39),D39&gt;=0,ISNUMBER(I39),ABS(D39-C39*I39)&lt;=0.00000001*MAX(1,I39),ISNUMBER(E39),E39=INDEX(ETFs!$H$6:$H$25,MATCH(B39,ETFs!$A$6:$A$25,0)),G39="Yes",F39&lt;&gt;""),1,0)))</f>
        <v/>
      </c>
      <c r="L39" s="60" t="str">
        <f t="shared" si="2"/>
        <v/>
      </c>
    </row>
    <row r="40" ht="24.0" customHeight="1">
      <c r="A40" s="59"/>
      <c r="B40" s="59"/>
      <c r="C40" s="61"/>
      <c r="D40" s="56"/>
      <c r="E40" s="57"/>
      <c r="F40" s="59"/>
      <c r="G40" s="59"/>
      <c r="H40" s="60" t="str">
        <f t="array" ref="H40">IF(OR(A40="",B40=""),"",IF(COUNTIFS(ETFs!$A$6:$A$25,B40)&lt;&gt;1,"Unmatched ETF",INDEX(ETFs!$D$6:$D$25,MATCH(B40,ETFs!$A$6:$A$25,0))))</f>
        <v/>
      </c>
      <c r="I40" s="62" t="str">
        <f t="array" ref="I40">IF(OR(A40="",B40=""),"",IF(COUNTIFS(ETFs!$A$6:$A$25,B40,ETFs!$K$6:$K$25,1)&lt;&gt;1,"",INDEX(ETFs!$G$6:$G$25,MATCH(B40,ETFs!$A$6:$A$25,0))))</f>
        <v/>
      </c>
      <c r="J40" s="60" t="str">
        <f t="shared" si="1"/>
        <v/>
      </c>
      <c r="K40" s="60" t="str">
        <f t="array" ref="K40">IF(OR(A40="",B40=""),"",IF(COUNTIFS(ETFs!$A$6:$A$25,B40,ETFs!$K$6:$K$25,1)&lt;&gt;1,0,IF(AND(J40=1,COUNTIFS(Companies!$A$6:$A$55,A40,Companies!$R$6:$R$55,1)=1,ISNUMBER(C40),C40&gt;=0,C40&lt;=1,ISNUMBER(D40),D40&gt;=0,ISNUMBER(I40),ABS(D40-C40*I40)&lt;=0.00000001*MAX(1,I40),ISNUMBER(E40),E40=INDEX(ETFs!$H$6:$H$25,MATCH(B40,ETFs!$A$6:$A$25,0)),G40="Yes",F40&lt;&gt;""),1,0)))</f>
        <v/>
      </c>
      <c r="L40" s="60" t="str">
        <f t="shared" si="2"/>
        <v/>
      </c>
    </row>
    <row r="41" ht="24.0" customHeight="1">
      <c r="A41" s="59"/>
      <c r="B41" s="59"/>
      <c r="C41" s="61"/>
      <c r="D41" s="56"/>
      <c r="E41" s="57"/>
      <c r="F41" s="59"/>
      <c r="G41" s="59"/>
      <c r="H41" s="60" t="str">
        <f t="array" ref="H41">IF(OR(A41="",B41=""),"",IF(COUNTIFS(ETFs!$A$6:$A$25,B41)&lt;&gt;1,"Unmatched ETF",INDEX(ETFs!$D$6:$D$25,MATCH(B41,ETFs!$A$6:$A$25,0))))</f>
        <v/>
      </c>
      <c r="I41" s="62" t="str">
        <f t="array" ref="I41">IF(OR(A41="",B41=""),"",IF(COUNTIFS(ETFs!$A$6:$A$25,B41,ETFs!$K$6:$K$25,1)&lt;&gt;1,"",INDEX(ETFs!$G$6:$G$25,MATCH(B41,ETFs!$A$6:$A$25,0))))</f>
        <v/>
      </c>
      <c r="J41" s="60" t="str">
        <f t="shared" si="1"/>
        <v/>
      </c>
      <c r="K41" s="60" t="str">
        <f t="array" ref="K41">IF(OR(A41="",B41=""),"",IF(COUNTIFS(ETFs!$A$6:$A$25,B41,ETFs!$K$6:$K$25,1)&lt;&gt;1,0,IF(AND(J41=1,COUNTIFS(Companies!$A$6:$A$55,A41,Companies!$R$6:$R$55,1)=1,ISNUMBER(C41),C41&gt;=0,C41&lt;=1,ISNUMBER(D41),D41&gt;=0,ISNUMBER(I41),ABS(D41-C41*I41)&lt;=0.00000001*MAX(1,I41),ISNUMBER(E41),E41=INDEX(ETFs!$H$6:$H$25,MATCH(B41,ETFs!$A$6:$A$25,0)),G41="Yes",F41&lt;&gt;""),1,0)))</f>
        <v/>
      </c>
      <c r="L41" s="60" t="str">
        <f t="shared" si="2"/>
        <v/>
      </c>
    </row>
    <row r="42" ht="24.0" customHeight="1">
      <c r="A42" s="59"/>
      <c r="B42" s="59"/>
      <c r="C42" s="61"/>
      <c r="D42" s="56"/>
      <c r="E42" s="57"/>
      <c r="F42" s="59"/>
      <c r="G42" s="59"/>
      <c r="H42" s="60" t="str">
        <f t="array" ref="H42">IF(OR(A42="",B42=""),"",IF(COUNTIFS(ETFs!$A$6:$A$25,B42)&lt;&gt;1,"Unmatched ETF",INDEX(ETFs!$D$6:$D$25,MATCH(B42,ETFs!$A$6:$A$25,0))))</f>
        <v/>
      </c>
      <c r="I42" s="62" t="str">
        <f t="array" ref="I42">IF(OR(A42="",B42=""),"",IF(COUNTIFS(ETFs!$A$6:$A$25,B42,ETFs!$K$6:$K$25,1)&lt;&gt;1,"",INDEX(ETFs!$G$6:$G$25,MATCH(B42,ETFs!$A$6:$A$25,0))))</f>
        <v/>
      </c>
      <c r="J42" s="60" t="str">
        <f t="shared" si="1"/>
        <v/>
      </c>
      <c r="K42" s="60" t="str">
        <f t="array" ref="K42">IF(OR(A42="",B42=""),"",IF(COUNTIFS(ETFs!$A$6:$A$25,B42,ETFs!$K$6:$K$25,1)&lt;&gt;1,0,IF(AND(J42=1,COUNTIFS(Companies!$A$6:$A$55,A42,Companies!$R$6:$R$55,1)=1,ISNUMBER(C42),C42&gt;=0,C42&lt;=1,ISNUMBER(D42),D42&gt;=0,ISNUMBER(I42),ABS(D42-C42*I42)&lt;=0.00000001*MAX(1,I42),ISNUMBER(E42),E42=INDEX(ETFs!$H$6:$H$25,MATCH(B42,ETFs!$A$6:$A$25,0)),G42="Yes",F42&lt;&gt;""),1,0)))</f>
        <v/>
      </c>
      <c r="L42" s="60" t="str">
        <f t="shared" si="2"/>
        <v/>
      </c>
    </row>
    <row r="43" ht="24.0" customHeight="1">
      <c r="A43" s="59"/>
      <c r="B43" s="59"/>
      <c r="C43" s="61"/>
      <c r="D43" s="56"/>
      <c r="E43" s="57"/>
      <c r="F43" s="59"/>
      <c r="G43" s="59"/>
      <c r="H43" s="60" t="str">
        <f t="array" ref="H43">IF(OR(A43="",B43=""),"",IF(COUNTIFS(ETFs!$A$6:$A$25,B43)&lt;&gt;1,"Unmatched ETF",INDEX(ETFs!$D$6:$D$25,MATCH(B43,ETFs!$A$6:$A$25,0))))</f>
        <v/>
      </c>
      <c r="I43" s="62" t="str">
        <f t="array" ref="I43">IF(OR(A43="",B43=""),"",IF(COUNTIFS(ETFs!$A$6:$A$25,B43,ETFs!$K$6:$K$25,1)&lt;&gt;1,"",INDEX(ETFs!$G$6:$G$25,MATCH(B43,ETFs!$A$6:$A$25,0))))</f>
        <v/>
      </c>
      <c r="J43" s="60" t="str">
        <f t="shared" si="1"/>
        <v/>
      </c>
      <c r="K43" s="60" t="str">
        <f t="array" ref="K43">IF(OR(A43="",B43=""),"",IF(COUNTIFS(ETFs!$A$6:$A$25,B43,ETFs!$K$6:$K$25,1)&lt;&gt;1,0,IF(AND(J43=1,COUNTIFS(Companies!$A$6:$A$55,A43,Companies!$R$6:$R$55,1)=1,ISNUMBER(C43),C43&gt;=0,C43&lt;=1,ISNUMBER(D43),D43&gt;=0,ISNUMBER(I43),ABS(D43-C43*I43)&lt;=0.00000001*MAX(1,I43),ISNUMBER(E43),E43=INDEX(ETFs!$H$6:$H$25,MATCH(B43,ETFs!$A$6:$A$25,0)),G43="Yes",F43&lt;&gt;""),1,0)))</f>
        <v/>
      </c>
      <c r="L43" s="60" t="str">
        <f t="shared" si="2"/>
        <v/>
      </c>
    </row>
    <row r="44" ht="24.0" customHeight="1">
      <c r="A44" s="59"/>
      <c r="B44" s="59"/>
      <c r="C44" s="61"/>
      <c r="D44" s="56"/>
      <c r="E44" s="57"/>
      <c r="F44" s="59"/>
      <c r="G44" s="59"/>
      <c r="H44" s="60" t="str">
        <f t="array" ref="H44">IF(OR(A44="",B44=""),"",IF(COUNTIFS(ETFs!$A$6:$A$25,B44)&lt;&gt;1,"Unmatched ETF",INDEX(ETFs!$D$6:$D$25,MATCH(B44,ETFs!$A$6:$A$25,0))))</f>
        <v/>
      </c>
      <c r="I44" s="62" t="str">
        <f t="array" ref="I44">IF(OR(A44="",B44=""),"",IF(COUNTIFS(ETFs!$A$6:$A$25,B44,ETFs!$K$6:$K$25,1)&lt;&gt;1,"",INDEX(ETFs!$G$6:$G$25,MATCH(B44,ETFs!$A$6:$A$25,0))))</f>
        <v/>
      </c>
      <c r="J44" s="60" t="str">
        <f t="shared" si="1"/>
        <v/>
      </c>
      <c r="K44" s="60" t="str">
        <f t="array" ref="K44">IF(OR(A44="",B44=""),"",IF(COUNTIFS(ETFs!$A$6:$A$25,B44,ETFs!$K$6:$K$25,1)&lt;&gt;1,0,IF(AND(J44=1,COUNTIFS(Companies!$A$6:$A$55,A44,Companies!$R$6:$R$55,1)=1,ISNUMBER(C44),C44&gt;=0,C44&lt;=1,ISNUMBER(D44),D44&gt;=0,ISNUMBER(I44),ABS(D44-C44*I44)&lt;=0.00000001*MAX(1,I44),ISNUMBER(E44),E44=INDEX(ETFs!$H$6:$H$25,MATCH(B44,ETFs!$A$6:$A$25,0)),G44="Yes",F44&lt;&gt;""),1,0)))</f>
        <v/>
      </c>
      <c r="L44" s="60" t="str">
        <f t="shared" si="2"/>
        <v/>
      </c>
    </row>
    <row r="45" ht="24.0" customHeight="1">
      <c r="A45" s="59"/>
      <c r="B45" s="59"/>
      <c r="C45" s="61"/>
      <c r="D45" s="56"/>
      <c r="E45" s="57"/>
      <c r="F45" s="59"/>
      <c r="G45" s="59"/>
      <c r="H45" s="60" t="str">
        <f t="array" ref="H45">IF(OR(A45="",B45=""),"",IF(COUNTIFS(ETFs!$A$6:$A$25,B45)&lt;&gt;1,"Unmatched ETF",INDEX(ETFs!$D$6:$D$25,MATCH(B45,ETFs!$A$6:$A$25,0))))</f>
        <v/>
      </c>
      <c r="I45" s="62" t="str">
        <f t="array" ref="I45">IF(OR(A45="",B45=""),"",IF(COUNTIFS(ETFs!$A$6:$A$25,B45,ETFs!$K$6:$K$25,1)&lt;&gt;1,"",INDEX(ETFs!$G$6:$G$25,MATCH(B45,ETFs!$A$6:$A$25,0))))</f>
        <v/>
      </c>
      <c r="J45" s="60" t="str">
        <f t="shared" si="1"/>
        <v/>
      </c>
      <c r="K45" s="60" t="str">
        <f t="array" ref="K45">IF(OR(A45="",B45=""),"",IF(COUNTIFS(ETFs!$A$6:$A$25,B45,ETFs!$K$6:$K$25,1)&lt;&gt;1,0,IF(AND(J45=1,COUNTIFS(Companies!$A$6:$A$55,A45,Companies!$R$6:$R$55,1)=1,ISNUMBER(C45),C45&gt;=0,C45&lt;=1,ISNUMBER(D45),D45&gt;=0,ISNUMBER(I45),ABS(D45-C45*I45)&lt;=0.00000001*MAX(1,I45),ISNUMBER(E45),E45=INDEX(ETFs!$H$6:$H$25,MATCH(B45,ETFs!$A$6:$A$25,0)),G45="Yes",F45&lt;&gt;""),1,0)))</f>
        <v/>
      </c>
      <c r="L45" s="60" t="str">
        <f t="shared" si="2"/>
        <v/>
      </c>
    </row>
    <row r="46" ht="24.0" customHeight="1">
      <c r="A46" s="59"/>
      <c r="B46" s="59"/>
      <c r="C46" s="61"/>
      <c r="D46" s="56"/>
      <c r="E46" s="57"/>
      <c r="F46" s="59"/>
      <c r="G46" s="59"/>
      <c r="H46" s="60" t="str">
        <f t="array" ref="H46">IF(OR(A46="",B46=""),"",IF(COUNTIFS(ETFs!$A$6:$A$25,B46)&lt;&gt;1,"Unmatched ETF",INDEX(ETFs!$D$6:$D$25,MATCH(B46,ETFs!$A$6:$A$25,0))))</f>
        <v/>
      </c>
      <c r="I46" s="62" t="str">
        <f t="array" ref="I46">IF(OR(A46="",B46=""),"",IF(COUNTIFS(ETFs!$A$6:$A$25,B46,ETFs!$K$6:$K$25,1)&lt;&gt;1,"",INDEX(ETFs!$G$6:$G$25,MATCH(B46,ETFs!$A$6:$A$25,0))))</f>
        <v/>
      </c>
      <c r="J46" s="60" t="str">
        <f t="shared" si="1"/>
        <v/>
      </c>
      <c r="K46" s="60" t="str">
        <f t="array" ref="K46">IF(OR(A46="",B46=""),"",IF(COUNTIFS(ETFs!$A$6:$A$25,B46,ETFs!$K$6:$K$25,1)&lt;&gt;1,0,IF(AND(J46=1,COUNTIFS(Companies!$A$6:$A$55,A46,Companies!$R$6:$R$55,1)=1,ISNUMBER(C46),C46&gt;=0,C46&lt;=1,ISNUMBER(D46),D46&gt;=0,ISNUMBER(I46),ABS(D46-C46*I46)&lt;=0.00000001*MAX(1,I46),ISNUMBER(E46),E46=INDEX(ETFs!$H$6:$H$25,MATCH(B46,ETFs!$A$6:$A$25,0)),G46="Yes",F46&lt;&gt;""),1,0)))</f>
        <v/>
      </c>
      <c r="L46" s="60" t="str">
        <f t="shared" si="2"/>
        <v/>
      </c>
    </row>
    <row r="47" ht="24.0" customHeight="1">
      <c r="A47" s="59"/>
      <c r="B47" s="59"/>
      <c r="C47" s="61"/>
      <c r="D47" s="56"/>
      <c r="E47" s="57"/>
      <c r="F47" s="59"/>
      <c r="G47" s="59"/>
      <c r="H47" s="60" t="str">
        <f t="array" ref="H47">IF(OR(A47="",B47=""),"",IF(COUNTIFS(ETFs!$A$6:$A$25,B47)&lt;&gt;1,"Unmatched ETF",INDEX(ETFs!$D$6:$D$25,MATCH(B47,ETFs!$A$6:$A$25,0))))</f>
        <v/>
      </c>
      <c r="I47" s="62" t="str">
        <f t="array" ref="I47">IF(OR(A47="",B47=""),"",IF(COUNTIFS(ETFs!$A$6:$A$25,B47,ETFs!$K$6:$K$25,1)&lt;&gt;1,"",INDEX(ETFs!$G$6:$G$25,MATCH(B47,ETFs!$A$6:$A$25,0))))</f>
        <v/>
      </c>
      <c r="J47" s="60" t="str">
        <f t="shared" si="1"/>
        <v/>
      </c>
      <c r="K47" s="60" t="str">
        <f t="array" ref="K47">IF(OR(A47="",B47=""),"",IF(COUNTIFS(ETFs!$A$6:$A$25,B47,ETFs!$K$6:$K$25,1)&lt;&gt;1,0,IF(AND(J47=1,COUNTIFS(Companies!$A$6:$A$55,A47,Companies!$R$6:$R$55,1)=1,ISNUMBER(C47),C47&gt;=0,C47&lt;=1,ISNUMBER(D47),D47&gt;=0,ISNUMBER(I47),ABS(D47-C47*I47)&lt;=0.00000001*MAX(1,I47),ISNUMBER(E47),E47=INDEX(ETFs!$H$6:$H$25,MATCH(B47,ETFs!$A$6:$A$25,0)),G47="Yes",F47&lt;&gt;""),1,0)))</f>
        <v/>
      </c>
      <c r="L47" s="60" t="str">
        <f t="shared" si="2"/>
        <v/>
      </c>
    </row>
    <row r="48" ht="24.0" customHeight="1">
      <c r="A48" s="59"/>
      <c r="B48" s="59"/>
      <c r="C48" s="61"/>
      <c r="D48" s="56"/>
      <c r="E48" s="57"/>
      <c r="F48" s="59"/>
      <c r="G48" s="59"/>
      <c r="H48" s="60" t="str">
        <f t="array" ref="H48">IF(OR(A48="",B48=""),"",IF(COUNTIFS(ETFs!$A$6:$A$25,B48)&lt;&gt;1,"Unmatched ETF",INDEX(ETFs!$D$6:$D$25,MATCH(B48,ETFs!$A$6:$A$25,0))))</f>
        <v/>
      </c>
      <c r="I48" s="62" t="str">
        <f t="array" ref="I48">IF(OR(A48="",B48=""),"",IF(COUNTIFS(ETFs!$A$6:$A$25,B48,ETFs!$K$6:$K$25,1)&lt;&gt;1,"",INDEX(ETFs!$G$6:$G$25,MATCH(B48,ETFs!$A$6:$A$25,0))))</f>
        <v/>
      </c>
      <c r="J48" s="60" t="str">
        <f t="shared" si="1"/>
        <v/>
      </c>
      <c r="K48" s="60" t="str">
        <f t="array" ref="K48">IF(OR(A48="",B48=""),"",IF(COUNTIFS(ETFs!$A$6:$A$25,B48,ETFs!$K$6:$K$25,1)&lt;&gt;1,0,IF(AND(J48=1,COUNTIFS(Companies!$A$6:$A$55,A48,Companies!$R$6:$R$55,1)=1,ISNUMBER(C48),C48&gt;=0,C48&lt;=1,ISNUMBER(D48),D48&gt;=0,ISNUMBER(I48),ABS(D48-C48*I48)&lt;=0.00000001*MAX(1,I48),ISNUMBER(E48),E48=INDEX(ETFs!$H$6:$H$25,MATCH(B48,ETFs!$A$6:$A$25,0)),G48="Yes",F48&lt;&gt;""),1,0)))</f>
        <v/>
      </c>
      <c r="L48" s="60" t="str">
        <f t="shared" si="2"/>
        <v/>
      </c>
    </row>
    <row r="49" ht="24.0" customHeight="1">
      <c r="A49" s="59"/>
      <c r="B49" s="59"/>
      <c r="C49" s="61"/>
      <c r="D49" s="56"/>
      <c r="E49" s="57"/>
      <c r="F49" s="59"/>
      <c r="G49" s="59"/>
      <c r="H49" s="60" t="str">
        <f t="array" ref="H49">IF(OR(A49="",B49=""),"",IF(COUNTIFS(ETFs!$A$6:$A$25,B49)&lt;&gt;1,"Unmatched ETF",INDEX(ETFs!$D$6:$D$25,MATCH(B49,ETFs!$A$6:$A$25,0))))</f>
        <v/>
      </c>
      <c r="I49" s="62" t="str">
        <f t="array" ref="I49">IF(OR(A49="",B49=""),"",IF(COUNTIFS(ETFs!$A$6:$A$25,B49,ETFs!$K$6:$K$25,1)&lt;&gt;1,"",INDEX(ETFs!$G$6:$G$25,MATCH(B49,ETFs!$A$6:$A$25,0))))</f>
        <v/>
      </c>
      <c r="J49" s="60" t="str">
        <f t="shared" si="1"/>
        <v/>
      </c>
      <c r="K49" s="60" t="str">
        <f t="array" ref="K49">IF(OR(A49="",B49=""),"",IF(COUNTIFS(ETFs!$A$6:$A$25,B49,ETFs!$K$6:$K$25,1)&lt;&gt;1,0,IF(AND(J49=1,COUNTIFS(Companies!$A$6:$A$55,A49,Companies!$R$6:$R$55,1)=1,ISNUMBER(C49),C49&gt;=0,C49&lt;=1,ISNUMBER(D49),D49&gt;=0,ISNUMBER(I49),ABS(D49-C49*I49)&lt;=0.00000001*MAX(1,I49),ISNUMBER(E49),E49=INDEX(ETFs!$H$6:$H$25,MATCH(B49,ETFs!$A$6:$A$25,0)),G49="Yes",F49&lt;&gt;""),1,0)))</f>
        <v/>
      </c>
      <c r="L49" s="60" t="str">
        <f t="shared" si="2"/>
        <v/>
      </c>
    </row>
    <row r="50" ht="24.0" customHeight="1">
      <c r="A50" s="59"/>
      <c r="B50" s="59"/>
      <c r="C50" s="61"/>
      <c r="D50" s="56"/>
      <c r="E50" s="57"/>
      <c r="F50" s="59"/>
      <c r="G50" s="59"/>
      <c r="H50" s="60" t="str">
        <f t="array" ref="H50">IF(OR(A50="",B50=""),"",IF(COUNTIFS(ETFs!$A$6:$A$25,B50)&lt;&gt;1,"Unmatched ETF",INDEX(ETFs!$D$6:$D$25,MATCH(B50,ETFs!$A$6:$A$25,0))))</f>
        <v/>
      </c>
      <c r="I50" s="62" t="str">
        <f t="array" ref="I50">IF(OR(A50="",B50=""),"",IF(COUNTIFS(ETFs!$A$6:$A$25,B50,ETFs!$K$6:$K$25,1)&lt;&gt;1,"",INDEX(ETFs!$G$6:$G$25,MATCH(B50,ETFs!$A$6:$A$25,0))))</f>
        <v/>
      </c>
      <c r="J50" s="60" t="str">
        <f t="shared" si="1"/>
        <v/>
      </c>
      <c r="K50" s="60" t="str">
        <f t="array" ref="K50">IF(OR(A50="",B50=""),"",IF(COUNTIFS(ETFs!$A$6:$A$25,B50,ETFs!$K$6:$K$25,1)&lt;&gt;1,0,IF(AND(J50=1,COUNTIFS(Companies!$A$6:$A$55,A50,Companies!$R$6:$R$55,1)=1,ISNUMBER(C50),C50&gt;=0,C50&lt;=1,ISNUMBER(D50),D50&gt;=0,ISNUMBER(I50),ABS(D50-C50*I50)&lt;=0.00000001*MAX(1,I50),ISNUMBER(E50),E50=INDEX(ETFs!$H$6:$H$25,MATCH(B50,ETFs!$A$6:$A$25,0)),G50="Yes",F50&lt;&gt;""),1,0)))</f>
        <v/>
      </c>
      <c r="L50" s="60" t="str">
        <f t="shared" si="2"/>
        <v/>
      </c>
    </row>
    <row r="51" ht="24.0" customHeight="1">
      <c r="A51" s="59"/>
      <c r="B51" s="59"/>
      <c r="C51" s="61"/>
      <c r="D51" s="56"/>
      <c r="E51" s="57"/>
      <c r="F51" s="59"/>
      <c r="G51" s="59"/>
      <c r="H51" s="60" t="str">
        <f t="array" ref="H51">IF(OR(A51="",B51=""),"",IF(COUNTIFS(ETFs!$A$6:$A$25,B51)&lt;&gt;1,"Unmatched ETF",INDEX(ETFs!$D$6:$D$25,MATCH(B51,ETFs!$A$6:$A$25,0))))</f>
        <v/>
      </c>
      <c r="I51" s="62" t="str">
        <f t="array" ref="I51">IF(OR(A51="",B51=""),"",IF(COUNTIFS(ETFs!$A$6:$A$25,B51,ETFs!$K$6:$K$25,1)&lt;&gt;1,"",INDEX(ETFs!$G$6:$G$25,MATCH(B51,ETFs!$A$6:$A$25,0))))</f>
        <v/>
      </c>
      <c r="J51" s="60" t="str">
        <f t="shared" si="1"/>
        <v/>
      </c>
      <c r="K51" s="60" t="str">
        <f t="array" ref="K51">IF(OR(A51="",B51=""),"",IF(COUNTIFS(ETFs!$A$6:$A$25,B51,ETFs!$K$6:$K$25,1)&lt;&gt;1,0,IF(AND(J51=1,COUNTIFS(Companies!$A$6:$A$55,A51,Companies!$R$6:$R$55,1)=1,ISNUMBER(C51),C51&gt;=0,C51&lt;=1,ISNUMBER(D51),D51&gt;=0,ISNUMBER(I51),ABS(D51-C51*I51)&lt;=0.00000001*MAX(1,I51),ISNUMBER(E51),E51=INDEX(ETFs!$H$6:$H$25,MATCH(B51,ETFs!$A$6:$A$25,0)),G51="Yes",F51&lt;&gt;""),1,0)))</f>
        <v/>
      </c>
      <c r="L51" s="60" t="str">
        <f t="shared" si="2"/>
        <v/>
      </c>
    </row>
    <row r="52" ht="24.0" customHeight="1">
      <c r="A52" s="59"/>
      <c r="B52" s="59"/>
      <c r="C52" s="61"/>
      <c r="D52" s="56"/>
      <c r="E52" s="57"/>
      <c r="F52" s="59"/>
      <c r="G52" s="59"/>
      <c r="H52" s="60" t="str">
        <f t="array" ref="H52">IF(OR(A52="",B52=""),"",IF(COUNTIFS(ETFs!$A$6:$A$25,B52)&lt;&gt;1,"Unmatched ETF",INDEX(ETFs!$D$6:$D$25,MATCH(B52,ETFs!$A$6:$A$25,0))))</f>
        <v/>
      </c>
      <c r="I52" s="62" t="str">
        <f t="array" ref="I52">IF(OR(A52="",B52=""),"",IF(COUNTIFS(ETFs!$A$6:$A$25,B52,ETFs!$K$6:$K$25,1)&lt;&gt;1,"",INDEX(ETFs!$G$6:$G$25,MATCH(B52,ETFs!$A$6:$A$25,0))))</f>
        <v/>
      </c>
      <c r="J52" s="60" t="str">
        <f t="shared" si="1"/>
        <v/>
      </c>
      <c r="K52" s="60" t="str">
        <f t="array" ref="K52">IF(OR(A52="",B52=""),"",IF(COUNTIFS(ETFs!$A$6:$A$25,B52,ETFs!$K$6:$K$25,1)&lt;&gt;1,0,IF(AND(J52=1,COUNTIFS(Companies!$A$6:$A$55,A52,Companies!$R$6:$R$55,1)=1,ISNUMBER(C52),C52&gt;=0,C52&lt;=1,ISNUMBER(D52),D52&gt;=0,ISNUMBER(I52),ABS(D52-C52*I52)&lt;=0.00000001*MAX(1,I52),ISNUMBER(E52),E52=INDEX(ETFs!$H$6:$H$25,MATCH(B52,ETFs!$A$6:$A$25,0)),G52="Yes",F52&lt;&gt;""),1,0)))</f>
        <v/>
      </c>
      <c r="L52" s="60" t="str">
        <f t="shared" si="2"/>
        <v/>
      </c>
    </row>
    <row r="53" ht="24.0" customHeight="1">
      <c r="A53" s="59"/>
      <c r="B53" s="59"/>
      <c r="C53" s="61"/>
      <c r="D53" s="56"/>
      <c r="E53" s="57"/>
      <c r="F53" s="59"/>
      <c r="G53" s="59"/>
      <c r="H53" s="60" t="str">
        <f t="array" ref="H53">IF(OR(A53="",B53=""),"",IF(COUNTIFS(ETFs!$A$6:$A$25,B53)&lt;&gt;1,"Unmatched ETF",INDEX(ETFs!$D$6:$D$25,MATCH(B53,ETFs!$A$6:$A$25,0))))</f>
        <v/>
      </c>
      <c r="I53" s="62" t="str">
        <f t="array" ref="I53">IF(OR(A53="",B53=""),"",IF(COUNTIFS(ETFs!$A$6:$A$25,B53,ETFs!$K$6:$K$25,1)&lt;&gt;1,"",INDEX(ETFs!$G$6:$G$25,MATCH(B53,ETFs!$A$6:$A$25,0))))</f>
        <v/>
      </c>
      <c r="J53" s="60" t="str">
        <f t="shared" si="1"/>
        <v/>
      </c>
      <c r="K53" s="60" t="str">
        <f t="array" ref="K53">IF(OR(A53="",B53=""),"",IF(COUNTIFS(ETFs!$A$6:$A$25,B53,ETFs!$K$6:$K$25,1)&lt;&gt;1,0,IF(AND(J53=1,COUNTIFS(Companies!$A$6:$A$55,A53,Companies!$R$6:$R$55,1)=1,ISNUMBER(C53),C53&gt;=0,C53&lt;=1,ISNUMBER(D53),D53&gt;=0,ISNUMBER(I53),ABS(D53-C53*I53)&lt;=0.00000001*MAX(1,I53),ISNUMBER(E53),E53=INDEX(ETFs!$H$6:$H$25,MATCH(B53,ETFs!$A$6:$A$25,0)),G53="Yes",F53&lt;&gt;""),1,0)))</f>
        <v/>
      </c>
      <c r="L53" s="60" t="str">
        <f t="shared" si="2"/>
        <v/>
      </c>
    </row>
    <row r="54" ht="24.0" customHeight="1">
      <c r="A54" s="59"/>
      <c r="B54" s="59"/>
      <c r="C54" s="61"/>
      <c r="D54" s="56"/>
      <c r="E54" s="57"/>
      <c r="F54" s="59"/>
      <c r="G54" s="59"/>
      <c r="H54" s="60" t="str">
        <f t="array" ref="H54">IF(OR(A54="",B54=""),"",IF(COUNTIFS(ETFs!$A$6:$A$25,B54)&lt;&gt;1,"Unmatched ETF",INDEX(ETFs!$D$6:$D$25,MATCH(B54,ETFs!$A$6:$A$25,0))))</f>
        <v/>
      </c>
      <c r="I54" s="62" t="str">
        <f t="array" ref="I54">IF(OR(A54="",B54=""),"",IF(COUNTIFS(ETFs!$A$6:$A$25,B54,ETFs!$K$6:$K$25,1)&lt;&gt;1,"",INDEX(ETFs!$G$6:$G$25,MATCH(B54,ETFs!$A$6:$A$25,0))))</f>
        <v/>
      </c>
      <c r="J54" s="60" t="str">
        <f t="shared" si="1"/>
        <v/>
      </c>
      <c r="K54" s="60" t="str">
        <f t="array" ref="K54">IF(OR(A54="",B54=""),"",IF(COUNTIFS(ETFs!$A$6:$A$25,B54,ETFs!$K$6:$K$25,1)&lt;&gt;1,0,IF(AND(J54=1,COUNTIFS(Companies!$A$6:$A$55,A54,Companies!$R$6:$R$55,1)=1,ISNUMBER(C54),C54&gt;=0,C54&lt;=1,ISNUMBER(D54),D54&gt;=0,ISNUMBER(I54),ABS(D54-C54*I54)&lt;=0.00000001*MAX(1,I54),ISNUMBER(E54),E54=INDEX(ETFs!$H$6:$H$25,MATCH(B54,ETFs!$A$6:$A$25,0)),G54="Yes",F54&lt;&gt;""),1,0)))</f>
        <v/>
      </c>
      <c r="L54" s="60" t="str">
        <f t="shared" si="2"/>
        <v/>
      </c>
    </row>
    <row r="55" ht="24.0" customHeight="1">
      <c r="A55" s="59"/>
      <c r="B55" s="59"/>
      <c r="C55" s="61"/>
      <c r="D55" s="56"/>
      <c r="E55" s="57"/>
      <c r="F55" s="59"/>
      <c r="G55" s="59"/>
      <c r="H55" s="60" t="str">
        <f t="array" ref="H55">IF(OR(A55="",B55=""),"",IF(COUNTIFS(ETFs!$A$6:$A$25,B55)&lt;&gt;1,"Unmatched ETF",INDEX(ETFs!$D$6:$D$25,MATCH(B55,ETFs!$A$6:$A$25,0))))</f>
        <v/>
      </c>
      <c r="I55" s="62" t="str">
        <f t="array" ref="I55">IF(OR(A55="",B55=""),"",IF(COUNTIFS(ETFs!$A$6:$A$25,B55,ETFs!$K$6:$K$25,1)&lt;&gt;1,"",INDEX(ETFs!$G$6:$G$25,MATCH(B55,ETFs!$A$6:$A$25,0))))</f>
        <v/>
      </c>
      <c r="J55" s="60" t="str">
        <f t="shared" si="1"/>
        <v/>
      </c>
      <c r="K55" s="60" t="str">
        <f t="array" ref="K55">IF(OR(A55="",B55=""),"",IF(COUNTIFS(ETFs!$A$6:$A$25,B55,ETFs!$K$6:$K$25,1)&lt;&gt;1,0,IF(AND(J55=1,COUNTIFS(Companies!$A$6:$A$55,A55,Companies!$R$6:$R$55,1)=1,ISNUMBER(C55),C55&gt;=0,C55&lt;=1,ISNUMBER(D55),D55&gt;=0,ISNUMBER(I55),ABS(D55-C55*I55)&lt;=0.00000001*MAX(1,I55),ISNUMBER(E55),E55=INDEX(ETFs!$H$6:$H$25,MATCH(B55,ETFs!$A$6:$A$25,0)),G55="Yes",F55&lt;&gt;""),1,0)))</f>
        <v/>
      </c>
      <c r="L55" s="60" t="str">
        <f t="shared" si="2"/>
        <v/>
      </c>
    </row>
    <row r="56" ht="24.0" customHeight="1">
      <c r="A56" s="59"/>
      <c r="B56" s="59"/>
      <c r="C56" s="61"/>
      <c r="D56" s="56"/>
      <c r="E56" s="57"/>
      <c r="F56" s="59"/>
      <c r="G56" s="59"/>
      <c r="H56" s="60" t="str">
        <f t="array" ref="H56">IF(OR(A56="",B56=""),"",IF(COUNTIFS(ETFs!$A$6:$A$25,B56)&lt;&gt;1,"Unmatched ETF",INDEX(ETFs!$D$6:$D$25,MATCH(B56,ETFs!$A$6:$A$25,0))))</f>
        <v/>
      </c>
      <c r="I56" s="62" t="str">
        <f t="array" ref="I56">IF(OR(A56="",B56=""),"",IF(COUNTIFS(ETFs!$A$6:$A$25,B56,ETFs!$K$6:$K$25,1)&lt;&gt;1,"",INDEX(ETFs!$G$6:$G$25,MATCH(B56,ETFs!$A$6:$A$25,0))))</f>
        <v/>
      </c>
      <c r="J56" s="60" t="str">
        <f t="shared" si="1"/>
        <v/>
      </c>
      <c r="K56" s="60" t="str">
        <f t="array" ref="K56">IF(OR(A56="",B56=""),"",IF(COUNTIFS(ETFs!$A$6:$A$25,B56,ETFs!$K$6:$K$25,1)&lt;&gt;1,0,IF(AND(J56=1,COUNTIFS(Companies!$A$6:$A$55,A56,Companies!$R$6:$R$55,1)=1,ISNUMBER(C56),C56&gt;=0,C56&lt;=1,ISNUMBER(D56),D56&gt;=0,ISNUMBER(I56),ABS(D56-C56*I56)&lt;=0.00000001*MAX(1,I56),ISNUMBER(E56),E56=INDEX(ETFs!$H$6:$H$25,MATCH(B56,ETFs!$A$6:$A$25,0)),G56="Yes",F56&lt;&gt;""),1,0)))</f>
        <v/>
      </c>
      <c r="L56" s="60" t="str">
        <f t="shared" si="2"/>
        <v/>
      </c>
    </row>
    <row r="57" ht="24.0" customHeight="1">
      <c r="A57" s="59"/>
      <c r="B57" s="59"/>
      <c r="C57" s="61"/>
      <c r="D57" s="56"/>
      <c r="E57" s="57"/>
      <c r="F57" s="59"/>
      <c r="G57" s="59"/>
      <c r="H57" s="60" t="str">
        <f t="array" ref="H57">IF(OR(A57="",B57=""),"",IF(COUNTIFS(ETFs!$A$6:$A$25,B57)&lt;&gt;1,"Unmatched ETF",INDEX(ETFs!$D$6:$D$25,MATCH(B57,ETFs!$A$6:$A$25,0))))</f>
        <v/>
      </c>
      <c r="I57" s="62" t="str">
        <f t="array" ref="I57">IF(OR(A57="",B57=""),"",IF(COUNTIFS(ETFs!$A$6:$A$25,B57,ETFs!$K$6:$K$25,1)&lt;&gt;1,"",INDEX(ETFs!$G$6:$G$25,MATCH(B57,ETFs!$A$6:$A$25,0))))</f>
        <v/>
      </c>
      <c r="J57" s="60" t="str">
        <f t="shared" si="1"/>
        <v/>
      </c>
      <c r="K57" s="60" t="str">
        <f t="array" ref="K57">IF(OR(A57="",B57=""),"",IF(COUNTIFS(ETFs!$A$6:$A$25,B57,ETFs!$K$6:$K$25,1)&lt;&gt;1,0,IF(AND(J57=1,COUNTIFS(Companies!$A$6:$A$55,A57,Companies!$R$6:$R$55,1)=1,ISNUMBER(C57),C57&gt;=0,C57&lt;=1,ISNUMBER(D57),D57&gt;=0,ISNUMBER(I57),ABS(D57-C57*I57)&lt;=0.00000001*MAX(1,I57),ISNUMBER(E57),E57=INDEX(ETFs!$H$6:$H$25,MATCH(B57,ETFs!$A$6:$A$25,0)),G57="Yes",F57&lt;&gt;""),1,0)))</f>
        <v/>
      </c>
      <c r="L57" s="60" t="str">
        <f t="shared" si="2"/>
        <v/>
      </c>
    </row>
    <row r="58" ht="24.0" customHeight="1">
      <c r="A58" s="59"/>
      <c r="B58" s="59"/>
      <c r="C58" s="61"/>
      <c r="D58" s="56"/>
      <c r="E58" s="57"/>
      <c r="F58" s="59"/>
      <c r="G58" s="59"/>
      <c r="H58" s="60" t="str">
        <f t="array" ref="H58">IF(OR(A58="",B58=""),"",IF(COUNTIFS(ETFs!$A$6:$A$25,B58)&lt;&gt;1,"Unmatched ETF",INDEX(ETFs!$D$6:$D$25,MATCH(B58,ETFs!$A$6:$A$25,0))))</f>
        <v/>
      </c>
      <c r="I58" s="62" t="str">
        <f t="array" ref="I58">IF(OR(A58="",B58=""),"",IF(COUNTIFS(ETFs!$A$6:$A$25,B58,ETFs!$K$6:$K$25,1)&lt;&gt;1,"",INDEX(ETFs!$G$6:$G$25,MATCH(B58,ETFs!$A$6:$A$25,0))))</f>
        <v/>
      </c>
      <c r="J58" s="60" t="str">
        <f t="shared" si="1"/>
        <v/>
      </c>
      <c r="K58" s="60" t="str">
        <f t="array" ref="K58">IF(OR(A58="",B58=""),"",IF(COUNTIFS(ETFs!$A$6:$A$25,B58,ETFs!$K$6:$K$25,1)&lt;&gt;1,0,IF(AND(J58=1,COUNTIFS(Companies!$A$6:$A$55,A58,Companies!$R$6:$R$55,1)=1,ISNUMBER(C58),C58&gt;=0,C58&lt;=1,ISNUMBER(D58),D58&gt;=0,ISNUMBER(I58),ABS(D58-C58*I58)&lt;=0.00000001*MAX(1,I58),ISNUMBER(E58),E58=INDEX(ETFs!$H$6:$H$25,MATCH(B58,ETFs!$A$6:$A$25,0)),G58="Yes",F58&lt;&gt;""),1,0)))</f>
        <v/>
      </c>
      <c r="L58" s="60" t="str">
        <f t="shared" si="2"/>
        <v/>
      </c>
    </row>
    <row r="59" ht="24.0" customHeight="1">
      <c r="A59" s="59"/>
      <c r="B59" s="59"/>
      <c r="C59" s="61"/>
      <c r="D59" s="56"/>
      <c r="E59" s="57"/>
      <c r="F59" s="59"/>
      <c r="G59" s="59"/>
      <c r="H59" s="60" t="str">
        <f t="array" ref="H59">IF(OR(A59="",B59=""),"",IF(COUNTIFS(ETFs!$A$6:$A$25,B59)&lt;&gt;1,"Unmatched ETF",INDEX(ETFs!$D$6:$D$25,MATCH(B59,ETFs!$A$6:$A$25,0))))</f>
        <v/>
      </c>
      <c r="I59" s="62" t="str">
        <f t="array" ref="I59">IF(OR(A59="",B59=""),"",IF(COUNTIFS(ETFs!$A$6:$A$25,B59,ETFs!$K$6:$K$25,1)&lt;&gt;1,"",INDEX(ETFs!$G$6:$G$25,MATCH(B59,ETFs!$A$6:$A$25,0))))</f>
        <v/>
      </c>
      <c r="J59" s="60" t="str">
        <f t="shared" si="1"/>
        <v/>
      </c>
      <c r="K59" s="60" t="str">
        <f t="array" ref="K59">IF(OR(A59="",B59=""),"",IF(COUNTIFS(ETFs!$A$6:$A$25,B59,ETFs!$K$6:$K$25,1)&lt;&gt;1,0,IF(AND(J59=1,COUNTIFS(Companies!$A$6:$A$55,A59,Companies!$R$6:$R$55,1)=1,ISNUMBER(C59),C59&gt;=0,C59&lt;=1,ISNUMBER(D59),D59&gt;=0,ISNUMBER(I59),ABS(D59-C59*I59)&lt;=0.00000001*MAX(1,I59),ISNUMBER(E59),E59=INDEX(ETFs!$H$6:$H$25,MATCH(B59,ETFs!$A$6:$A$25,0)),G59="Yes",F59&lt;&gt;""),1,0)))</f>
        <v/>
      </c>
      <c r="L59" s="60" t="str">
        <f t="shared" si="2"/>
        <v/>
      </c>
    </row>
    <row r="60" ht="24.0" customHeight="1">
      <c r="A60" s="59"/>
      <c r="B60" s="59"/>
      <c r="C60" s="61"/>
      <c r="D60" s="56"/>
      <c r="E60" s="57"/>
      <c r="F60" s="59"/>
      <c r="G60" s="59"/>
      <c r="H60" s="60" t="str">
        <f t="array" ref="H60">IF(OR(A60="",B60=""),"",IF(COUNTIFS(ETFs!$A$6:$A$25,B60)&lt;&gt;1,"Unmatched ETF",INDEX(ETFs!$D$6:$D$25,MATCH(B60,ETFs!$A$6:$A$25,0))))</f>
        <v/>
      </c>
      <c r="I60" s="62" t="str">
        <f t="array" ref="I60">IF(OR(A60="",B60=""),"",IF(COUNTIFS(ETFs!$A$6:$A$25,B60,ETFs!$K$6:$K$25,1)&lt;&gt;1,"",INDEX(ETFs!$G$6:$G$25,MATCH(B60,ETFs!$A$6:$A$25,0))))</f>
        <v/>
      </c>
      <c r="J60" s="60" t="str">
        <f t="shared" si="1"/>
        <v/>
      </c>
      <c r="K60" s="60" t="str">
        <f t="array" ref="K60">IF(OR(A60="",B60=""),"",IF(COUNTIFS(ETFs!$A$6:$A$25,B60,ETFs!$K$6:$K$25,1)&lt;&gt;1,0,IF(AND(J60=1,COUNTIFS(Companies!$A$6:$A$55,A60,Companies!$R$6:$R$55,1)=1,ISNUMBER(C60),C60&gt;=0,C60&lt;=1,ISNUMBER(D60),D60&gt;=0,ISNUMBER(I60),ABS(D60-C60*I60)&lt;=0.00000001*MAX(1,I60),ISNUMBER(E60),E60=INDEX(ETFs!$H$6:$H$25,MATCH(B60,ETFs!$A$6:$A$25,0)),G60="Yes",F60&lt;&gt;""),1,0)))</f>
        <v/>
      </c>
      <c r="L60" s="60" t="str">
        <f t="shared" si="2"/>
        <v/>
      </c>
    </row>
    <row r="61" ht="24.0" customHeight="1">
      <c r="A61" s="59"/>
      <c r="B61" s="59"/>
      <c r="C61" s="61"/>
      <c r="D61" s="56"/>
      <c r="E61" s="57"/>
      <c r="F61" s="59"/>
      <c r="G61" s="59"/>
      <c r="H61" s="60" t="str">
        <f t="array" ref="H61">IF(OR(A61="",B61=""),"",IF(COUNTIFS(ETFs!$A$6:$A$25,B61)&lt;&gt;1,"Unmatched ETF",INDEX(ETFs!$D$6:$D$25,MATCH(B61,ETFs!$A$6:$A$25,0))))</f>
        <v/>
      </c>
      <c r="I61" s="62" t="str">
        <f t="array" ref="I61">IF(OR(A61="",B61=""),"",IF(COUNTIFS(ETFs!$A$6:$A$25,B61,ETFs!$K$6:$K$25,1)&lt;&gt;1,"",INDEX(ETFs!$G$6:$G$25,MATCH(B61,ETFs!$A$6:$A$25,0))))</f>
        <v/>
      </c>
      <c r="J61" s="60" t="str">
        <f t="shared" si="1"/>
        <v/>
      </c>
      <c r="K61" s="60" t="str">
        <f t="array" ref="K61">IF(OR(A61="",B61=""),"",IF(COUNTIFS(ETFs!$A$6:$A$25,B61,ETFs!$K$6:$K$25,1)&lt;&gt;1,0,IF(AND(J61=1,COUNTIFS(Companies!$A$6:$A$55,A61,Companies!$R$6:$R$55,1)=1,ISNUMBER(C61),C61&gt;=0,C61&lt;=1,ISNUMBER(D61),D61&gt;=0,ISNUMBER(I61),ABS(D61-C61*I61)&lt;=0.00000001*MAX(1,I61),ISNUMBER(E61),E61=INDEX(ETFs!$H$6:$H$25,MATCH(B61,ETFs!$A$6:$A$25,0)),G61="Yes",F61&lt;&gt;""),1,0)))</f>
        <v/>
      </c>
      <c r="L61" s="60" t="str">
        <f t="shared" si="2"/>
        <v/>
      </c>
    </row>
    <row r="62" ht="24.0" customHeight="1">
      <c r="A62" s="59"/>
      <c r="B62" s="59"/>
      <c r="C62" s="61"/>
      <c r="D62" s="56"/>
      <c r="E62" s="57"/>
      <c r="F62" s="59"/>
      <c r="G62" s="59"/>
      <c r="H62" s="60" t="str">
        <f t="array" ref="H62">IF(OR(A62="",B62=""),"",IF(COUNTIFS(ETFs!$A$6:$A$25,B62)&lt;&gt;1,"Unmatched ETF",INDEX(ETFs!$D$6:$D$25,MATCH(B62,ETFs!$A$6:$A$25,0))))</f>
        <v/>
      </c>
      <c r="I62" s="62" t="str">
        <f t="array" ref="I62">IF(OR(A62="",B62=""),"",IF(COUNTIFS(ETFs!$A$6:$A$25,B62,ETFs!$K$6:$K$25,1)&lt;&gt;1,"",INDEX(ETFs!$G$6:$G$25,MATCH(B62,ETFs!$A$6:$A$25,0))))</f>
        <v/>
      </c>
      <c r="J62" s="60" t="str">
        <f t="shared" si="1"/>
        <v/>
      </c>
      <c r="K62" s="60" t="str">
        <f t="array" ref="K62">IF(OR(A62="",B62=""),"",IF(COUNTIFS(ETFs!$A$6:$A$25,B62,ETFs!$K$6:$K$25,1)&lt;&gt;1,0,IF(AND(J62=1,COUNTIFS(Companies!$A$6:$A$55,A62,Companies!$R$6:$R$55,1)=1,ISNUMBER(C62),C62&gt;=0,C62&lt;=1,ISNUMBER(D62),D62&gt;=0,ISNUMBER(I62),ABS(D62-C62*I62)&lt;=0.00000001*MAX(1,I62),ISNUMBER(E62),E62=INDEX(ETFs!$H$6:$H$25,MATCH(B62,ETFs!$A$6:$A$25,0)),G62="Yes",F62&lt;&gt;""),1,0)))</f>
        <v/>
      </c>
      <c r="L62" s="60" t="str">
        <f t="shared" si="2"/>
        <v/>
      </c>
    </row>
    <row r="63" ht="24.0" customHeight="1">
      <c r="A63" s="59"/>
      <c r="B63" s="59"/>
      <c r="C63" s="61"/>
      <c r="D63" s="56"/>
      <c r="E63" s="57"/>
      <c r="F63" s="59"/>
      <c r="G63" s="59"/>
      <c r="H63" s="60" t="str">
        <f t="array" ref="H63">IF(OR(A63="",B63=""),"",IF(COUNTIFS(ETFs!$A$6:$A$25,B63)&lt;&gt;1,"Unmatched ETF",INDEX(ETFs!$D$6:$D$25,MATCH(B63,ETFs!$A$6:$A$25,0))))</f>
        <v/>
      </c>
      <c r="I63" s="62" t="str">
        <f t="array" ref="I63">IF(OR(A63="",B63=""),"",IF(COUNTIFS(ETFs!$A$6:$A$25,B63,ETFs!$K$6:$K$25,1)&lt;&gt;1,"",INDEX(ETFs!$G$6:$G$25,MATCH(B63,ETFs!$A$6:$A$25,0))))</f>
        <v/>
      </c>
      <c r="J63" s="60" t="str">
        <f t="shared" si="1"/>
        <v/>
      </c>
      <c r="K63" s="60" t="str">
        <f t="array" ref="K63">IF(OR(A63="",B63=""),"",IF(COUNTIFS(ETFs!$A$6:$A$25,B63,ETFs!$K$6:$K$25,1)&lt;&gt;1,0,IF(AND(J63=1,COUNTIFS(Companies!$A$6:$A$55,A63,Companies!$R$6:$R$55,1)=1,ISNUMBER(C63),C63&gt;=0,C63&lt;=1,ISNUMBER(D63),D63&gt;=0,ISNUMBER(I63),ABS(D63-C63*I63)&lt;=0.00000001*MAX(1,I63),ISNUMBER(E63),E63=INDEX(ETFs!$H$6:$H$25,MATCH(B63,ETFs!$A$6:$A$25,0)),G63="Yes",F63&lt;&gt;""),1,0)))</f>
        <v/>
      </c>
      <c r="L63" s="60" t="str">
        <f t="shared" si="2"/>
        <v/>
      </c>
    </row>
    <row r="64" ht="24.0" customHeight="1">
      <c r="A64" s="59"/>
      <c r="B64" s="59"/>
      <c r="C64" s="61"/>
      <c r="D64" s="56"/>
      <c r="E64" s="57"/>
      <c r="F64" s="59"/>
      <c r="G64" s="59"/>
      <c r="H64" s="60" t="str">
        <f t="array" ref="H64">IF(OR(A64="",B64=""),"",IF(COUNTIFS(ETFs!$A$6:$A$25,B64)&lt;&gt;1,"Unmatched ETF",INDEX(ETFs!$D$6:$D$25,MATCH(B64,ETFs!$A$6:$A$25,0))))</f>
        <v/>
      </c>
      <c r="I64" s="62" t="str">
        <f t="array" ref="I64">IF(OR(A64="",B64=""),"",IF(COUNTIFS(ETFs!$A$6:$A$25,B64,ETFs!$K$6:$K$25,1)&lt;&gt;1,"",INDEX(ETFs!$G$6:$G$25,MATCH(B64,ETFs!$A$6:$A$25,0))))</f>
        <v/>
      </c>
      <c r="J64" s="60" t="str">
        <f t="shared" si="1"/>
        <v/>
      </c>
      <c r="K64" s="60" t="str">
        <f t="array" ref="K64">IF(OR(A64="",B64=""),"",IF(COUNTIFS(ETFs!$A$6:$A$25,B64,ETFs!$K$6:$K$25,1)&lt;&gt;1,0,IF(AND(J64=1,COUNTIFS(Companies!$A$6:$A$55,A64,Companies!$R$6:$R$55,1)=1,ISNUMBER(C64),C64&gt;=0,C64&lt;=1,ISNUMBER(D64),D64&gt;=0,ISNUMBER(I64),ABS(D64-C64*I64)&lt;=0.00000001*MAX(1,I64),ISNUMBER(E64),E64=INDEX(ETFs!$H$6:$H$25,MATCH(B64,ETFs!$A$6:$A$25,0)),G64="Yes",F64&lt;&gt;""),1,0)))</f>
        <v/>
      </c>
      <c r="L64" s="60" t="str">
        <f t="shared" si="2"/>
        <v/>
      </c>
    </row>
    <row r="65" ht="24.0" customHeight="1">
      <c r="A65" s="59"/>
      <c r="B65" s="59"/>
      <c r="C65" s="61"/>
      <c r="D65" s="56"/>
      <c r="E65" s="57"/>
      <c r="F65" s="59"/>
      <c r="G65" s="59"/>
      <c r="H65" s="60" t="str">
        <f t="array" ref="H65">IF(OR(A65="",B65=""),"",IF(COUNTIFS(ETFs!$A$6:$A$25,B65)&lt;&gt;1,"Unmatched ETF",INDEX(ETFs!$D$6:$D$25,MATCH(B65,ETFs!$A$6:$A$25,0))))</f>
        <v/>
      </c>
      <c r="I65" s="62" t="str">
        <f t="array" ref="I65">IF(OR(A65="",B65=""),"",IF(COUNTIFS(ETFs!$A$6:$A$25,B65,ETFs!$K$6:$K$25,1)&lt;&gt;1,"",INDEX(ETFs!$G$6:$G$25,MATCH(B65,ETFs!$A$6:$A$25,0))))</f>
        <v/>
      </c>
      <c r="J65" s="60" t="str">
        <f t="shared" si="1"/>
        <v/>
      </c>
      <c r="K65" s="60" t="str">
        <f t="array" ref="K65">IF(OR(A65="",B65=""),"",IF(COUNTIFS(ETFs!$A$6:$A$25,B65,ETFs!$K$6:$K$25,1)&lt;&gt;1,0,IF(AND(J65=1,COUNTIFS(Companies!$A$6:$A$55,A65,Companies!$R$6:$R$55,1)=1,ISNUMBER(C65),C65&gt;=0,C65&lt;=1,ISNUMBER(D65),D65&gt;=0,ISNUMBER(I65),ABS(D65-C65*I65)&lt;=0.00000001*MAX(1,I65),ISNUMBER(E65),E65=INDEX(ETFs!$H$6:$H$25,MATCH(B65,ETFs!$A$6:$A$25,0)),G65="Yes",F65&lt;&gt;""),1,0)))</f>
        <v/>
      </c>
      <c r="L65" s="60" t="str">
        <f t="shared" si="2"/>
        <v/>
      </c>
    </row>
    <row r="66" ht="24.0" customHeight="1">
      <c r="A66" s="59"/>
      <c r="B66" s="59"/>
      <c r="C66" s="61"/>
      <c r="D66" s="56"/>
      <c r="E66" s="57"/>
      <c r="F66" s="59"/>
      <c r="G66" s="59"/>
      <c r="H66" s="60" t="str">
        <f t="array" ref="H66">IF(OR(A66="",B66=""),"",IF(COUNTIFS(ETFs!$A$6:$A$25,B66)&lt;&gt;1,"Unmatched ETF",INDEX(ETFs!$D$6:$D$25,MATCH(B66,ETFs!$A$6:$A$25,0))))</f>
        <v/>
      </c>
      <c r="I66" s="62" t="str">
        <f t="array" ref="I66">IF(OR(A66="",B66=""),"",IF(COUNTIFS(ETFs!$A$6:$A$25,B66,ETFs!$K$6:$K$25,1)&lt;&gt;1,"",INDEX(ETFs!$G$6:$G$25,MATCH(B66,ETFs!$A$6:$A$25,0))))</f>
        <v/>
      </c>
      <c r="J66" s="60" t="str">
        <f t="shared" si="1"/>
        <v/>
      </c>
      <c r="K66" s="60" t="str">
        <f t="array" ref="K66">IF(OR(A66="",B66=""),"",IF(COUNTIFS(ETFs!$A$6:$A$25,B66,ETFs!$K$6:$K$25,1)&lt;&gt;1,0,IF(AND(J66=1,COUNTIFS(Companies!$A$6:$A$55,A66,Companies!$R$6:$R$55,1)=1,ISNUMBER(C66),C66&gt;=0,C66&lt;=1,ISNUMBER(D66),D66&gt;=0,ISNUMBER(I66),ABS(D66-C66*I66)&lt;=0.00000001*MAX(1,I66),ISNUMBER(E66),E66=INDEX(ETFs!$H$6:$H$25,MATCH(B66,ETFs!$A$6:$A$25,0)),G66="Yes",F66&lt;&gt;""),1,0)))</f>
        <v/>
      </c>
      <c r="L66" s="60" t="str">
        <f t="shared" si="2"/>
        <v/>
      </c>
    </row>
    <row r="67" ht="24.0" customHeight="1">
      <c r="A67" s="59"/>
      <c r="B67" s="59"/>
      <c r="C67" s="61"/>
      <c r="D67" s="56"/>
      <c r="E67" s="57"/>
      <c r="F67" s="59"/>
      <c r="G67" s="59"/>
      <c r="H67" s="60" t="str">
        <f t="array" ref="H67">IF(OR(A67="",B67=""),"",IF(COUNTIFS(ETFs!$A$6:$A$25,B67)&lt;&gt;1,"Unmatched ETF",INDEX(ETFs!$D$6:$D$25,MATCH(B67,ETFs!$A$6:$A$25,0))))</f>
        <v/>
      </c>
      <c r="I67" s="62" t="str">
        <f t="array" ref="I67">IF(OR(A67="",B67=""),"",IF(COUNTIFS(ETFs!$A$6:$A$25,B67,ETFs!$K$6:$K$25,1)&lt;&gt;1,"",INDEX(ETFs!$G$6:$G$25,MATCH(B67,ETFs!$A$6:$A$25,0))))</f>
        <v/>
      </c>
      <c r="J67" s="60" t="str">
        <f t="shared" si="1"/>
        <v/>
      </c>
      <c r="K67" s="60" t="str">
        <f t="array" ref="K67">IF(OR(A67="",B67=""),"",IF(COUNTIFS(ETFs!$A$6:$A$25,B67,ETFs!$K$6:$K$25,1)&lt;&gt;1,0,IF(AND(J67=1,COUNTIFS(Companies!$A$6:$A$55,A67,Companies!$R$6:$R$55,1)=1,ISNUMBER(C67),C67&gt;=0,C67&lt;=1,ISNUMBER(D67),D67&gt;=0,ISNUMBER(I67),ABS(D67-C67*I67)&lt;=0.00000001*MAX(1,I67),ISNUMBER(E67),E67=INDEX(ETFs!$H$6:$H$25,MATCH(B67,ETFs!$A$6:$A$25,0)),G67="Yes",F67&lt;&gt;""),1,0)))</f>
        <v/>
      </c>
      <c r="L67" s="60" t="str">
        <f t="shared" si="2"/>
        <v/>
      </c>
    </row>
    <row r="68" ht="24.0" customHeight="1">
      <c r="A68" s="59"/>
      <c r="B68" s="59"/>
      <c r="C68" s="61"/>
      <c r="D68" s="56"/>
      <c r="E68" s="57"/>
      <c r="F68" s="59"/>
      <c r="G68" s="59"/>
      <c r="H68" s="60" t="str">
        <f t="array" ref="H68">IF(OR(A68="",B68=""),"",IF(COUNTIFS(ETFs!$A$6:$A$25,B68)&lt;&gt;1,"Unmatched ETF",INDEX(ETFs!$D$6:$D$25,MATCH(B68,ETFs!$A$6:$A$25,0))))</f>
        <v/>
      </c>
      <c r="I68" s="62" t="str">
        <f t="array" ref="I68">IF(OR(A68="",B68=""),"",IF(COUNTIFS(ETFs!$A$6:$A$25,B68,ETFs!$K$6:$K$25,1)&lt;&gt;1,"",INDEX(ETFs!$G$6:$G$25,MATCH(B68,ETFs!$A$6:$A$25,0))))</f>
        <v/>
      </c>
      <c r="J68" s="60" t="str">
        <f t="shared" si="1"/>
        <v/>
      </c>
      <c r="K68" s="60" t="str">
        <f t="array" ref="K68">IF(OR(A68="",B68=""),"",IF(COUNTIFS(ETFs!$A$6:$A$25,B68,ETFs!$K$6:$K$25,1)&lt;&gt;1,0,IF(AND(J68=1,COUNTIFS(Companies!$A$6:$A$55,A68,Companies!$R$6:$R$55,1)=1,ISNUMBER(C68),C68&gt;=0,C68&lt;=1,ISNUMBER(D68),D68&gt;=0,ISNUMBER(I68),ABS(D68-C68*I68)&lt;=0.00000001*MAX(1,I68),ISNUMBER(E68),E68=INDEX(ETFs!$H$6:$H$25,MATCH(B68,ETFs!$A$6:$A$25,0)),G68="Yes",F68&lt;&gt;""),1,0)))</f>
        <v/>
      </c>
      <c r="L68" s="60" t="str">
        <f t="shared" si="2"/>
        <v/>
      </c>
    </row>
    <row r="69" ht="24.0" customHeight="1">
      <c r="A69" s="59"/>
      <c r="B69" s="59"/>
      <c r="C69" s="61"/>
      <c r="D69" s="56"/>
      <c r="E69" s="57"/>
      <c r="F69" s="59"/>
      <c r="G69" s="59"/>
      <c r="H69" s="60" t="str">
        <f t="array" ref="H69">IF(OR(A69="",B69=""),"",IF(COUNTIFS(ETFs!$A$6:$A$25,B69)&lt;&gt;1,"Unmatched ETF",INDEX(ETFs!$D$6:$D$25,MATCH(B69,ETFs!$A$6:$A$25,0))))</f>
        <v/>
      </c>
      <c r="I69" s="62" t="str">
        <f t="array" ref="I69">IF(OR(A69="",B69=""),"",IF(COUNTIFS(ETFs!$A$6:$A$25,B69,ETFs!$K$6:$K$25,1)&lt;&gt;1,"",INDEX(ETFs!$G$6:$G$25,MATCH(B69,ETFs!$A$6:$A$25,0))))</f>
        <v/>
      </c>
      <c r="J69" s="60" t="str">
        <f t="shared" si="1"/>
        <v/>
      </c>
      <c r="K69" s="60" t="str">
        <f t="array" ref="K69">IF(OR(A69="",B69=""),"",IF(COUNTIFS(ETFs!$A$6:$A$25,B69,ETFs!$K$6:$K$25,1)&lt;&gt;1,0,IF(AND(J69=1,COUNTIFS(Companies!$A$6:$A$55,A69,Companies!$R$6:$R$55,1)=1,ISNUMBER(C69),C69&gt;=0,C69&lt;=1,ISNUMBER(D69),D69&gt;=0,ISNUMBER(I69),ABS(D69-C69*I69)&lt;=0.00000001*MAX(1,I69),ISNUMBER(E69),E69=INDEX(ETFs!$H$6:$H$25,MATCH(B69,ETFs!$A$6:$A$25,0)),G69="Yes",F69&lt;&gt;""),1,0)))</f>
        <v/>
      </c>
      <c r="L69" s="60" t="str">
        <f t="shared" si="2"/>
        <v/>
      </c>
    </row>
    <row r="70" ht="24.0" customHeight="1">
      <c r="A70" s="59"/>
      <c r="B70" s="59"/>
      <c r="C70" s="61"/>
      <c r="D70" s="56"/>
      <c r="E70" s="57"/>
      <c r="F70" s="59"/>
      <c r="G70" s="59"/>
      <c r="H70" s="60" t="str">
        <f t="array" ref="H70">IF(OR(A70="",B70=""),"",IF(COUNTIFS(ETFs!$A$6:$A$25,B70)&lt;&gt;1,"Unmatched ETF",INDEX(ETFs!$D$6:$D$25,MATCH(B70,ETFs!$A$6:$A$25,0))))</f>
        <v/>
      </c>
      <c r="I70" s="62" t="str">
        <f t="array" ref="I70">IF(OR(A70="",B70=""),"",IF(COUNTIFS(ETFs!$A$6:$A$25,B70,ETFs!$K$6:$K$25,1)&lt;&gt;1,"",INDEX(ETFs!$G$6:$G$25,MATCH(B70,ETFs!$A$6:$A$25,0))))</f>
        <v/>
      </c>
      <c r="J70" s="60" t="str">
        <f t="shared" si="1"/>
        <v/>
      </c>
      <c r="K70" s="60" t="str">
        <f t="array" ref="K70">IF(OR(A70="",B70=""),"",IF(COUNTIFS(ETFs!$A$6:$A$25,B70,ETFs!$K$6:$K$25,1)&lt;&gt;1,0,IF(AND(J70=1,COUNTIFS(Companies!$A$6:$A$55,A70,Companies!$R$6:$R$55,1)=1,ISNUMBER(C70),C70&gt;=0,C70&lt;=1,ISNUMBER(D70),D70&gt;=0,ISNUMBER(I70),ABS(D70-C70*I70)&lt;=0.00000001*MAX(1,I70),ISNUMBER(E70),E70=INDEX(ETFs!$H$6:$H$25,MATCH(B70,ETFs!$A$6:$A$25,0)),G70="Yes",F70&lt;&gt;""),1,0)))</f>
        <v/>
      </c>
      <c r="L70" s="60" t="str">
        <f t="shared" si="2"/>
        <v/>
      </c>
    </row>
    <row r="71" ht="24.0" customHeight="1">
      <c r="A71" s="59"/>
      <c r="B71" s="59"/>
      <c r="C71" s="61"/>
      <c r="D71" s="56"/>
      <c r="E71" s="57"/>
      <c r="F71" s="59"/>
      <c r="G71" s="59"/>
      <c r="H71" s="60" t="str">
        <f t="array" ref="H71">IF(OR(A71="",B71=""),"",IF(COUNTIFS(ETFs!$A$6:$A$25,B71)&lt;&gt;1,"Unmatched ETF",INDEX(ETFs!$D$6:$D$25,MATCH(B71,ETFs!$A$6:$A$25,0))))</f>
        <v/>
      </c>
      <c r="I71" s="62" t="str">
        <f t="array" ref="I71">IF(OR(A71="",B71=""),"",IF(COUNTIFS(ETFs!$A$6:$A$25,B71,ETFs!$K$6:$K$25,1)&lt;&gt;1,"",INDEX(ETFs!$G$6:$G$25,MATCH(B71,ETFs!$A$6:$A$25,0))))</f>
        <v/>
      </c>
      <c r="J71" s="60" t="str">
        <f t="shared" si="1"/>
        <v/>
      </c>
      <c r="K71" s="60" t="str">
        <f t="array" ref="K71">IF(OR(A71="",B71=""),"",IF(COUNTIFS(ETFs!$A$6:$A$25,B71,ETFs!$K$6:$K$25,1)&lt;&gt;1,0,IF(AND(J71=1,COUNTIFS(Companies!$A$6:$A$55,A71,Companies!$R$6:$R$55,1)=1,ISNUMBER(C71),C71&gt;=0,C71&lt;=1,ISNUMBER(D71),D71&gt;=0,ISNUMBER(I71),ABS(D71-C71*I71)&lt;=0.00000001*MAX(1,I71),ISNUMBER(E71),E71=INDEX(ETFs!$H$6:$H$25,MATCH(B71,ETFs!$A$6:$A$25,0)),G71="Yes",F71&lt;&gt;""),1,0)))</f>
        <v/>
      </c>
      <c r="L71" s="60" t="str">
        <f t="shared" si="2"/>
        <v/>
      </c>
    </row>
    <row r="72" ht="24.0" customHeight="1">
      <c r="A72" s="59"/>
      <c r="B72" s="59"/>
      <c r="C72" s="61"/>
      <c r="D72" s="56"/>
      <c r="E72" s="57"/>
      <c r="F72" s="59"/>
      <c r="G72" s="59"/>
      <c r="H72" s="60" t="str">
        <f t="array" ref="H72">IF(OR(A72="",B72=""),"",IF(COUNTIFS(ETFs!$A$6:$A$25,B72)&lt;&gt;1,"Unmatched ETF",INDEX(ETFs!$D$6:$D$25,MATCH(B72,ETFs!$A$6:$A$25,0))))</f>
        <v/>
      </c>
      <c r="I72" s="62" t="str">
        <f t="array" ref="I72">IF(OR(A72="",B72=""),"",IF(COUNTIFS(ETFs!$A$6:$A$25,B72,ETFs!$K$6:$K$25,1)&lt;&gt;1,"",INDEX(ETFs!$G$6:$G$25,MATCH(B72,ETFs!$A$6:$A$25,0))))</f>
        <v/>
      </c>
      <c r="J72" s="60" t="str">
        <f t="shared" si="1"/>
        <v/>
      </c>
      <c r="K72" s="60" t="str">
        <f t="array" ref="K72">IF(OR(A72="",B72=""),"",IF(COUNTIFS(ETFs!$A$6:$A$25,B72,ETFs!$K$6:$K$25,1)&lt;&gt;1,0,IF(AND(J72=1,COUNTIFS(Companies!$A$6:$A$55,A72,Companies!$R$6:$R$55,1)=1,ISNUMBER(C72),C72&gt;=0,C72&lt;=1,ISNUMBER(D72),D72&gt;=0,ISNUMBER(I72),ABS(D72-C72*I72)&lt;=0.00000001*MAX(1,I72),ISNUMBER(E72),E72=INDEX(ETFs!$H$6:$H$25,MATCH(B72,ETFs!$A$6:$A$25,0)),G72="Yes",F72&lt;&gt;""),1,0)))</f>
        <v/>
      </c>
      <c r="L72" s="60" t="str">
        <f t="shared" si="2"/>
        <v/>
      </c>
    </row>
    <row r="73" ht="24.0" customHeight="1">
      <c r="A73" s="59"/>
      <c r="B73" s="59"/>
      <c r="C73" s="61"/>
      <c r="D73" s="56"/>
      <c r="E73" s="57"/>
      <c r="F73" s="59"/>
      <c r="G73" s="59"/>
      <c r="H73" s="60" t="str">
        <f t="array" ref="H73">IF(OR(A73="",B73=""),"",IF(COUNTIFS(ETFs!$A$6:$A$25,B73)&lt;&gt;1,"Unmatched ETF",INDEX(ETFs!$D$6:$D$25,MATCH(B73,ETFs!$A$6:$A$25,0))))</f>
        <v/>
      </c>
      <c r="I73" s="62" t="str">
        <f t="array" ref="I73">IF(OR(A73="",B73=""),"",IF(COUNTIFS(ETFs!$A$6:$A$25,B73,ETFs!$K$6:$K$25,1)&lt;&gt;1,"",INDEX(ETFs!$G$6:$G$25,MATCH(B73,ETFs!$A$6:$A$25,0))))</f>
        <v/>
      </c>
      <c r="J73" s="60" t="str">
        <f t="shared" si="1"/>
        <v/>
      </c>
      <c r="K73" s="60" t="str">
        <f t="array" ref="K73">IF(OR(A73="",B73=""),"",IF(COUNTIFS(ETFs!$A$6:$A$25,B73,ETFs!$K$6:$K$25,1)&lt;&gt;1,0,IF(AND(J73=1,COUNTIFS(Companies!$A$6:$A$55,A73,Companies!$R$6:$R$55,1)=1,ISNUMBER(C73),C73&gt;=0,C73&lt;=1,ISNUMBER(D73),D73&gt;=0,ISNUMBER(I73),ABS(D73-C73*I73)&lt;=0.00000001*MAX(1,I73),ISNUMBER(E73),E73=INDEX(ETFs!$H$6:$H$25,MATCH(B73,ETFs!$A$6:$A$25,0)),G73="Yes",F73&lt;&gt;""),1,0)))</f>
        <v/>
      </c>
      <c r="L73" s="60" t="str">
        <f t="shared" si="2"/>
        <v/>
      </c>
    </row>
    <row r="74" ht="24.0" customHeight="1">
      <c r="A74" s="59"/>
      <c r="B74" s="59"/>
      <c r="C74" s="61"/>
      <c r="D74" s="56"/>
      <c r="E74" s="57"/>
      <c r="F74" s="59"/>
      <c r="G74" s="59"/>
      <c r="H74" s="60" t="str">
        <f t="array" ref="H74">IF(OR(A74="",B74=""),"",IF(COUNTIFS(ETFs!$A$6:$A$25,B74)&lt;&gt;1,"Unmatched ETF",INDEX(ETFs!$D$6:$D$25,MATCH(B74,ETFs!$A$6:$A$25,0))))</f>
        <v/>
      </c>
      <c r="I74" s="62" t="str">
        <f t="array" ref="I74">IF(OR(A74="",B74=""),"",IF(COUNTIFS(ETFs!$A$6:$A$25,B74,ETFs!$K$6:$K$25,1)&lt;&gt;1,"",INDEX(ETFs!$G$6:$G$25,MATCH(B74,ETFs!$A$6:$A$25,0))))</f>
        <v/>
      </c>
      <c r="J74" s="60" t="str">
        <f t="shared" si="1"/>
        <v/>
      </c>
      <c r="K74" s="60" t="str">
        <f t="array" ref="K74">IF(OR(A74="",B74=""),"",IF(COUNTIFS(ETFs!$A$6:$A$25,B74,ETFs!$K$6:$K$25,1)&lt;&gt;1,0,IF(AND(J74=1,COUNTIFS(Companies!$A$6:$A$55,A74,Companies!$R$6:$R$55,1)=1,ISNUMBER(C74),C74&gt;=0,C74&lt;=1,ISNUMBER(D74),D74&gt;=0,ISNUMBER(I74),ABS(D74-C74*I74)&lt;=0.00000001*MAX(1,I74),ISNUMBER(E74),E74=INDEX(ETFs!$H$6:$H$25,MATCH(B74,ETFs!$A$6:$A$25,0)),G74="Yes",F74&lt;&gt;""),1,0)))</f>
        <v/>
      </c>
      <c r="L74" s="60" t="str">
        <f t="shared" si="2"/>
        <v/>
      </c>
    </row>
    <row r="75" ht="24.0" customHeight="1">
      <c r="A75" s="59"/>
      <c r="B75" s="59"/>
      <c r="C75" s="61"/>
      <c r="D75" s="56"/>
      <c r="E75" s="57"/>
      <c r="F75" s="59"/>
      <c r="G75" s="59"/>
      <c r="H75" s="60" t="str">
        <f t="array" ref="H75">IF(OR(A75="",B75=""),"",IF(COUNTIFS(ETFs!$A$6:$A$25,B75)&lt;&gt;1,"Unmatched ETF",INDEX(ETFs!$D$6:$D$25,MATCH(B75,ETFs!$A$6:$A$25,0))))</f>
        <v/>
      </c>
      <c r="I75" s="62" t="str">
        <f t="array" ref="I75">IF(OR(A75="",B75=""),"",IF(COUNTIFS(ETFs!$A$6:$A$25,B75,ETFs!$K$6:$K$25,1)&lt;&gt;1,"",INDEX(ETFs!$G$6:$G$25,MATCH(B75,ETFs!$A$6:$A$25,0))))</f>
        <v/>
      </c>
      <c r="J75" s="60" t="str">
        <f t="shared" si="1"/>
        <v/>
      </c>
      <c r="K75" s="60" t="str">
        <f t="array" ref="K75">IF(OR(A75="",B75=""),"",IF(COUNTIFS(ETFs!$A$6:$A$25,B75,ETFs!$K$6:$K$25,1)&lt;&gt;1,0,IF(AND(J75=1,COUNTIFS(Companies!$A$6:$A$55,A75,Companies!$R$6:$R$55,1)=1,ISNUMBER(C75),C75&gt;=0,C75&lt;=1,ISNUMBER(D75),D75&gt;=0,ISNUMBER(I75),ABS(D75-C75*I75)&lt;=0.00000001*MAX(1,I75),ISNUMBER(E75),E75=INDEX(ETFs!$H$6:$H$25,MATCH(B75,ETFs!$A$6:$A$25,0)),G75="Yes",F75&lt;&gt;""),1,0)))</f>
        <v/>
      </c>
      <c r="L75" s="60" t="str">
        <f t="shared" si="2"/>
        <v/>
      </c>
    </row>
    <row r="76" ht="24.0" customHeight="1">
      <c r="A76" s="59"/>
      <c r="B76" s="59"/>
      <c r="C76" s="61"/>
      <c r="D76" s="56"/>
      <c r="E76" s="57"/>
      <c r="F76" s="59"/>
      <c r="G76" s="59"/>
      <c r="H76" s="60" t="str">
        <f t="array" ref="H76">IF(OR(A76="",B76=""),"",IF(COUNTIFS(ETFs!$A$6:$A$25,B76)&lt;&gt;1,"Unmatched ETF",INDEX(ETFs!$D$6:$D$25,MATCH(B76,ETFs!$A$6:$A$25,0))))</f>
        <v/>
      </c>
      <c r="I76" s="62" t="str">
        <f t="array" ref="I76">IF(OR(A76="",B76=""),"",IF(COUNTIFS(ETFs!$A$6:$A$25,B76,ETFs!$K$6:$K$25,1)&lt;&gt;1,"",INDEX(ETFs!$G$6:$G$25,MATCH(B76,ETFs!$A$6:$A$25,0))))</f>
        <v/>
      </c>
      <c r="J76" s="60" t="str">
        <f t="shared" si="1"/>
        <v/>
      </c>
      <c r="K76" s="60" t="str">
        <f t="array" ref="K76">IF(OR(A76="",B76=""),"",IF(COUNTIFS(ETFs!$A$6:$A$25,B76,ETFs!$K$6:$K$25,1)&lt;&gt;1,0,IF(AND(J76=1,COUNTIFS(Companies!$A$6:$A$55,A76,Companies!$R$6:$R$55,1)=1,ISNUMBER(C76),C76&gt;=0,C76&lt;=1,ISNUMBER(D76),D76&gt;=0,ISNUMBER(I76),ABS(D76-C76*I76)&lt;=0.00000001*MAX(1,I76),ISNUMBER(E76),E76=INDEX(ETFs!$H$6:$H$25,MATCH(B76,ETFs!$A$6:$A$25,0)),G76="Yes",F76&lt;&gt;""),1,0)))</f>
        <v/>
      </c>
      <c r="L76" s="60" t="str">
        <f t="shared" si="2"/>
        <v/>
      </c>
    </row>
    <row r="77" ht="24.0" customHeight="1">
      <c r="A77" s="59"/>
      <c r="B77" s="59"/>
      <c r="C77" s="61"/>
      <c r="D77" s="56"/>
      <c r="E77" s="57"/>
      <c r="F77" s="59"/>
      <c r="G77" s="59"/>
      <c r="H77" s="60" t="str">
        <f t="array" ref="H77">IF(OR(A77="",B77=""),"",IF(COUNTIFS(ETFs!$A$6:$A$25,B77)&lt;&gt;1,"Unmatched ETF",INDEX(ETFs!$D$6:$D$25,MATCH(B77,ETFs!$A$6:$A$25,0))))</f>
        <v/>
      </c>
      <c r="I77" s="62" t="str">
        <f t="array" ref="I77">IF(OR(A77="",B77=""),"",IF(COUNTIFS(ETFs!$A$6:$A$25,B77,ETFs!$K$6:$K$25,1)&lt;&gt;1,"",INDEX(ETFs!$G$6:$G$25,MATCH(B77,ETFs!$A$6:$A$25,0))))</f>
        <v/>
      </c>
      <c r="J77" s="60" t="str">
        <f t="shared" si="1"/>
        <v/>
      </c>
      <c r="K77" s="60" t="str">
        <f t="array" ref="K77">IF(OR(A77="",B77=""),"",IF(COUNTIFS(ETFs!$A$6:$A$25,B77,ETFs!$K$6:$K$25,1)&lt;&gt;1,0,IF(AND(J77=1,COUNTIFS(Companies!$A$6:$A$55,A77,Companies!$R$6:$R$55,1)=1,ISNUMBER(C77),C77&gt;=0,C77&lt;=1,ISNUMBER(D77),D77&gt;=0,ISNUMBER(I77),ABS(D77-C77*I77)&lt;=0.00000001*MAX(1,I77),ISNUMBER(E77),E77=INDEX(ETFs!$H$6:$H$25,MATCH(B77,ETFs!$A$6:$A$25,0)),G77="Yes",F77&lt;&gt;""),1,0)))</f>
        <v/>
      </c>
      <c r="L77" s="60" t="str">
        <f t="shared" si="2"/>
        <v/>
      </c>
    </row>
    <row r="78" ht="24.0" customHeight="1">
      <c r="A78" s="59"/>
      <c r="B78" s="59"/>
      <c r="C78" s="61"/>
      <c r="D78" s="56"/>
      <c r="E78" s="57"/>
      <c r="F78" s="59"/>
      <c r="G78" s="59"/>
      <c r="H78" s="60" t="str">
        <f t="array" ref="H78">IF(OR(A78="",B78=""),"",IF(COUNTIFS(ETFs!$A$6:$A$25,B78)&lt;&gt;1,"Unmatched ETF",INDEX(ETFs!$D$6:$D$25,MATCH(B78,ETFs!$A$6:$A$25,0))))</f>
        <v/>
      </c>
      <c r="I78" s="62" t="str">
        <f t="array" ref="I78">IF(OR(A78="",B78=""),"",IF(COUNTIFS(ETFs!$A$6:$A$25,B78,ETFs!$K$6:$K$25,1)&lt;&gt;1,"",INDEX(ETFs!$G$6:$G$25,MATCH(B78,ETFs!$A$6:$A$25,0))))</f>
        <v/>
      </c>
      <c r="J78" s="60" t="str">
        <f t="shared" si="1"/>
        <v/>
      </c>
      <c r="K78" s="60" t="str">
        <f t="array" ref="K78">IF(OR(A78="",B78=""),"",IF(COUNTIFS(ETFs!$A$6:$A$25,B78,ETFs!$K$6:$K$25,1)&lt;&gt;1,0,IF(AND(J78=1,COUNTIFS(Companies!$A$6:$A$55,A78,Companies!$R$6:$R$55,1)=1,ISNUMBER(C78),C78&gt;=0,C78&lt;=1,ISNUMBER(D78),D78&gt;=0,ISNUMBER(I78),ABS(D78-C78*I78)&lt;=0.00000001*MAX(1,I78),ISNUMBER(E78),E78=INDEX(ETFs!$H$6:$H$25,MATCH(B78,ETFs!$A$6:$A$25,0)),G78="Yes",F78&lt;&gt;""),1,0)))</f>
        <v/>
      </c>
      <c r="L78" s="60" t="str">
        <f t="shared" si="2"/>
        <v/>
      </c>
    </row>
    <row r="79" ht="24.0" customHeight="1">
      <c r="A79" s="59"/>
      <c r="B79" s="59"/>
      <c r="C79" s="61"/>
      <c r="D79" s="56"/>
      <c r="E79" s="57"/>
      <c r="F79" s="59"/>
      <c r="G79" s="59"/>
      <c r="H79" s="60" t="str">
        <f t="array" ref="H79">IF(OR(A79="",B79=""),"",IF(COUNTIFS(ETFs!$A$6:$A$25,B79)&lt;&gt;1,"Unmatched ETF",INDEX(ETFs!$D$6:$D$25,MATCH(B79,ETFs!$A$6:$A$25,0))))</f>
        <v/>
      </c>
      <c r="I79" s="62" t="str">
        <f t="array" ref="I79">IF(OR(A79="",B79=""),"",IF(COUNTIFS(ETFs!$A$6:$A$25,B79,ETFs!$K$6:$K$25,1)&lt;&gt;1,"",INDEX(ETFs!$G$6:$G$25,MATCH(B79,ETFs!$A$6:$A$25,0))))</f>
        <v/>
      </c>
      <c r="J79" s="60" t="str">
        <f t="shared" si="1"/>
        <v/>
      </c>
      <c r="K79" s="60" t="str">
        <f t="array" ref="K79">IF(OR(A79="",B79=""),"",IF(COUNTIFS(ETFs!$A$6:$A$25,B79,ETFs!$K$6:$K$25,1)&lt;&gt;1,0,IF(AND(J79=1,COUNTIFS(Companies!$A$6:$A$55,A79,Companies!$R$6:$R$55,1)=1,ISNUMBER(C79),C79&gt;=0,C79&lt;=1,ISNUMBER(D79),D79&gt;=0,ISNUMBER(I79),ABS(D79-C79*I79)&lt;=0.00000001*MAX(1,I79),ISNUMBER(E79),E79=INDEX(ETFs!$H$6:$H$25,MATCH(B79,ETFs!$A$6:$A$25,0)),G79="Yes",F79&lt;&gt;""),1,0)))</f>
        <v/>
      </c>
      <c r="L79" s="60" t="str">
        <f t="shared" si="2"/>
        <v/>
      </c>
    </row>
    <row r="80" ht="24.0" customHeight="1">
      <c r="A80" s="59"/>
      <c r="B80" s="59"/>
      <c r="C80" s="61"/>
      <c r="D80" s="56"/>
      <c r="E80" s="57"/>
      <c r="F80" s="59"/>
      <c r="G80" s="59"/>
      <c r="H80" s="60" t="str">
        <f t="array" ref="H80">IF(OR(A80="",B80=""),"",IF(COUNTIFS(ETFs!$A$6:$A$25,B80)&lt;&gt;1,"Unmatched ETF",INDEX(ETFs!$D$6:$D$25,MATCH(B80,ETFs!$A$6:$A$25,0))))</f>
        <v/>
      </c>
      <c r="I80" s="62" t="str">
        <f t="array" ref="I80">IF(OR(A80="",B80=""),"",IF(COUNTIFS(ETFs!$A$6:$A$25,B80,ETFs!$K$6:$K$25,1)&lt;&gt;1,"",INDEX(ETFs!$G$6:$G$25,MATCH(B80,ETFs!$A$6:$A$25,0))))</f>
        <v/>
      </c>
      <c r="J80" s="60" t="str">
        <f t="shared" si="1"/>
        <v/>
      </c>
      <c r="K80" s="60" t="str">
        <f t="array" ref="K80">IF(OR(A80="",B80=""),"",IF(COUNTIFS(ETFs!$A$6:$A$25,B80,ETFs!$K$6:$K$25,1)&lt;&gt;1,0,IF(AND(J80=1,COUNTIFS(Companies!$A$6:$A$55,A80,Companies!$R$6:$R$55,1)=1,ISNUMBER(C80),C80&gt;=0,C80&lt;=1,ISNUMBER(D80),D80&gt;=0,ISNUMBER(I80),ABS(D80-C80*I80)&lt;=0.00000001*MAX(1,I80),ISNUMBER(E80),E80=INDEX(ETFs!$H$6:$H$25,MATCH(B80,ETFs!$A$6:$A$25,0)),G80="Yes",F80&lt;&gt;""),1,0)))</f>
        <v/>
      </c>
      <c r="L80" s="60" t="str">
        <f t="shared" si="2"/>
        <v/>
      </c>
    </row>
    <row r="81" ht="24.0" customHeight="1">
      <c r="A81" s="59"/>
      <c r="B81" s="59"/>
      <c r="C81" s="61"/>
      <c r="D81" s="56"/>
      <c r="E81" s="57"/>
      <c r="F81" s="59"/>
      <c r="G81" s="59"/>
      <c r="H81" s="60" t="str">
        <f t="array" ref="H81">IF(OR(A81="",B81=""),"",IF(COUNTIFS(ETFs!$A$6:$A$25,B81)&lt;&gt;1,"Unmatched ETF",INDEX(ETFs!$D$6:$D$25,MATCH(B81,ETFs!$A$6:$A$25,0))))</f>
        <v/>
      </c>
      <c r="I81" s="62" t="str">
        <f t="array" ref="I81">IF(OR(A81="",B81=""),"",IF(COUNTIFS(ETFs!$A$6:$A$25,B81,ETFs!$K$6:$K$25,1)&lt;&gt;1,"",INDEX(ETFs!$G$6:$G$25,MATCH(B81,ETFs!$A$6:$A$25,0))))</f>
        <v/>
      </c>
      <c r="J81" s="60" t="str">
        <f t="shared" si="1"/>
        <v/>
      </c>
      <c r="K81" s="60" t="str">
        <f t="array" ref="K81">IF(OR(A81="",B81=""),"",IF(COUNTIFS(ETFs!$A$6:$A$25,B81,ETFs!$K$6:$K$25,1)&lt;&gt;1,0,IF(AND(J81=1,COUNTIFS(Companies!$A$6:$A$55,A81,Companies!$R$6:$R$55,1)=1,ISNUMBER(C81),C81&gt;=0,C81&lt;=1,ISNUMBER(D81),D81&gt;=0,ISNUMBER(I81),ABS(D81-C81*I81)&lt;=0.00000001*MAX(1,I81),ISNUMBER(E81),E81=INDEX(ETFs!$H$6:$H$25,MATCH(B81,ETFs!$A$6:$A$25,0)),G81="Yes",F81&lt;&gt;""),1,0)))</f>
        <v/>
      </c>
      <c r="L81" s="60" t="str">
        <f t="shared" si="2"/>
        <v/>
      </c>
    </row>
    <row r="82" ht="24.0" customHeight="1">
      <c r="A82" s="59"/>
      <c r="B82" s="59"/>
      <c r="C82" s="61"/>
      <c r="D82" s="56"/>
      <c r="E82" s="57"/>
      <c r="F82" s="59"/>
      <c r="G82" s="59"/>
      <c r="H82" s="60" t="str">
        <f t="array" ref="H82">IF(OR(A82="",B82=""),"",IF(COUNTIFS(ETFs!$A$6:$A$25,B82)&lt;&gt;1,"Unmatched ETF",INDEX(ETFs!$D$6:$D$25,MATCH(B82,ETFs!$A$6:$A$25,0))))</f>
        <v/>
      </c>
      <c r="I82" s="62" t="str">
        <f t="array" ref="I82">IF(OR(A82="",B82=""),"",IF(COUNTIFS(ETFs!$A$6:$A$25,B82,ETFs!$K$6:$K$25,1)&lt;&gt;1,"",INDEX(ETFs!$G$6:$G$25,MATCH(B82,ETFs!$A$6:$A$25,0))))</f>
        <v/>
      </c>
      <c r="J82" s="60" t="str">
        <f t="shared" si="1"/>
        <v/>
      </c>
      <c r="K82" s="60" t="str">
        <f t="array" ref="K82">IF(OR(A82="",B82=""),"",IF(COUNTIFS(ETFs!$A$6:$A$25,B82,ETFs!$K$6:$K$25,1)&lt;&gt;1,0,IF(AND(J82=1,COUNTIFS(Companies!$A$6:$A$55,A82,Companies!$R$6:$R$55,1)=1,ISNUMBER(C82),C82&gt;=0,C82&lt;=1,ISNUMBER(D82),D82&gt;=0,ISNUMBER(I82),ABS(D82-C82*I82)&lt;=0.00000001*MAX(1,I82),ISNUMBER(E82),E82=INDEX(ETFs!$H$6:$H$25,MATCH(B82,ETFs!$A$6:$A$25,0)),G82="Yes",F82&lt;&gt;""),1,0)))</f>
        <v/>
      </c>
      <c r="L82" s="60" t="str">
        <f t="shared" si="2"/>
        <v/>
      </c>
    </row>
    <row r="83" ht="24.0" customHeight="1">
      <c r="A83" s="59"/>
      <c r="B83" s="59"/>
      <c r="C83" s="61"/>
      <c r="D83" s="56"/>
      <c r="E83" s="57"/>
      <c r="F83" s="59"/>
      <c r="G83" s="59"/>
      <c r="H83" s="60" t="str">
        <f t="array" ref="H83">IF(OR(A83="",B83=""),"",IF(COUNTIFS(ETFs!$A$6:$A$25,B83)&lt;&gt;1,"Unmatched ETF",INDEX(ETFs!$D$6:$D$25,MATCH(B83,ETFs!$A$6:$A$25,0))))</f>
        <v/>
      </c>
      <c r="I83" s="62" t="str">
        <f t="array" ref="I83">IF(OR(A83="",B83=""),"",IF(COUNTIFS(ETFs!$A$6:$A$25,B83,ETFs!$K$6:$K$25,1)&lt;&gt;1,"",INDEX(ETFs!$G$6:$G$25,MATCH(B83,ETFs!$A$6:$A$25,0))))</f>
        <v/>
      </c>
      <c r="J83" s="60" t="str">
        <f t="shared" si="1"/>
        <v/>
      </c>
      <c r="K83" s="60" t="str">
        <f t="array" ref="K83">IF(OR(A83="",B83=""),"",IF(COUNTIFS(ETFs!$A$6:$A$25,B83,ETFs!$K$6:$K$25,1)&lt;&gt;1,0,IF(AND(J83=1,COUNTIFS(Companies!$A$6:$A$55,A83,Companies!$R$6:$R$55,1)=1,ISNUMBER(C83),C83&gt;=0,C83&lt;=1,ISNUMBER(D83),D83&gt;=0,ISNUMBER(I83),ABS(D83-C83*I83)&lt;=0.00000001*MAX(1,I83),ISNUMBER(E83),E83=INDEX(ETFs!$H$6:$H$25,MATCH(B83,ETFs!$A$6:$A$25,0)),G83="Yes",F83&lt;&gt;""),1,0)))</f>
        <v/>
      </c>
      <c r="L83" s="60" t="str">
        <f t="shared" si="2"/>
        <v/>
      </c>
    </row>
    <row r="84" ht="24.0" customHeight="1">
      <c r="A84" s="59"/>
      <c r="B84" s="59"/>
      <c r="C84" s="61"/>
      <c r="D84" s="56"/>
      <c r="E84" s="57"/>
      <c r="F84" s="59"/>
      <c r="G84" s="59"/>
      <c r="H84" s="60" t="str">
        <f t="array" ref="H84">IF(OR(A84="",B84=""),"",IF(COUNTIFS(ETFs!$A$6:$A$25,B84)&lt;&gt;1,"Unmatched ETF",INDEX(ETFs!$D$6:$D$25,MATCH(B84,ETFs!$A$6:$A$25,0))))</f>
        <v/>
      </c>
      <c r="I84" s="62" t="str">
        <f t="array" ref="I84">IF(OR(A84="",B84=""),"",IF(COUNTIFS(ETFs!$A$6:$A$25,B84,ETFs!$K$6:$K$25,1)&lt;&gt;1,"",INDEX(ETFs!$G$6:$G$25,MATCH(B84,ETFs!$A$6:$A$25,0))))</f>
        <v/>
      </c>
      <c r="J84" s="60" t="str">
        <f t="shared" si="1"/>
        <v/>
      </c>
      <c r="K84" s="60" t="str">
        <f t="array" ref="K84">IF(OR(A84="",B84=""),"",IF(COUNTIFS(ETFs!$A$6:$A$25,B84,ETFs!$K$6:$K$25,1)&lt;&gt;1,0,IF(AND(J84=1,COUNTIFS(Companies!$A$6:$A$55,A84,Companies!$R$6:$R$55,1)=1,ISNUMBER(C84),C84&gt;=0,C84&lt;=1,ISNUMBER(D84),D84&gt;=0,ISNUMBER(I84),ABS(D84-C84*I84)&lt;=0.00000001*MAX(1,I84),ISNUMBER(E84),E84=INDEX(ETFs!$H$6:$H$25,MATCH(B84,ETFs!$A$6:$A$25,0)),G84="Yes",F84&lt;&gt;""),1,0)))</f>
        <v/>
      </c>
      <c r="L84" s="60" t="str">
        <f t="shared" si="2"/>
        <v/>
      </c>
    </row>
    <row r="85" ht="24.0" customHeight="1">
      <c r="A85" s="59"/>
      <c r="B85" s="59"/>
      <c r="C85" s="61"/>
      <c r="D85" s="56"/>
      <c r="E85" s="57"/>
      <c r="F85" s="59"/>
      <c r="G85" s="59"/>
      <c r="H85" s="60" t="str">
        <f t="array" ref="H85">IF(OR(A85="",B85=""),"",IF(COUNTIFS(ETFs!$A$6:$A$25,B85)&lt;&gt;1,"Unmatched ETF",INDEX(ETFs!$D$6:$D$25,MATCH(B85,ETFs!$A$6:$A$25,0))))</f>
        <v/>
      </c>
      <c r="I85" s="62" t="str">
        <f t="array" ref="I85">IF(OR(A85="",B85=""),"",IF(COUNTIFS(ETFs!$A$6:$A$25,B85,ETFs!$K$6:$K$25,1)&lt;&gt;1,"",INDEX(ETFs!$G$6:$G$25,MATCH(B85,ETFs!$A$6:$A$25,0))))</f>
        <v/>
      </c>
      <c r="J85" s="60" t="str">
        <f t="shared" si="1"/>
        <v/>
      </c>
      <c r="K85" s="60" t="str">
        <f t="array" ref="K85">IF(OR(A85="",B85=""),"",IF(COUNTIFS(ETFs!$A$6:$A$25,B85,ETFs!$K$6:$K$25,1)&lt;&gt;1,0,IF(AND(J85=1,COUNTIFS(Companies!$A$6:$A$55,A85,Companies!$R$6:$R$55,1)=1,ISNUMBER(C85),C85&gt;=0,C85&lt;=1,ISNUMBER(D85),D85&gt;=0,ISNUMBER(I85),ABS(D85-C85*I85)&lt;=0.00000001*MAX(1,I85),ISNUMBER(E85),E85=INDEX(ETFs!$H$6:$H$25,MATCH(B85,ETFs!$A$6:$A$25,0)),G85="Yes",F85&lt;&gt;""),1,0)))</f>
        <v/>
      </c>
      <c r="L85" s="60" t="str">
        <f t="shared" si="2"/>
        <v/>
      </c>
    </row>
    <row r="86" ht="24.0" customHeight="1">
      <c r="A86" s="59"/>
      <c r="B86" s="59"/>
      <c r="C86" s="61"/>
      <c r="D86" s="56"/>
      <c r="E86" s="57"/>
      <c r="F86" s="59"/>
      <c r="G86" s="59"/>
      <c r="H86" s="60" t="str">
        <f t="array" ref="H86">IF(OR(A86="",B86=""),"",IF(COUNTIFS(ETFs!$A$6:$A$25,B86)&lt;&gt;1,"Unmatched ETF",INDEX(ETFs!$D$6:$D$25,MATCH(B86,ETFs!$A$6:$A$25,0))))</f>
        <v/>
      </c>
      <c r="I86" s="62" t="str">
        <f t="array" ref="I86">IF(OR(A86="",B86=""),"",IF(COUNTIFS(ETFs!$A$6:$A$25,B86,ETFs!$K$6:$K$25,1)&lt;&gt;1,"",INDEX(ETFs!$G$6:$G$25,MATCH(B86,ETFs!$A$6:$A$25,0))))</f>
        <v/>
      </c>
      <c r="J86" s="60" t="str">
        <f t="shared" si="1"/>
        <v/>
      </c>
      <c r="K86" s="60" t="str">
        <f t="array" ref="K86">IF(OR(A86="",B86=""),"",IF(COUNTIFS(ETFs!$A$6:$A$25,B86,ETFs!$K$6:$K$25,1)&lt;&gt;1,0,IF(AND(J86=1,COUNTIFS(Companies!$A$6:$A$55,A86,Companies!$R$6:$R$55,1)=1,ISNUMBER(C86),C86&gt;=0,C86&lt;=1,ISNUMBER(D86),D86&gt;=0,ISNUMBER(I86),ABS(D86-C86*I86)&lt;=0.00000001*MAX(1,I86),ISNUMBER(E86),E86=INDEX(ETFs!$H$6:$H$25,MATCH(B86,ETFs!$A$6:$A$25,0)),G86="Yes",F86&lt;&gt;""),1,0)))</f>
        <v/>
      </c>
      <c r="L86" s="60" t="str">
        <f t="shared" si="2"/>
        <v/>
      </c>
    </row>
    <row r="87" ht="24.0" customHeight="1">
      <c r="A87" s="59"/>
      <c r="B87" s="59"/>
      <c r="C87" s="61"/>
      <c r="D87" s="56"/>
      <c r="E87" s="57"/>
      <c r="F87" s="59"/>
      <c r="G87" s="59"/>
      <c r="H87" s="60" t="str">
        <f t="array" ref="H87">IF(OR(A87="",B87=""),"",IF(COUNTIFS(ETFs!$A$6:$A$25,B87)&lt;&gt;1,"Unmatched ETF",INDEX(ETFs!$D$6:$D$25,MATCH(B87,ETFs!$A$6:$A$25,0))))</f>
        <v/>
      </c>
      <c r="I87" s="62" t="str">
        <f t="array" ref="I87">IF(OR(A87="",B87=""),"",IF(COUNTIFS(ETFs!$A$6:$A$25,B87,ETFs!$K$6:$K$25,1)&lt;&gt;1,"",INDEX(ETFs!$G$6:$G$25,MATCH(B87,ETFs!$A$6:$A$25,0))))</f>
        <v/>
      </c>
      <c r="J87" s="60" t="str">
        <f t="shared" si="1"/>
        <v/>
      </c>
      <c r="K87" s="60" t="str">
        <f t="array" ref="K87">IF(OR(A87="",B87=""),"",IF(COUNTIFS(ETFs!$A$6:$A$25,B87,ETFs!$K$6:$K$25,1)&lt;&gt;1,0,IF(AND(J87=1,COUNTIFS(Companies!$A$6:$A$55,A87,Companies!$R$6:$R$55,1)=1,ISNUMBER(C87),C87&gt;=0,C87&lt;=1,ISNUMBER(D87),D87&gt;=0,ISNUMBER(I87),ABS(D87-C87*I87)&lt;=0.00000001*MAX(1,I87),ISNUMBER(E87),E87=INDEX(ETFs!$H$6:$H$25,MATCH(B87,ETFs!$A$6:$A$25,0)),G87="Yes",F87&lt;&gt;""),1,0)))</f>
        <v/>
      </c>
      <c r="L87" s="60" t="str">
        <f t="shared" si="2"/>
        <v/>
      </c>
    </row>
    <row r="88" ht="24.0" customHeight="1">
      <c r="A88" s="59"/>
      <c r="B88" s="59"/>
      <c r="C88" s="61"/>
      <c r="D88" s="56"/>
      <c r="E88" s="57"/>
      <c r="F88" s="59"/>
      <c r="G88" s="59"/>
      <c r="H88" s="60" t="str">
        <f t="array" ref="H88">IF(OR(A88="",B88=""),"",IF(COUNTIFS(ETFs!$A$6:$A$25,B88)&lt;&gt;1,"Unmatched ETF",INDEX(ETFs!$D$6:$D$25,MATCH(B88,ETFs!$A$6:$A$25,0))))</f>
        <v/>
      </c>
      <c r="I88" s="62" t="str">
        <f t="array" ref="I88">IF(OR(A88="",B88=""),"",IF(COUNTIFS(ETFs!$A$6:$A$25,B88,ETFs!$K$6:$K$25,1)&lt;&gt;1,"",INDEX(ETFs!$G$6:$G$25,MATCH(B88,ETFs!$A$6:$A$25,0))))</f>
        <v/>
      </c>
      <c r="J88" s="60" t="str">
        <f t="shared" si="1"/>
        <v/>
      </c>
      <c r="K88" s="60" t="str">
        <f t="array" ref="K88">IF(OR(A88="",B88=""),"",IF(COUNTIFS(ETFs!$A$6:$A$25,B88,ETFs!$K$6:$K$25,1)&lt;&gt;1,0,IF(AND(J88=1,COUNTIFS(Companies!$A$6:$A$55,A88,Companies!$R$6:$R$55,1)=1,ISNUMBER(C88),C88&gt;=0,C88&lt;=1,ISNUMBER(D88),D88&gt;=0,ISNUMBER(I88),ABS(D88-C88*I88)&lt;=0.00000001*MAX(1,I88),ISNUMBER(E88),E88=INDEX(ETFs!$H$6:$H$25,MATCH(B88,ETFs!$A$6:$A$25,0)),G88="Yes",F88&lt;&gt;""),1,0)))</f>
        <v/>
      </c>
      <c r="L88" s="60" t="str">
        <f t="shared" si="2"/>
        <v/>
      </c>
    </row>
    <row r="89" ht="24.0" customHeight="1">
      <c r="A89" s="59"/>
      <c r="B89" s="59"/>
      <c r="C89" s="61"/>
      <c r="D89" s="56"/>
      <c r="E89" s="57"/>
      <c r="F89" s="59"/>
      <c r="G89" s="59"/>
      <c r="H89" s="60" t="str">
        <f t="array" ref="H89">IF(OR(A89="",B89=""),"",IF(COUNTIFS(ETFs!$A$6:$A$25,B89)&lt;&gt;1,"Unmatched ETF",INDEX(ETFs!$D$6:$D$25,MATCH(B89,ETFs!$A$6:$A$25,0))))</f>
        <v/>
      </c>
      <c r="I89" s="62" t="str">
        <f t="array" ref="I89">IF(OR(A89="",B89=""),"",IF(COUNTIFS(ETFs!$A$6:$A$25,B89,ETFs!$K$6:$K$25,1)&lt;&gt;1,"",INDEX(ETFs!$G$6:$G$25,MATCH(B89,ETFs!$A$6:$A$25,0))))</f>
        <v/>
      </c>
      <c r="J89" s="60" t="str">
        <f t="shared" si="1"/>
        <v/>
      </c>
      <c r="K89" s="60" t="str">
        <f t="array" ref="K89">IF(OR(A89="",B89=""),"",IF(COUNTIFS(ETFs!$A$6:$A$25,B89,ETFs!$K$6:$K$25,1)&lt;&gt;1,0,IF(AND(J89=1,COUNTIFS(Companies!$A$6:$A$55,A89,Companies!$R$6:$R$55,1)=1,ISNUMBER(C89),C89&gt;=0,C89&lt;=1,ISNUMBER(D89),D89&gt;=0,ISNUMBER(I89),ABS(D89-C89*I89)&lt;=0.00000001*MAX(1,I89),ISNUMBER(E89),E89=INDEX(ETFs!$H$6:$H$25,MATCH(B89,ETFs!$A$6:$A$25,0)),G89="Yes",F89&lt;&gt;""),1,0)))</f>
        <v/>
      </c>
      <c r="L89" s="60" t="str">
        <f t="shared" si="2"/>
        <v/>
      </c>
    </row>
    <row r="90" ht="24.0" customHeight="1">
      <c r="A90" s="59"/>
      <c r="B90" s="59"/>
      <c r="C90" s="61"/>
      <c r="D90" s="56"/>
      <c r="E90" s="57"/>
      <c r="F90" s="59"/>
      <c r="G90" s="59"/>
      <c r="H90" s="60" t="str">
        <f t="array" ref="H90">IF(OR(A90="",B90=""),"",IF(COUNTIFS(ETFs!$A$6:$A$25,B90)&lt;&gt;1,"Unmatched ETF",INDEX(ETFs!$D$6:$D$25,MATCH(B90,ETFs!$A$6:$A$25,0))))</f>
        <v/>
      </c>
      <c r="I90" s="62" t="str">
        <f t="array" ref="I90">IF(OR(A90="",B90=""),"",IF(COUNTIFS(ETFs!$A$6:$A$25,B90,ETFs!$K$6:$K$25,1)&lt;&gt;1,"",INDEX(ETFs!$G$6:$G$25,MATCH(B90,ETFs!$A$6:$A$25,0))))</f>
        <v/>
      </c>
      <c r="J90" s="60" t="str">
        <f t="shared" si="1"/>
        <v/>
      </c>
      <c r="K90" s="60" t="str">
        <f t="array" ref="K90">IF(OR(A90="",B90=""),"",IF(COUNTIFS(ETFs!$A$6:$A$25,B90,ETFs!$K$6:$K$25,1)&lt;&gt;1,0,IF(AND(J90=1,COUNTIFS(Companies!$A$6:$A$55,A90,Companies!$R$6:$R$55,1)=1,ISNUMBER(C90),C90&gt;=0,C90&lt;=1,ISNUMBER(D90),D90&gt;=0,ISNUMBER(I90),ABS(D90-C90*I90)&lt;=0.00000001*MAX(1,I90),ISNUMBER(E90),E90=INDEX(ETFs!$H$6:$H$25,MATCH(B90,ETFs!$A$6:$A$25,0)),G90="Yes",F90&lt;&gt;""),1,0)))</f>
        <v/>
      </c>
      <c r="L90" s="60" t="str">
        <f t="shared" si="2"/>
        <v/>
      </c>
    </row>
    <row r="91" ht="24.0" customHeight="1">
      <c r="A91" s="59"/>
      <c r="B91" s="59"/>
      <c r="C91" s="61"/>
      <c r="D91" s="56"/>
      <c r="E91" s="57"/>
      <c r="F91" s="59"/>
      <c r="G91" s="59"/>
      <c r="H91" s="60" t="str">
        <f t="array" ref="H91">IF(OR(A91="",B91=""),"",IF(COUNTIFS(ETFs!$A$6:$A$25,B91)&lt;&gt;1,"Unmatched ETF",INDEX(ETFs!$D$6:$D$25,MATCH(B91,ETFs!$A$6:$A$25,0))))</f>
        <v/>
      </c>
      <c r="I91" s="62" t="str">
        <f t="array" ref="I91">IF(OR(A91="",B91=""),"",IF(COUNTIFS(ETFs!$A$6:$A$25,B91,ETFs!$K$6:$K$25,1)&lt;&gt;1,"",INDEX(ETFs!$G$6:$G$25,MATCH(B91,ETFs!$A$6:$A$25,0))))</f>
        <v/>
      </c>
      <c r="J91" s="60" t="str">
        <f t="shared" si="1"/>
        <v/>
      </c>
      <c r="K91" s="60" t="str">
        <f t="array" ref="K91">IF(OR(A91="",B91=""),"",IF(COUNTIFS(ETFs!$A$6:$A$25,B91,ETFs!$K$6:$K$25,1)&lt;&gt;1,0,IF(AND(J91=1,COUNTIFS(Companies!$A$6:$A$55,A91,Companies!$R$6:$R$55,1)=1,ISNUMBER(C91),C91&gt;=0,C91&lt;=1,ISNUMBER(D91),D91&gt;=0,ISNUMBER(I91),ABS(D91-C91*I91)&lt;=0.00000001*MAX(1,I91),ISNUMBER(E91),E91=INDEX(ETFs!$H$6:$H$25,MATCH(B91,ETFs!$A$6:$A$25,0)),G91="Yes",F91&lt;&gt;""),1,0)))</f>
        <v/>
      </c>
      <c r="L91" s="60" t="str">
        <f t="shared" si="2"/>
        <v/>
      </c>
    </row>
    <row r="92" ht="24.0" customHeight="1">
      <c r="A92" s="59"/>
      <c r="B92" s="59"/>
      <c r="C92" s="61"/>
      <c r="D92" s="56"/>
      <c r="E92" s="57"/>
      <c r="F92" s="59"/>
      <c r="G92" s="59"/>
      <c r="H92" s="60" t="str">
        <f t="array" ref="H92">IF(OR(A92="",B92=""),"",IF(COUNTIFS(ETFs!$A$6:$A$25,B92)&lt;&gt;1,"Unmatched ETF",INDEX(ETFs!$D$6:$D$25,MATCH(B92,ETFs!$A$6:$A$25,0))))</f>
        <v/>
      </c>
      <c r="I92" s="62" t="str">
        <f t="array" ref="I92">IF(OR(A92="",B92=""),"",IF(COUNTIFS(ETFs!$A$6:$A$25,B92,ETFs!$K$6:$K$25,1)&lt;&gt;1,"",INDEX(ETFs!$G$6:$G$25,MATCH(B92,ETFs!$A$6:$A$25,0))))</f>
        <v/>
      </c>
      <c r="J92" s="60" t="str">
        <f t="shared" si="1"/>
        <v/>
      </c>
      <c r="K92" s="60" t="str">
        <f t="array" ref="K92">IF(OR(A92="",B92=""),"",IF(COUNTIFS(ETFs!$A$6:$A$25,B92,ETFs!$K$6:$K$25,1)&lt;&gt;1,0,IF(AND(J92=1,COUNTIFS(Companies!$A$6:$A$55,A92,Companies!$R$6:$R$55,1)=1,ISNUMBER(C92),C92&gt;=0,C92&lt;=1,ISNUMBER(D92),D92&gt;=0,ISNUMBER(I92),ABS(D92-C92*I92)&lt;=0.00000001*MAX(1,I92),ISNUMBER(E92),E92=INDEX(ETFs!$H$6:$H$25,MATCH(B92,ETFs!$A$6:$A$25,0)),G92="Yes",F92&lt;&gt;""),1,0)))</f>
        <v/>
      </c>
      <c r="L92" s="60" t="str">
        <f t="shared" si="2"/>
        <v/>
      </c>
    </row>
    <row r="93" ht="24.0" customHeight="1">
      <c r="A93" s="59"/>
      <c r="B93" s="59"/>
      <c r="C93" s="61"/>
      <c r="D93" s="56"/>
      <c r="E93" s="57"/>
      <c r="F93" s="59"/>
      <c r="G93" s="59"/>
      <c r="H93" s="60" t="str">
        <f t="array" ref="H93">IF(OR(A93="",B93=""),"",IF(COUNTIFS(ETFs!$A$6:$A$25,B93)&lt;&gt;1,"Unmatched ETF",INDEX(ETFs!$D$6:$D$25,MATCH(B93,ETFs!$A$6:$A$25,0))))</f>
        <v/>
      </c>
      <c r="I93" s="62" t="str">
        <f t="array" ref="I93">IF(OR(A93="",B93=""),"",IF(COUNTIFS(ETFs!$A$6:$A$25,B93,ETFs!$K$6:$K$25,1)&lt;&gt;1,"",INDEX(ETFs!$G$6:$G$25,MATCH(B93,ETFs!$A$6:$A$25,0))))</f>
        <v/>
      </c>
      <c r="J93" s="60" t="str">
        <f t="shared" si="1"/>
        <v/>
      </c>
      <c r="K93" s="60" t="str">
        <f t="array" ref="K93">IF(OR(A93="",B93=""),"",IF(COUNTIFS(ETFs!$A$6:$A$25,B93,ETFs!$K$6:$K$25,1)&lt;&gt;1,0,IF(AND(J93=1,COUNTIFS(Companies!$A$6:$A$55,A93,Companies!$R$6:$R$55,1)=1,ISNUMBER(C93),C93&gt;=0,C93&lt;=1,ISNUMBER(D93),D93&gt;=0,ISNUMBER(I93),ABS(D93-C93*I93)&lt;=0.00000001*MAX(1,I93),ISNUMBER(E93),E93=INDEX(ETFs!$H$6:$H$25,MATCH(B93,ETFs!$A$6:$A$25,0)),G93="Yes",F93&lt;&gt;""),1,0)))</f>
        <v/>
      </c>
      <c r="L93" s="60" t="str">
        <f t="shared" si="2"/>
        <v/>
      </c>
    </row>
    <row r="94" ht="24.0" customHeight="1">
      <c r="A94" s="59"/>
      <c r="B94" s="59"/>
      <c r="C94" s="61"/>
      <c r="D94" s="56"/>
      <c r="E94" s="57"/>
      <c r="F94" s="59"/>
      <c r="G94" s="59"/>
      <c r="H94" s="60" t="str">
        <f t="array" ref="H94">IF(OR(A94="",B94=""),"",IF(COUNTIFS(ETFs!$A$6:$A$25,B94)&lt;&gt;1,"Unmatched ETF",INDEX(ETFs!$D$6:$D$25,MATCH(B94,ETFs!$A$6:$A$25,0))))</f>
        <v/>
      </c>
      <c r="I94" s="62" t="str">
        <f t="array" ref="I94">IF(OR(A94="",B94=""),"",IF(COUNTIFS(ETFs!$A$6:$A$25,B94,ETFs!$K$6:$K$25,1)&lt;&gt;1,"",INDEX(ETFs!$G$6:$G$25,MATCH(B94,ETFs!$A$6:$A$25,0))))</f>
        <v/>
      </c>
      <c r="J94" s="60" t="str">
        <f t="shared" si="1"/>
        <v/>
      </c>
      <c r="K94" s="60" t="str">
        <f t="array" ref="K94">IF(OR(A94="",B94=""),"",IF(COUNTIFS(ETFs!$A$6:$A$25,B94,ETFs!$K$6:$K$25,1)&lt;&gt;1,0,IF(AND(J94=1,COUNTIFS(Companies!$A$6:$A$55,A94,Companies!$R$6:$R$55,1)=1,ISNUMBER(C94),C94&gt;=0,C94&lt;=1,ISNUMBER(D94),D94&gt;=0,ISNUMBER(I94),ABS(D94-C94*I94)&lt;=0.00000001*MAX(1,I94),ISNUMBER(E94),E94=INDEX(ETFs!$H$6:$H$25,MATCH(B94,ETFs!$A$6:$A$25,0)),G94="Yes",F94&lt;&gt;""),1,0)))</f>
        <v/>
      </c>
      <c r="L94" s="60" t="str">
        <f t="shared" si="2"/>
        <v/>
      </c>
    </row>
    <row r="95" ht="24.0" customHeight="1">
      <c r="A95" s="59"/>
      <c r="B95" s="59"/>
      <c r="C95" s="61"/>
      <c r="D95" s="56"/>
      <c r="E95" s="57"/>
      <c r="F95" s="59"/>
      <c r="G95" s="59"/>
      <c r="H95" s="60" t="str">
        <f t="array" ref="H95">IF(OR(A95="",B95=""),"",IF(COUNTIFS(ETFs!$A$6:$A$25,B95)&lt;&gt;1,"Unmatched ETF",INDEX(ETFs!$D$6:$D$25,MATCH(B95,ETFs!$A$6:$A$25,0))))</f>
        <v/>
      </c>
      <c r="I95" s="62" t="str">
        <f t="array" ref="I95">IF(OR(A95="",B95=""),"",IF(COUNTIFS(ETFs!$A$6:$A$25,B95,ETFs!$K$6:$K$25,1)&lt;&gt;1,"",INDEX(ETFs!$G$6:$G$25,MATCH(B95,ETFs!$A$6:$A$25,0))))</f>
        <v/>
      </c>
      <c r="J95" s="60" t="str">
        <f t="shared" si="1"/>
        <v/>
      </c>
      <c r="K95" s="60" t="str">
        <f t="array" ref="K95">IF(OR(A95="",B95=""),"",IF(COUNTIFS(ETFs!$A$6:$A$25,B95,ETFs!$K$6:$K$25,1)&lt;&gt;1,0,IF(AND(J95=1,COUNTIFS(Companies!$A$6:$A$55,A95,Companies!$R$6:$R$55,1)=1,ISNUMBER(C95),C95&gt;=0,C95&lt;=1,ISNUMBER(D95),D95&gt;=0,ISNUMBER(I95),ABS(D95-C95*I95)&lt;=0.00000001*MAX(1,I95),ISNUMBER(E95),E95=INDEX(ETFs!$H$6:$H$25,MATCH(B95,ETFs!$A$6:$A$25,0)),G95="Yes",F95&lt;&gt;""),1,0)))</f>
        <v/>
      </c>
      <c r="L95" s="60" t="str">
        <f t="shared" si="2"/>
        <v/>
      </c>
    </row>
    <row r="96" ht="24.0" customHeight="1">
      <c r="A96" s="59"/>
      <c r="B96" s="59"/>
      <c r="C96" s="61"/>
      <c r="D96" s="56"/>
      <c r="E96" s="57"/>
      <c r="F96" s="59"/>
      <c r="G96" s="59"/>
      <c r="H96" s="60" t="str">
        <f t="array" ref="H96">IF(OR(A96="",B96=""),"",IF(COUNTIFS(ETFs!$A$6:$A$25,B96)&lt;&gt;1,"Unmatched ETF",INDEX(ETFs!$D$6:$D$25,MATCH(B96,ETFs!$A$6:$A$25,0))))</f>
        <v/>
      </c>
      <c r="I96" s="62" t="str">
        <f t="array" ref="I96">IF(OR(A96="",B96=""),"",IF(COUNTIFS(ETFs!$A$6:$A$25,B96,ETFs!$K$6:$K$25,1)&lt;&gt;1,"",INDEX(ETFs!$G$6:$G$25,MATCH(B96,ETFs!$A$6:$A$25,0))))</f>
        <v/>
      </c>
      <c r="J96" s="60" t="str">
        <f t="shared" si="1"/>
        <v/>
      </c>
      <c r="K96" s="60" t="str">
        <f t="array" ref="K96">IF(OR(A96="",B96=""),"",IF(COUNTIFS(ETFs!$A$6:$A$25,B96,ETFs!$K$6:$K$25,1)&lt;&gt;1,0,IF(AND(J96=1,COUNTIFS(Companies!$A$6:$A$55,A96,Companies!$R$6:$R$55,1)=1,ISNUMBER(C96),C96&gt;=0,C96&lt;=1,ISNUMBER(D96),D96&gt;=0,ISNUMBER(I96),ABS(D96-C96*I96)&lt;=0.00000001*MAX(1,I96),ISNUMBER(E96),E96=INDEX(ETFs!$H$6:$H$25,MATCH(B96,ETFs!$A$6:$A$25,0)),G96="Yes",F96&lt;&gt;""),1,0)))</f>
        <v/>
      </c>
      <c r="L96" s="60" t="str">
        <f t="shared" si="2"/>
        <v/>
      </c>
    </row>
    <row r="97" ht="24.0" customHeight="1">
      <c r="A97" s="59"/>
      <c r="B97" s="59"/>
      <c r="C97" s="61"/>
      <c r="D97" s="56"/>
      <c r="E97" s="57"/>
      <c r="F97" s="59"/>
      <c r="G97" s="59"/>
      <c r="H97" s="60" t="str">
        <f t="array" ref="H97">IF(OR(A97="",B97=""),"",IF(COUNTIFS(ETFs!$A$6:$A$25,B97)&lt;&gt;1,"Unmatched ETF",INDEX(ETFs!$D$6:$D$25,MATCH(B97,ETFs!$A$6:$A$25,0))))</f>
        <v/>
      </c>
      <c r="I97" s="62" t="str">
        <f t="array" ref="I97">IF(OR(A97="",B97=""),"",IF(COUNTIFS(ETFs!$A$6:$A$25,B97,ETFs!$K$6:$K$25,1)&lt;&gt;1,"",INDEX(ETFs!$G$6:$G$25,MATCH(B97,ETFs!$A$6:$A$25,0))))</f>
        <v/>
      </c>
      <c r="J97" s="60" t="str">
        <f t="shared" si="1"/>
        <v/>
      </c>
      <c r="K97" s="60" t="str">
        <f t="array" ref="K97">IF(OR(A97="",B97=""),"",IF(COUNTIFS(ETFs!$A$6:$A$25,B97,ETFs!$K$6:$K$25,1)&lt;&gt;1,0,IF(AND(J97=1,COUNTIFS(Companies!$A$6:$A$55,A97,Companies!$R$6:$R$55,1)=1,ISNUMBER(C97),C97&gt;=0,C97&lt;=1,ISNUMBER(D97),D97&gt;=0,ISNUMBER(I97),ABS(D97-C97*I97)&lt;=0.00000001*MAX(1,I97),ISNUMBER(E97),E97=INDEX(ETFs!$H$6:$H$25,MATCH(B97,ETFs!$A$6:$A$25,0)),G97="Yes",F97&lt;&gt;""),1,0)))</f>
        <v/>
      </c>
      <c r="L97" s="60" t="str">
        <f t="shared" si="2"/>
        <v/>
      </c>
    </row>
    <row r="98" ht="24.0" customHeight="1">
      <c r="A98" s="59"/>
      <c r="B98" s="59"/>
      <c r="C98" s="61"/>
      <c r="D98" s="56"/>
      <c r="E98" s="57"/>
      <c r="F98" s="59"/>
      <c r="G98" s="59"/>
      <c r="H98" s="60" t="str">
        <f t="array" ref="H98">IF(OR(A98="",B98=""),"",IF(COUNTIFS(ETFs!$A$6:$A$25,B98)&lt;&gt;1,"Unmatched ETF",INDEX(ETFs!$D$6:$D$25,MATCH(B98,ETFs!$A$6:$A$25,0))))</f>
        <v/>
      </c>
      <c r="I98" s="62" t="str">
        <f t="array" ref="I98">IF(OR(A98="",B98=""),"",IF(COUNTIFS(ETFs!$A$6:$A$25,B98,ETFs!$K$6:$K$25,1)&lt;&gt;1,"",INDEX(ETFs!$G$6:$G$25,MATCH(B98,ETFs!$A$6:$A$25,0))))</f>
        <v/>
      </c>
      <c r="J98" s="60" t="str">
        <f t="shared" si="1"/>
        <v/>
      </c>
      <c r="K98" s="60" t="str">
        <f t="array" ref="K98">IF(OR(A98="",B98=""),"",IF(COUNTIFS(ETFs!$A$6:$A$25,B98,ETFs!$K$6:$K$25,1)&lt;&gt;1,0,IF(AND(J98=1,COUNTIFS(Companies!$A$6:$A$55,A98,Companies!$R$6:$R$55,1)=1,ISNUMBER(C98),C98&gt;=0,C98&lt;=1,ISNUMBER(D98),D98&gt;=0,ISNUMBER(I98),ABS(D98-C98*I98)&lt;=0.00000001*MAX(1,I98),ISNUMBER(E98),E98=INDEX(ETFs!$H$6:$H$25,MATCH(B98,ETFs!$A$6:$A$25,0)),G98="Yes",F98&lt;&gt;""),1,0)))</f>
        <v/>
      </c>
      <c r="L98" s="60" t="str">
        <f t="shared" si="2"/>
        <v/>
      </c>
    </row>
    <row r="99" ht="24.0" customHeight="1">
      <c r="A99" s="59"/>
      <c r="B99" s="59"/>
      <c r="C99" s="61"/>
      <c r="D99" s="56"/>
      <c r="E99" s="57"/>
      <c r="F99" s="59"/>
      <c r="G99" s="59"/>
      <c r="H99" s="60" t="str">
        <f t="array" ref="H99">IF(OR(A99="",B99=""),"",IF(COUNTIFS(ETFs!$A$6:$A$25,B99)&lt;&gt;1,"Unmatched ETF",INDEX(ETFs!$D$6:$D$25,MATCH(B99,ETFs!$A$6:$A$25,0))))</f>
        <v/>
      </c>
      <c r="I99" s="62" t="str">
        <f t="array" ref="I99">IF(OR(A99="",B99=""),"",IF(COUNTIFS(ETFs!$A$6:$A$25,B99,ETFs!$K$6:$K$25,1)&lt;&gt;1,"",INDEX(ETFs!$G$6:$G$25,MATCH(B99,ETFs!$A$6:$A$25,0))))</f>
        <v/>
      </c>
      <c r="J99" s="60" t="str">
        <f t="shared" si="1"/>
        <v/>
      </c>
      <c r="K99" s="60" t="str">
        <f t="array" ref="K99">IF(OR(A99="",B99=""),"",IF(COUNTIFS(ETFs!$A$6:$A$25,B99,ETFs!$K$6:$K$25,1)&lt;&gt;1,0,IF(AND(J99=1,COUNTIFS(Companies!$A$6:$A$55,A99,Companies!$R$6:$R$55,1)=1,ISNUMBER(C99),C99&gt;=0,C99&lt;=1,ISNUMBER(D99),D99&gt;=0,ISNUMBER(I99),ABS(D99-C99*I99)&lt;=0.00000001*MAX(1,I99),ISNUMBER(E99),E99=INDEX(ETFs!$H$6:$H$25,MATCH(B99,ETFs!$A$6:$A$25,0)),G99="Yes",F99&lt;&gt;""),1,0)))</f>
        <v/>
      </c>
      <c r="L99" s="60" t="str">
        <f t="shared" si="2"/>
        <v/>
      </c>
    </row>
    <row r="100" ht="24.0" customHeight="1">
      <c r="A100" s="59"/>
      <c r="B100" s="59"/>
      <c r="C100" s="61"/>
      <c r="D100" s="56"/>
      <c r="E100" s="57"/>
      <c r="F100" s="59"/>
      <c r="G100" s="59"/>
      <c r="H100" s="60" t="str">
        <f t="array" ref="H100">IF(OR(A100="",B100=""),"",IF(COUNTIFS(ETFs!$A$6:$A$25,B100)&lt;&gt;1,"Unmatched ETF",INDEX(ETFs!$D$6:$D$25,MATCH(B100,ETFs!$A$6:$A$25,0))))</f>
        <v/>
      </c>
      <c r="I100" s="62" t="str">
        <f t="array" ref="I100">IF(OR(A100="",B100=""),"",IF(COUNTIFS(ETFs!$A$6:$A$25,B100,ETFs!$K$6:$K$25,1)&lt;&gt;1,"",INDEX(ETFs!$G$6:$G$25,MATCH(B100,ETFs!$A$6:$A$25,0))))</f>
        <v/>
      </c>
      <c r="J100" s="60" t="str">
        <f t="shared" si="1"/>
        <v/>
      </c>
      <c r="K100" s="60" t="str">
        <f t="array" ref="K100">IF(OR(A100="",B100=""),"",IF(COUNTIFS(ETFs!$A$6:$A$25,B100,ETFs!$K$6:$K$25,1)&lt;&gt;1,0,IF(AND(J100=1,COUNTIFS(Companies!$A$6:$A$55,A100,Companies!$R$6:$R$55,1)=1,ISNUMBER(C100),C100&gt;=0,C100&lt;=1,ISNUMBER(D100),D100&gt;=0,ISNUMBER(I100),ABS(D100-C100*I100)&lt;=0.00000001*MAX(1,I100),ISNUMBER(E100),E100=INDEX(ETFs!$H$6:$H$25,MATCH(B100,ETFs!$A$6:$A$25,0)),G100="Yes",F100&lt;&gt;""),1,0)))</f>
        <v/>
      </c>
      <c r="L100" s="60" t="str">
        <f t="shared" si="2"/>
        <v/>
      </c>
    </row>
    <row r="101" ht="24.0" customHeight="1">
      <c r="A101" s="59"/>
      <c r="B101" s="59"/>
      <c r="C101" s="61"/>
      <c r="D101" s="56"/>
      <c r="E101" s="57"/>
      <c r="F101" s="59"/>
      <c r="G101" s="59"/>
      <c r="H101" s="60" t="str">
        <f t="array" ref="H101">IF(OR(A101="",B101=""),"",IF(COUNTIFS(ETFs!$A$6:$A$25,B101)&lt;&gt;1,"Unmatched ETF",INDEX(ETFs!$D$6:$D$25,MATCH(B101,ETFs!$A$6:$A$25,0))))</f>
        <v/>
      </c>
      <c r="I101" s="62" t="str">
        <f t="array" ref="I101">IF(OR(A101="",B101=""),"",IF(COUNTIFS(ETFs!$A$6:$A$25,B101,ETFs!$K$6:$K$25,1)&lt;&gt;1,"",INDEX(ETFs!$G$6:$G$25,MATCH(B101,ETFs!$A$6:$A$25,0))))</f>
        <v/>
      </c>
      <c r="J101" s="60" t="str">
        <f t="shared" si="1"/>
        <v/>
      </c>
      <c r="K101" s="60" t="str">
        <f t="array" ref="K101">IF(OR(A101="",B101=""),"",IF(COUNTIFS(ETFs!$A$6:$A$25,B101,ETFs!$K$6:$K$25,1)&lt;&gt;1,0,IF(AND(J101=1,COUNTIFS(Companies!$A$6:$A$55,A101,Companies!$R$6:$R$55,1)=1,ISNUMBER(C101),C101&gt;=0,C101&lt;=1,ISNUMBER(D101),D101&gt;=0,ISNUMBER(I101),ABS(D101-C101*I101)&lt;=0.00000001*MAX(1,I101),ISNUMBER(E101),E101=INDEX(ETFs!$H$6:$H$25,MATCH(B101,ETFs!$A$6:$A$25,0)),G101="Yes",F101&lt;&gt;""),1,0)))</f>
        <v/>
      </c>
      <c r="L101" s="60" t="str">
        <f t="shared" si="2"/>
        <v/>
      </c>
    </row>
    <row r="102" ht="24.0" customHeight="1">
      <c r="A102" s="59"/>
      <c r="B102" s="59"/>
      <c r="C102" s="61"/>
      <c r="D102" s="56"/>
      <c r="E102" s="57"/>
      <c r="F102" s="59"/>
      <c r="G102" s="59"/>
      <c r="H102" s="60" t="str">
        <f t="array" ref="H102">IF(OR(A102="",B102=""),"",IF(COUNTIFS(ETFs!$A$6:$A$25,B102)&lt;&gt;1,"Unmatched ETF",INDEX(ETFs!$D$6:$D$25,MATCH(B102,ETFs!$A$6:$A$25,0))))</f>
        <v/>
      </c>
      <c r="I102" s="62" t="str">
        <f t="array" ref="I102">IF(OR(A102="",B102=""),"",IF(COUNTIFS(ETFs!$A$6:$A$25,B102,ETFs!$K$6:$K$25,1)&lt;&gt;1,"",INDEX(ETFs!$G$6:$G$25,MATCH(B102,ETFs!$A$6:$A$25,0))))</f>
        <v/>
      </c>
      <c r="J102" s="60" t="str">
        <f t="shared" si="1"/>
        <v/>
      </c>
      <c r="K102" s="60" t="str">
        <f t="array" ref="K102">IF(OR(A102="",B102=""),"",IF(COUNTIFS(ETFs!$A$6:$A$25,B102,ETFs!$K$6:$K$25,1)&lt;&gt;1,0,IF(AND(J102=1,COUNTIFS(Companies!$A$6:$A$55,A102,Companies!$R$6:$R$55,1)=1,ISNUMBER(C102),C102&gt;=0,C102&lt;=1,ISNUMBER(D102),D102&gt;=0,ISNUMBER(I102),ABS(D102-C102*I102)&lt;=0.00000001*MAX(1,I102),ISNUMBER(E102),E102=INDEX(ETFs!$H$6:$H$25,MATCH(B102,ETFs!$A$6:$A$25,0)),G102="Yes",F102&lt;&gt;""),1,0)))</f>
        <v/>
      </c>
      <c r="L102" s="60" t="str">
        <f t="shared" si="2"/>
        <v/>
      </c>
    </row>
    <row r="103" ht="24.0" customHeight="1">
      <c r="A103" s="59"/>
      <c r="B103" s="59"/>
      <c r="C103" s="61"/>
      <c r="D103" s="56"/>
      <c r="E103" s="57"/>
      <c r="F103" s="59"/>
      <c r="G103" s="59"/>
      <c r="H103" s="60" t="str">
        <f t="array" ref="H103">IF(OR(A103="",B103=""),"",IF(COUNTIFS(ETFs!$A$6:$A$25,B103)&lt;&gt;1,"Unmatched ETF",INDEX(ETFs!$D$6:$D$25,MATCH(B103,ETFs!$A$6:$A$25,0))))</f>
        <v/>
      </c>
      <c r="I103" s="62" t="str">
        <f t="array" ref="I103">IF(OR(A103="",B103=""),"",IF(COUNTIFS(ETFs!$A$6:$A$25,B103,ETFs!$K$6:$K$25,1)&lt;&gt;1,"",INDEX(ETFs!$G$6:$G$25,MATCH(B103,ETFs!$A$6:$A$25,0))))</f>
        <v/>
      </c>
      <c r="J103" s="60" t="str">
        <f t="shared" si="1"/>
        <v/>
      </c>
      <c r="K103" s="60" t="str">
        <f t="array" ref="K103">IF(OR(A103="",B103=""),"",IF(COUNTIFS(ETFs!$A$6:$A$25,B103,ETFs!$K$6:$K$25,1)&lt;&gt;1,0,IF(AND(J103=1,COUNTIFS(Companies!$A$6:$A$55,A103,Companies!$R$6:$R$55,1)=1,ISNUMBER(C103),C103&gt;=0,C103&lt;=1,ISNUMBER(D103),D103&gt;=0,ISNUMBER(I103),ABS(D103-C103*I103)&lt;=0.00000001*MAX(1,I103),ISNUMBER(E103),E103=INDEX(ETFs!$H$6:$H$25,MATCH(B103,ETFs!$A$6:$A$25,0)),G103="Yes",F103&lt;&gt;""),1,0)))</f>
        <v/>
      </c>
      <c r="L103" s="60" t="str">
        <f t="shared" si="2"/>
        <v/>
      </c>
    </row>
    <row r="104" ht="24.0" customHeight="1">
      <c r="A104" s="59"/>
      <c r="B104" s="59"/>
      <c r="C104" s="61"/>
      <c r="D104" s="56"/>
      <c r="E104" s="57"/>
      <c r="F104" s="59"/>
      <c r="G104" s="59"/>
      <c r="H104" s="60" t="str">
        <f t="array" ref="H104">IF(OR(A104="",B104=""),"",IF(COUNTIFS(ETFs!$A$6:$A$25,B104)&lt;&gt;1,"Unmatched ETF",INDEX(ETFs!$D$6:$D$25,MATCH(B104,ETFs!$A$6:$A$25,0))))</f>
        <v/>
      </c>
      <c r="I104" s="62" t="str">
        <f t="array" ref="I104">IF(OR(A104="",B104=""),"",IF(COUNTIFS(ETFs!$A$6:$A$25,B104,ETFs!$K$6:$K$25,1)&lt;&gt;1,"",INDEX(ETFs!$G$6:$G$25,MATCH(B104,ETFs!$A$6:$A$25,0))))</f>
        <v/>
      </c>
      <c r="J104" s="60" t="str">
        <f t="shared" si="1"/>
        <v/>
      </c>
      <c r="K104" s="60" t="str">
        <f t="array" ref="K104">IF(OR(A104="",B104=""),"",IF(COUNTIFS(ETFs!$A$6:$A$25,B104,ETFs!$K$6:$K$25,1)&lt;&gt;1,0,IF(AND(J104=1,COUNTIFS(Companies!$A$6:$A$55,A104,Companies!$R$6:$R$55,1)=1,ISNUMBER(C104),C104&gt;=0,C104&lt;=1,ISNUMBER(D104),D104&gt;=0,ISNUMBER(I104),ABS(D104-C104*I104)&lt;=0.00000001*MAX(1,I104),ISNUMBER(E104),E104=INDEX(ETFs!$H$6:$H$25,MATCH(B104,ETFs!$A$6:$A$25,0)),G104="Yes",F104&lt;&gt;""),1,0)))</f>
        <v/>
      </c>
      <c r="L104" s="60" t="str">
        <f t="shared" si="2"/>
        <v/>
      </c>
    </row>
    <row r="105" ht="24.0" customHeight="1">
      <c r="A105" s="59"/>
      <c r="B105" s="59"/>
      <c r="C105" s="61"/>
      <c r="D105" s="56"/>
      <c r="E105" s="57"/>
      <c r="F105" s="59"/>
      <c r="G105" s="59"/>
      <c r="H105" s="60" t="str">
        <f t="array" ref="H105">IF(OR(A105="",B105=""),"",IF(COUNTIFS(ETFs!$A$6:$A$25,B105)&lt;&gt;1,"Unmatched ETF",INDEX(ETFs!$D$6:$D$25,MATCH(B105,ETFs!$A$6:$A$25,0))))</f>
        <v/>
      </c>
      <c r="I105" s="62" t="str">
        <f t="array" ref="I105">IF(OR(A105="",B105=""),"",IF(COUNTIFS(ETFs!$A$6:$A$25,B105,ETFs!$K$6:$K$25,1)&lt;&gt;1,"",INDEX(ETFs!$G$6:$G$25,MATCH(B105,ETFs!$A$6:$A$25,0))))</f>
        <v/>
      </c>
      <c r="J105" s="60" t="str">
        <f t="shared" si="1"/>
        <v/>
      </c>
      <c r="K105" s="60" t="str">
        <f t="array" ref="K105">IF(OR(A105="",B105=""),"",IF(COUNTIFS(ETFs!$A$6:$A$25,B105,ETFs!$K$6:$K$25,1)&lt;&gt;1,0,IF(AND(J105=1,COUNTIFS(Companies!$A$6:$A$55,A105,Companies!$R$6:$R$55,1)=1,ISNUMBER(C105),C105&gt;=0,C105&lt;=1,ISNUMBER(D105),D105&gt;=0,ISNUMBER(I105),ABS(D105-C105*I105)&lt;=0.00000001*MAX(1,I105),ISNUMBER(E105),E105=INDEX(ETFs!$H$6:$H$25,MATCH(B105,ETFs!$A$6:$A$25,0)),G105="Yes",F105&lt;&gt;""),1,0)))</f>
        <v/>
      </c>
      <c r="L105" s="60" t="str">
        <f t="shared" si="2"/>
        <v/>
      </c>
    </row>
    <row r="106" ht="24.0" customHeight="1">
      <c r="A106" s="59"/>
      <c r="B106" s="59"/>
      <c r="C106" s="61"/>
      <c r="D106" s="56"/>
      <c r="E106" s="57"/>
      <c r="F106" s="59"/>
      <c r="G106" s="59"/>
      <c r="H106" s="60" t="str">
        <f t="array" ref="H106">IF(OR(A106="",B106=""),"",IF(COUNTIFS(ETFs!$A$6:$A$25,B106)&lt;&gt;1,"Unmatched ETF",INDEX(ETFs!$D$6:$D$25,MATCH(B106,ETFs!$A$6:$A$25,0))))</f>
        <v/>
      </c>
      <c r="I106" s="62" t="str">
        <f t="array" ref="I106">IF(OR(A106="",B106=""),"",IF(COUNTIFS(ETFs!$A$6:$A$25,B106,ETFs!$K$6:$K$25,1)&lt;&gt;1,"",INDEX(ETFs!$G$6:$G$25,MATCH(B106,ETFs!$A$6:$A$25,0))))</f>
        <v/>
      </c>
      <c r="J106" s="60" t="str">
        <f t="shared" si="1"/>
        <v/>
      </c>
      <c r="K106" s="60" t="str">
        <f t="array" ref="K106">IF(OR(A106="",B106=""),"",IF(COUNTIFS(ETFs!$A$6:$A$25,B106,ETFs!$K$6:$K$25,1)&lt;&gt;1,0,IF(AND(J106=1,COUNTIFS(Companies!$A$6:$A$55,A106,Companies!$R$6:$R$55,1)=1,ISNUMBER(C106),C106&gt;=0,C106&lt;=1,ISNUMBER(D106),D106&gt;=0,ISNUMBER(I106),ABS(D106-C106*I106)&lt;=0.00000001*MAX(1,I106),ISNUMBER(E106),E106=INDEX(ETFs!$H$6:$H$25,MATCH(B106,ETFs!$A$6:$A$25,0)),G106="Yes",F106&lt;&gt;""),1,0)))</f>
        <v/>
      </c>
      <c r="L106" s="60" t="str">
        <f t="shared" si="2"/>
        <v/>
      </c>
    </row>
    <row r="107" ht="24.0" customHeight="1">
      <c r="A107" s="59"/>
      <c r="B107" s="59"/>
      <c r="C107" s="61"/>
      <c r="D107" s="56"/>
      <c r="E107" s="57"/>
      <c r="F107" s="59"/>
      <c r="G107" s="59"/>
      <c r="H107" s="60" t="str">
        <f t="array" ref="H107">IF(OR(A107="",B107=""),"",IF(COUNTIFS(ETFs!$A$6:$A$25,B107)&lt;&gt;1,"Unmatched ETF",INDEX(ETFs!$D$6:$D$25,MATCH(B107,ETFs!$A$6:$A$25,0))))</f>
        <v/>
      </c>
      <c r="I107" s="62" t="str">
        <f t="array" ref="I107">IF(OR(A107="",B107=""),"",IF(COUNTIFS(ETFs!$A$6:$A$25,B107,ETFs!$K$6:$K$25,1)&lt;&gt;1,"",INDEX(ETFs!$G$6:$G$25,MATCH(B107,ETFs!$A$6:$A$25,0))))</f>
        <v/>
      </c>
      <c r="J107" s="60" t="str">
        <f t="shared" si="1"/>
        <v/>
      </c>
      <c r="K107" s="60" t="str">
        <f t="array" ref="K107">IF(OR(A107="",B107=""),"",IF(COUNTIFS(ETFs!$A$6:$A$25,B107,ETFs!$K$6:$K$25,1)&lt;&gt;1,0,IF(AND(J107=1,COUNTIFS(Companies!$A$6:$A$55,A107,Companies!$R$6:$R$55,1)=1,ISNUMBER(C107),C107&gt;=0,C107&lt;=1,ISNUMBER(D107),D107&gt;=0,ISNUMBER(I107),ABS(D107-C107*I107)&lt;=0.00000001*MAX(1,I107),ISNUMBER(E107),E107=INDEX(ETFs!$H$6:$H$25,MATCH(B107,ETFs!$A$6:$A$25,0)),G107="Yes",F107&lt;&gt;""),1,0)))</f>
        <v/>
      </c>
      <c r="L107" s="60" t="str">
        <f t="shared" si="2"/>
        <v/>
      </c>
    </row>
    <row r="108" ht="24.0" customHeight="1">
      <c r="A108" s="59"/>
      <c r="B108" s="59"/>
      <c r="C108" s="61"/>
      <c r="D108" s="56"/>
      <c r="E108" s="57"/>
      <c r="F108" s="59"/>
      <c r="G108" s="59"/>
      <c r="H108" s="60" t="str">
        <f t="array" ref="H108">IF(OR(A108="",B108=""),"",IF(COUNTIFS(ETFs!$A$6:$A$25,B108)&lt;&gt;1,"Unmatched ETF",INDEX(ETFs!$D$6:$D$25,MATCH(B108,ETFs!$A$6:$A$25,0))))</f>
        <v/>
      </c>
      <c r="I108" s="62" t="str">
        <f t="array" ref="I108">IF(OR(A108="",B108=""),"",IF(COUNTIFS(ETFs!$A$6:$A$25,B108,ETFs!$K$6:$K$25,1)&lt;&gt;1,"",INDEX(ETFs!$G$6:$G$25,MATCH(B108,ETFs!$A$6:$A$25,0))))</f>
        <v/>
      </c>
      <c r="J108" s="60" t="str">
        <f t="shared" si="1"/>
        <v/>
      </c>
      <c r="K108" s="60" t="str">
        <f t="array" ref="K108">IF(OR(A108="",B108=""),"",IF(COUNTIFS(ETFs!$A$6:$A$25,B108,ETFs!$K$6:$K$25,1)&lt;&gt;1,0,IF(AND(J108=1,COUNTIFS(Companies!$A$6:$A$55,A108,Companies!$R$6:$R$55,1)=1,ISNUMBER(C108),C108&gt;=0,C108&lt;=1,ISNUMBER(D108),D108&gt;=0,ISNUMBER(I108),ABS(D108-C108*I108)&lt;=0.00000001*MAX(1,I108),ISNUMBER(E108),E108=INDEX(ETFs!$H$6:$H$25,MATCH(B108,ETFs!$A$6:$A$25,0)),G108="Yes",F108&lt;&gt;""),1,0)))</f>
        <v/>
      </c>
      <c r="L108" s="60" t="str">
        <f t="shared" si="2"/>
        <v/>
      </c>
    </row>
    <row r="109" ht="24.0" customHeight="1">
      <c r="A109" s="59"/>
      <c r="B109" s="59"/>
      <c r="C109" s="61"/>
      <c r="D109" s="56"/>
      <c r="E109" s="57"/>
      <c r="F109" s="59"/>
      <c r="G109" s="59"/>
      <c r="H109" s="60" t="str">
        <f t="array" ref="H109">IF(OR(A109="",B109=""),"",IF(COUNTIFS(ETFs!$A$6:$A$25,B109)&lt;&gt;1,"Unmatched ETF",INDEX(ETFs!$D$6:$D$25,MATCH(B109,ETFs!$A$6:$A$25,0))))</f>
        <v/>
      </c>
      <c r="I109" s="62" t="str">
        <f t="array" ref="I109">IF(OR(A109="",B109=""),"",IF(COUNTIFS(ETFs!$A$6:$A$25,B109,ETFs!$K$6:$K$25,1)&lt;&gt;1,"",INDEX(ETFs!$G$6:$G$25,MATCH(B109,ETFs!$A$6:$A$25,0))))</f>
        <v/>
      </c>
      <c r="J109" s="60" t="str">
        <f t="shared" si="1"/>
        <v/>
      </c>
      <c r="K109" s="60" t="str">
        <f t="array" ref="K109">IF(OR(A109="",B109=""),"",IF(COUNTIFS(ETFs!$A$6:$A$25,B109,ETFs!$K$6:$K$25,1)&lt;&gt;1,0,IF(AND(J109=1,COUNTIFS(Companies!$A$6:$A$55,A109,Companies!$R$6:$R$55,1)=1,ISNUMBER(C109),C109&gt;=0,C109&lt;=1,ISNUMBER(D109),D109&gt;=0,ISNUMBER(I109),ABS(D109-C109*I109)&lt;=0.00000001*MAX(1,I109),ISNUMBER(E109),E109=INDEX(ETFs!$H$6:$H$25,MATCH(B109,ETFs!$A$6:$A$25,0)),G109="Yes",F109&lt;&gt;""),1,0)))</f>
        <v/>
      </c>
      <c r="L109" s="60" t="str">
        <f t="shared" si="2"/>
        <v/>
      </c>
    </row>
    <row r="110" ht="24.0" customHeight="1">
      <c r="A110" s="59"/>
      <c r="B110" s="59"/>
      <c r="C110" s="61"/>
      <c r="D110" s="56"/>
      <c r="E110" s="57"/>
      <c r="F110" s="59"/>
      <c r="G110" s="59"/>
      <c r="H110" s="60" t="str">
        <f t="array" ref="H110">IF(OR(A110="",B110=""),"",IF(COUNTIFS(ETFs!$A$6:$A$25,B110)&lt;&gt;1,"Unmatched ETF",INDEX(ETFs!$D$6:$D$25,MATCH(B110,ETFs!$A$6:$A$25,0))))</f>
        <v/>
      </c>
      <c r="I110" s="62" t="str">
        <f t="array" ref="I110">IF(OR(A110="",B110=""),"",IF(COUNTIFS(ETFs!$A$6:$A$25,B110,ETFs!$K$6:$K$25,1)&lt;&gt;1,"",INDEX(ETFs!$G$6:$G$25,MATCH(B110,ETFs!$A$6:$A$25,0))))</f>
        <v/>
      </c>
      <c r="J110" s="60" t="str">
        <f t="shared" si="1"/>
        <v/>
      </c>
      <c r="K110" s="60" t="str">
        <f t="array" ref="K110">IF(OR(A110="",B110=""),"",IF(COUNTIFS(ETFs!$A$6:$A$25,B110,ETFs!$K$6:$K$25,1)&lt;&gt;1,0,IF(AND(J110=1,COUNTIFS(Companies!$A$6:$A$55,A110,Companies!$R$6:$R$55,1)=1,ISNUMBER(C110),C110&gt;=0,C110&lt;=1,ISNUMBER(D110),D110&gt;=0,ISNUMBER(I110),ABS(D110-C110*I110)&lt;=0.00000001*MAX(1,I110),ISNUMBER(E110),E110=INDEX(ETFs!$H$6:$H$25,MATCH(B110,ETFs!$A$6:$A$25,0)),G110="Yes",F110&lt;&gt;""),1,0)))</f>
        <v/>
      </c>
      <c r="L110" s="60" t="str">
        <f t="shared" si="2"/>
        <v/>
      </c>
    </row>
    <row r="111" ht="24.0" customHeight="1">
      <c r="A111" s="59"/>
      <c r="B111" s="59"/>
      <c r="C111" s="61"/>
      <c r="D111" s="56"/>
      <c r="E111" s="57"/>
      <c r="F111" s="59"/>
      <c r="G111" s="59"/>
      <c r="H111" s="60" t="str">
        <f t="array" ref="H111">IF(OR(A111="",B111=""),"",IF(COUNTIFS(ETFs!$A$6:$A$25,B111)&lt;&gt;1,"Unmatched ETF",INDEX(ETFs!$D$6:$D$25,MATCH(B111,ETFs!$A$6:$A$25,0))))</f>
        <v/>
      </c>
      <c r="I111" s="62" t="str">
        <f t="array" ref="I111">IF(OR(A111="",B111=""),"",IF(COUNTIFS(ETFs!$A$6:$A$25,B111,ETFs!$K$6:$K$25,1)&lt;&gt;1,"",INDEX(ETFs!$G$6:$G$25,MATCH(B111,ETFs!$A$6:$A$25,0))))</f>
        <v/>
      </c>
      <c r="J111" s="60" t="str">
        <f t="shared" si="1"/>
        <v/>
      </c>
      <c r="K111" s="60" t="str">
        <f t="array" ref="K111">IF(OR(A111="",B111=""),"",IF(COUNTIFS(ETFs!$A$6:$A$25,B111,ETFs!$K$6:$K$25,1)&lt;&gt;1,0,IF(AND(J111=1,COUNTIFS(Companies!$A$6:$A$55,A111,Companies!$R$6:$R$55,1)=1,ISNUMBER(C111),C111&gt;=0,C111&lt;=1,ISNUMBER(D111),D111&gt;=0,ISNUMBER(I111),ABS(D111-C111*I111)&lt;=0.00000001*MAX(1,I111),ISNUMBER(E111),E111=INDEX(ETFs!$H$6:$H$25,MATCH(B111,ETFs!$A$6:$A$25,0)),G111="Yes",F111&lt;&gt;""),1,0)))</f>
        <v/>
      </c>
      <c r="L111" s="60" t="str">
        <f t="shared" si="2"/>
        <v/>
      </c>
    </row>
    <row r="112" ht="24.0" customHeight="1">
      <c r="A112" s="59"/>
      <c r="B112" s="59"/>
      <c r="C112" s="61"/>
      <c r="D112" s="56"/>
      <c r="E112" s="57"/>
      <c r="F112" s="59"/>
      <c r="G112" s="59"/>
      <c r="H112" s="60" t="str">
        <f t="array" ref="H112">IF(OR(A112="",B112=""),"",IF(COUNTIFS(ETFs!$A$6:$A$25,B112)&lt;&gt;1,"Unmatched ETF",INDEX(ETFs!$D$6:$D$25,MATCH(B112,ETFs!$A$6:$A$25,0))))</f>
        <v/>
      </c>
      <c r="I112" s="62" t="str">
        <f t="array" ref="I112">IF(OR(A112="",B112=""),"",IF(COUNTIFS(ETFs!$A$6:$A$25,B112,ETFs!$K$6:$K$25,1)&lt;&gt;1,"",INDEX(ETFs!$G$6:$G$25,MATCH(B112,ETFs!$A$6:$A$25,0))))</f>
        <v/>
      </c>
      <c r="J112" s="60" t="str">
        <f t="shared" si="1"/>
        <v/>
      </c>
      <c r="K112" s="60" t="str">
        <f t="array" ref="K112">IF(OR(A112="",B112=""),"",IF(COUNTIFS(ETFs!$A$6:$A$25,B112,ETFs!$K$6:$K$25,1)&lt;&gt;1,0,IF(AND(J112=1,COUNTIFS(Companies!$A$6:$A$55,A112,Companies!$R$6:$R$55,1)=1,ISNUMBER(C112),C112&gt;=0,C112&lt;=1,ISNUMBER(D112),D112&gt;=0,ISNUMBER(I112),ABS(D112-C112*I112)&lt;=0.00000001*MAX(1,I112),ISNUMBER(E112),E112=INDEX(ETFs!$H$6:$H$25,MATCH(B112,ETFs!$A$6:$A$25,0)),G112="Yes",F112&lt;&gt;""),1,0)))</f>
        <v/>
      </c>
      <c r="L112" s="60" t="str">
        <f t="shared" si="2"/>
        <v/>
      </c>
    </row>
    <row r="113" ht="24.0" customHeight="1">
      <c r="A113" s="59"/>
      <c r="B113" s="59"/>
      <c r="C113" s="61"/>
      <c r="D113" s="56"/>
      <c r="E113" s="57"/>
      <c r="F113" s="59"/>
      <c r="G113" s="59"/>
      <c r="H113" s="60" t="str">
        <f t="array" ref="H113">IF(OR(A113="",B113=""),"",IF(COUNTIFS(ETFs!$A$6:$A$25,B113)&lt;&gt;1,"Unmatched ETF",INDEX(ETFs!$D$6:$D$25,MATCH(B113,ETFs!$A$6:$A$25,0))))</f>
        <v/>
      </c>
      <c r="I113" s="62" t="str">
        <f t="array" ref="I113">IF(OR(A113="",B113=""),"",IF(COUNTIFS(ETFs!$A$6:$A$25,B113,ETFs!$K$6:$K$25,1)&lt;&gt;1,"",INDEX(ETFs!$G$6:$G$25,MATCH(B113,ETFs!$A$6:$A$25,0))))</f>
        <v/>
      </c>
      <c r="J113" s="60" t="str">
        <f t="shared" si="1"/>
        <v/>
      </c>
      <c r="K113" s="60" t="str">
        <f t="array" ref="K113">IF(OR(A113="",B113=""),"",IF(COUNTIFS(ETFs!$A$6:$A$25,B113,ETFs!$K$6:$K$25,1)&lt;&gt;1,0,IF(AND(J113=1,COUNTIFS(Companies!$A$6:$A$55,A113,Companies!$R$6:$R$55,1)=1,ISNUMBER(C113),C113&gt;=0,C113&lt;=1,ISNUMBER(D113),D113&gt;=0,ISNUMBER(I113),ABS(D113-C113*I113)&lt;=0.00000001*MAX(1,I113),ISNUMBER(E113),E113=INDEX(ETFs!$H$6:$H$25,MATCH(B113,ETFs!$A$6:$A$25,0)),G113="Yes",F113&lt;&gt;""),1,0)))</f>
        <v/>
      </c>
      <c r="L113" s="60" t="str">
        <f t="shared" si="2"/>
        <v/>
      </c>
    </row>
    <row r="114" ht="24.0" customHeight="1">
      <c r="A114" s="59"/>
      <c r="B114" s="59"/>
      <c r="C114" s="61"/>
      <c r="D114" s="56"/>
      <c r="E114" s="57"/>
      <c r="F114" s="59"/>
      <c r="G114" s="59"/>
      <c r="H114" s="60" t="str">
        <f t="array" ref="H114">IF(OR(A114="",B114=""),"",IF(COUNTIFS(ETFs!$A$6:$A$25,B114)&lt;&gt;1,"Unmatched ETF",INDEX(ETFs!$D$6:$D$25,MATCH(B114,ETFs!$A$6:$A$25,0))))</f>
        <v/>
      </c>
      <c r="I114" s="62" t="str">
        <f t="array" ref="I114">IF(OR(A114="",B114=""),"",IF(COUNTIFS(ETFs!$A$6:$A$25,B114,ETFs!$K$6:$K$25,1)&lt;&gt;1,"",INDEX(ETFs!$G$6:$G$25,MATCH(B114,ETFs!$A$6:$A$25,0))))</f>
        <v/>
      </c>
      <c r="J114" s="60" t="str">
        <f t="shared" si="1"/>
        <v/>
      </c>
      <c r="K114" s="60" t="str">
        <f t="array" ref="K114">IF(OR(A114="",B114=""),"",IF(COUNTIFS(ETFs!$A$6:$A$25,B114,ETFs!$K$6:$K$25,1)&lt;&gt;1,0,IF(AND(J114=1,COUNTIFS(Companies!$A$6:$A$55,A114,Companies!$R$6:$R$55,1)=1,ISNUMBER(C114),C114&gt;=0,C114&lt;=1,ISNUMBER(D114),D114&gt;=0,ISNUMBER(I114),ABS(D114-C114*I114)&lt;=0.00000001*MAX(1,I114),ISNUMBER(E114),E114=INDEX(ETFs!$H$6:$H$25,MATCH(B114,ETFs!$A$6:$A$25,0)),G114="Yes",F114&lt;&gt;""),1,0)))</f>
        <v/>
      </c>
      <c r="L114" s="60" t="str">
        <f t="shared" si="2"/>
        <v/>
      </c>
    </row>
    <row r="115" ht="24.0" customHeight="1">
      <c r="A115" s="59"/>
      <c r="B115" s="59"/>
      <c r="C115" s="61"/>
      <c r="D115" s="56"/>
      <c r="E115" s="57"/>
      <c r="F115" s="59"/>
      <c r="G115" s="59"/>
      <c r="H115" s="60" t="str">
        <f t="array" ref="H115">IF(OR(A115="",B115=""),"",IF(COUNTIFS(ETFs!$A$6:$A$25,B115)&lt;&gt;1,"Unmatched ETF",INDEX(ETFs!$D$6:$D$25,MATCH(B115,ETFs!$A$6:$A$25,0))))</f>
        <v/>
      </c>
      <c r="I115" s="62" t="str">
        <f t="array" ref="I115">IF(OR(A115="",B115=""),"",IF(COUNTIFS(ETFs!$A$6:$A$25,B115,ETFs!$K$6:$K$25,1)&lt;&gt;1,"",INDEX(ETFs!$G$6:$G$25,MATCH(B115,ETFs!$A$6:$A$25,0))))</f>
        <v/>
      </c>
      <c r="J115" s="60" t="str">
        <f t="shared" si="1"/>
        <v/>
      </c>
      <c r="K115" s="60" t="str">
        <f t="array" ref="K115">IF(OR(A115="",B115=""),"",IF(COUNTIFS(ETFs!$A$6:$A$25,B115,ETFs!$K$6:$K$25,1)&lt;&gt;1,0,IF(AND(J115=1,COUNTIFS(Companies!$A$6:$A$55,A115,Companies!$R$6:$R$55,1)=1,ISNUMBER(C115),C115&gt;=0,C115&lt;=1,ISNUMBER(D115),D115&gt;=0,ISNUMBER(I115),ABS(D115-C115*I115)&lt;=0.00000001*MAX(1,I115),ISNUMBER(E115),E115=INDEX(ETFs!$H$6:$H$25,MATCH(B115,ETFs!$A$6:$A$25,0)),G115="Yes",F115&lt;&gt;""),1,0)))</f>
        <v/>
      </c>
      <c r="L115" s="60" t="str">
        <f t="shared" si="2"/>
        <v/>
      </c>
    </row>
    <row r="116" ht="24.0" customHeight="1">
      <c r="A116" s="59"/>
      <c r="B116" s="59"/>
      <c r="C116" s="61"/>
      <c r="D116" s="56"/>
      <c r="E116" s="57"/>
      <c r="F116" s="59"/>
      <c r="G116" s="59"/>
      <c r="H116" s="60" t="str">
        <f t="array" ref="H116">IF(OR(A116="",B116=""),"",IF(COUNTIFS(ETFs!$A$6:$A$25,B116)&lt;&gt;1,"Unmatched ETF",INDEX(ETFs!$D$6:$D$25,MATCH(B116,ETFs!$A$6:$A$25,0))))</f>
        <v/>
      </c>
      <c r="I116" s="62" t="str">
        <f t="array" ref="I116">IF(OR(A116="",B116=""),"",IF(COUNTIFS(ETFs!$A$6:$A$25,B116,ETFs!$K$6:$K$25,1)&lt;&gt;1,"",INDEX(ETFs!$G$6:$G$25,MATCH(B116,ETFs!$A$6:$A$25,0))))</f>
        <v/>
      </c>
      <c r="J116" s="60" t="str">
        <f t="shared" si="1"/>
        <v/>
      </c>
      <c r="K116" s="60" t="str">
        <f t="array" ref="K116">IF(OR(A116="",B116=""),"",IF(COUNTIFS(ETFs!$A$6:$A$25,B116,ETFs!$K$6:$K$25,1)&lt;&gt;1,0,IF(AND(J116=1,COUNTIFS(Companies!$A$6:$A$55,A116,Companies!$R$6:$R$55,1)=1,ISNUMBER(C116),C116&gt;=0,C116&lt;=1,ISNUMBER(D116),D116&gt;=0,ISNUMBER(I116),ABS(D116-C116*I116)&lt;=0.00000001*MAX(1,I116),ISNUMBER(E116),E116=INDEX(ETFs!$H$6:$H$25,MATCH(B116,ETFs!$A$6:$A$25,0)),G116="Yes",F116&lt;&gt;""),1,0)))</f>
        <v/>
      </c>
      <c r="L116" s="60" t="str">
        <f t="shared" si="2"/>
        <v/>
      </c>
    </row>
    <row r="117" ht="24.0" customHeight="1">
      <c r="A117" s="59"/>
      <c r="B117" s="59"/>
      <c r="C117" s="61"/>
      <c r="D117" s="56"/>
      <c r="E117" s="57"/>
      <c r="F117" s="59"/>
      <c r="G117" s="59"/>
      <c r="H117" s="60" t="str">
        <f t="array" ref="H117">IF(OR(A117="",B117=""),"",IF(COUNTIFS(ETFs!$A$6:$A$25,B117)&lt;&gt;1,"Unmatched ETF",INDEX(ETFs!$D$6:$D$25,MATCH(B117,ETFs!$A$6:$A$25,0))))</f>
        <v/>
      </c>
      <c r="I117" s="62" t="str">
        <f t="array" ref="I117">IF(OR(A117="",B117=""),"",IF(COUNTIFS(ETFs!$A$6:$A$25,B117,ETFs!$K$6:$K$25,1)&lt;&gt;1,"",INDEX(ETFs!$G$6:$G$25,MATCH(B117,ETFs!$A$6:$A$25,0))))</f>
        <v/>
      </c>
      <c r="J117" s="60" t="str">
        <f t="shared" si="1"/>
        <v/>
      </c>
      <c r="K117" s="60" t="str">
        <f t="array" ref="K117">IF(OR(A117="",B117=""),"",IF(COUNTIFS(ETFs!$A$6:$A$25,B117,ETFs!$K$6:$K$25,1)&lt;&gt;1,0,IF(AND(J117=1,COUNTIFS(Companies!$A$6:$A$55,A117,Companies!$R$6:$R$55,1)=1,ISNUMBER(C117),C117&gt;=0,C117&lt;=1,ISNUMBER(D117),D117&gt;=0,ISNUMBER(I117),ABS(D117-C117*I117)&lt;=0.00000001*MAX(1,I117),ISNUMBER(E117),E117=INDEX(ETFs!$H$6:$H$25,MATCH(B117,ETFs!$A$6:$A$25,0)),G117="Yes",F117&lt;&gt;""),1,0)))</f>
        <v/>
      </c>
      <c r="L117" s="60" t="str">
        <f t="shared" si="2"/>
        <v/>
      </c>
    </row>
    <row r="118" ht="24.0" customHeight="1">
      <c r="A118" s="59"/>
      <c r="B118" s="59"/>
      <c r="C118" s="61"/>
      <c r="D118" s="56"/>
      <c r="E118" s="57"/>
      <c r="F118" s="59"/>
      <c r="G118" s="59"/>
      <c r="H118" s="60" t="str">
        <f t="array" ref="H118">IF(OR(A118="",B118=""),"",IF(COUNTIFS(ETFs!$A$6:$A$25,B118)&lt;&gt;1,"Unmatched ETF",INDEX(ETFs!$D$6:$D$25,MATCH(B118,ETFs!$A$6:$A$25,0))))</f>
        <v/>
      </c>
      <c r="I118" s="62" t="str">
        <f t="array" ref="I118">IF(OR(A118="",B118=""),"",IF(COUNTIFS(ETFs!$A$6:$A$25,B118,ETFs!$K$6:$K$25,1)&lt;&gt;1,"",INDEX(ETFs!$G$6:$G$25,MATCH(B118,ETFs!$A$6:$A$25,0))))</f>
        <v/>
      </c>
      <c r="J118" s="60" t="str">
        <f t="shared" si="1"/>
        <v/>
      </c>
      <c r="K118" s="60" t="str">
        <f t="array" ref="K118">IF(OR(A118="",B118=""),"",IF(COUNTIFS(ETFs!$A$6:$A$25,B118,ETFs!$K$6:$K$25,1)&lt;&gt;1,0,IF(AND(J118=1,COUNTIFS(Companies!$A$6:$A$55,A118,Companies!$R$6:$R$55,1)=1,ISNUMBER(C118),C118&gt;=0,C118&lt;=1,ISNUMBER(D118),D118&gt;=0,ISNUMBER(I118),ABS(D118-C118*I118)&lt;=0.00000001*MAX(1,I118),ISNUMBER(E118),E118=INDEX(ETFs!$H$6:$H$25,MATCH(B118,ETFs!$A$6:$A$25,0)),G118="Yes",F118&lt;&gt;""),1,0)))</f>
        <v/>
      </c>
      <c r="L118" s="60" t="str">
        <f t="shared" si="2"/>
        <v/>
      </c>
    </row>
    <row r="119" ht="24.0" customHeight="1">
      <c r="A119" s="59"/>
      <c r="B119" s="59"/>
      <c r="C119" s="61"/>
      <c r="D119" s="56"/>
      <c r="E119" s="57"/>
      <c r="F119" s="59"/>
      <c r="G119" s="59"/>
      <c r="H119" s="60" t="str">
        <f t="array" ref="H119">IF(OR(A119="",B119=""),"",IF(COUNTIFS(ETFs!$A$6:$A$25,B119)&lt;&gt;1,"Unmatched ETF",INDEX(ETFs!$D$6:$D$25,MATCH(B119,ETFs!$A$6:$A$25,0))))</f>
        <v/>
      </c>
      <c r="I119" s="62" t="str">
        <f t="array" ref="I119">IF(OR(A119="",B119=""),"",IF(COUNTIFS(ETFs!$A$6:$A$25,B119,ETFs!$K$6:$K$25,1)&lt;&gt;1,"",INDEX(ETFs!$G$6:$G$25,MATCH(B119,ETFs!$A$6:$A$25,0))))</f>
        <v/>
      </c>
      <c r="J119" s="60" t="str">
        <f t="shared" si="1"/>
        <v/>
      </c>
      <c r="K119" s="60" t="str">
        <f t="array" ref="K119">IF(OR(A119="",B119=""),"",IF(COUNTIFS(ETFs!$A$6:$A$25,B119,ETFs!$K$6:$K$25,1)&lt;&gt;1,0,IF(AND(J119=1,COUNTIFS(Companies!$A$6:$A$55,A119,Companies!$R$6:$R$55,1)=1,ISNUMBER(C119),C119&gt;=0,C119&lt;=1,ISNUMBER(D119),D119&gt;=0,ISNUMBER(I119),ABS(D119-C119*I119)&lt;=0.00000001*MAX(1,I119),ISNUMBER(E119),E119=INDEX(ETFs!$H$6:$H$25,MATCH(B119,ETFs!$A$6:$A$25,0)),G119="Yes",F119&lt;&gt;""),1,0)))</f>
        <v/>
      </c>
      <c r="L119" s="60" t="str">
        <f t="shared" si="2"/>
        <v/>
      </c>
    </row>
    <row r="120" ht="24.0" customHeight="1">
      <c r="A120" s="59"/>
      <c r="B120" s="59"/>
      <c r="C120" s="61"/>
      <c r="D120" s="56"/>
      <c r="E120" s="57"/>
      <c r="F120" s="59"/>
      <c r="G120" s="59"/>
      <c r="H120" s="60" t="str">
        <f t="array" ref="H120">IF(OR(A120="",B120=""),"",IF(COUNTIFS(ETFs!$A$6:$A$25,B120)&lt;&gt;1,"Unmatched ETF",INDEX(ETFs!$D$6:$D$25,MATCH(B120,ETFs!$A$6:$A$25,0))))</f>
        <v/>
      </c>
      <c r="I120" s="62" t="str">
        <f t="array" ref="I120">IF(OR(A120="",B120=""),"",IF(COUNTIFS(ETFs!$A$6:$A$25,B120,ETFs!$K$6:$K$25,1)&lt;&gt;1,"",INDEX(ETFs!$G$6:$G$25,MATCH(B120,ETFs!$A$6:$A$25,0))))</f>
        <v/>
      </c>
      <c r="J120" s="60" t="str">
        <f t="shared" si="1"/>
        <v/>
      </c>
      <c r="K120" s="60" t="str">
        <f t="array" ref="K120">IF(OR(A120="",B120=""),"",IF(COUNTIFS(ETFs!$A$6:$A$25,B120,ETFs!$K$6:$K$25,1)&lt;&gt;1,0,IF(AND(J120=1,COUNTIFS(Companies!$A$6:$A$55,A120,Companies!$R$6:$R$55,1)=1,ISNUMBER(C120),C120&gt;=0,C120&lt;=1,ISNUMBER(D120),D120&gt;=0,ISNUMBER(I120),ABS(D120-C120*I120)&lt;=0.00000001*MAX(1,I120),ISNUMBER(E120),E120=INDEX(ETFs!$H$6:$H$25,MATCH(B120,ETFs!$A$6:$A$25,0)),G120="Yes",F120&lt;&gt;""),1,0)))</f>
        <v/>
      </c>
      <c r="L120" s="60" t="str">
        <f t="shared" si="2"/>
        <v/>
      </c>
    </row>
    <row r="121" ht="24.0" customHeight="1">
      <c r="A121" s="59"/>
      <c r="B121" s="59"/>
      <c r="C121" s="61"/>
      <c r="D121" s="56"/>
      <c r="E121" s="57"/>
      <c r="F121" s="59"/>
      <c r="G121" s="59"/>
      <c r="H121" s="60" t="str">
        <f t="array" ref="H121">IF(OR(A121="",B121=""),"",IF(COUNTIFS(ETFs!$A$6:$A$25,B121)&lt;&gt;1,"Unmatched ETF",INDEX(ETFs!$D$6:$D$25,MATCH(B121,ETFs!$A$6:$A$25,0))))</f>
        <v/>
      </c>
      <c r="I121" s="62" t="str">
        <f t="array" ref="I121">IF(OR(A121="",B121=""),"",IF(COUNTIFS(ETFs!$A$6:$A$25,B121,ETFs!$K$6:$K$25,1)&lt;&gt;1,"",INDEX(ETFs!$G$6:$G$25,MATCH(B121,ETFs!$A$6:$A$25,0))))</f>
        <v/>
      </c>
      <c r="J121" s="60" t="str">
        <f t="shared" si="1"/>
        <v/>
      </c>
      <c r="K121" s="60" t="str">
        <f t="array" ref="K121">IF(OR(A121="",B121=""),"",IF(COUNTIFS(ETFs!$A$6:$A$25,B121,ETFs!$K$6:$K$25,1)&lt;&gt;1,0,IF(AND(J121=1,COUNTIFS(Companies!$A$6:$A$55,A121,Companies!$R$6:$R$55,1)=1,ISNUMBER(C121),C121&gt;=0,C121&lt;=1,ISNUMBER(D121),D121&gt;=0,ISNUMBER(I121),ABS(D121-C121*I121)&lt;=0.00000001*MAX(1,I121),ISNUMBER(E121),E121=INDEX(ETFs!$H$6:$H$25,MATCH(B121,ETFs!$A$6:$A$25,0)),G121="Yes",F121&lt;&gt;""),1,0)))</f>
        <v/>
      </c>
      <c r="L121" s="60" t="str">
        <f t="shared" si="2"/>
        <v/>
      </c>
    </row>
    <row r="122" ht="24.0" customHeight="1">
      <c r="A122" s="59"/>
      <c r="B122" s="59"/>
      <c r="C122" s="61"/>
      <c r="D122" s="56"/>
      <c r="E122" s="57"/>
      <c r="F122" s="59"/>
      <c r="G122" s="59"/>
      <c r="H122" s="60" t="str">
        <f t="array" ref="H122">IF(OR(A122="",B122=""),"",IF(COUNTIFS(ETFs!$A$6:$A$25,B122)&lt;&gt;1,"Unmatched ETF",INDEX(ETFs!$D$6:$D$25,MATCH(B122,ETFs!$A$6:$A$25,0))))</f>
        <v/>
      </c>
      <c r="I122" s="62" t="str">
        <f t="array" ref="I122">IF(OR(A122="",B122=""),"",IF(COUNTIFS(ETFs!$A$6:$A$25,B122,ETFs!$K$6:$K$25,1)&lt;&gt;1,"",INDEX(ETFs!$G$6:$G$25,MATCH(B122,ETFs!$A$6:$A$25,0))))</f>
        <v/>
      </c>
      <c r="J122" s="60" t="str">
        <f t="shared" si="1"/>
        <v/>
      </c>
      <c r="K122" s="60" t="str">
        <f t="array" ref="K122">IF(OR(A122="",B122=""),"",IF(COUNTIFS(ETFs!$A$6:$A$25,B122,ETFs!$K$6:$K$25,1)&lt;&gt;1,0,IF(AND(J122=1,COUNTIFS(Companies!$A$6:$A$55,A122,Companies!$R$6:$R$55,1)=1,ISNUMBER(C122),C122&gt;=0,C122&lt;=1,ISNUMBER(D122),D122&gt;=0,ISNUMBER(I122),ABS(D122-C122*I122)&lt;=0.00000001*MAX(1,I122),ISNUMBER(E122),E122=INDEX(ETFs!$H$6:$H$25,MATCH(B122,ETFs!$A$6:$A$25,0)),G122="Yes",F122&lt;&gt;""),1,0)))</f>
        <v/>
      </c>
      <c r="L122" s="60" t="str">
        <f t="shared" si="2"/>
        <v/>
      </c>
    </row>
    <row r="123" ht="24.0" customHeight="1">
      <c r="A123" s="59"/>
      <c r="B123" s="59"/>
      <c r="C123" s="61"/>
      <c r="D123" s="56"/>
      <c r="E123" s="57"/>
      <c r="F123" s="59"/>
      <c r="G123" s="59"/>
      <c r="H123" s="60" t="str">
        <f t="array" ref="H123">IF(OR(A123="",B123=""),"",IF(COUNTIFS(ETFs!$A$6:$A$25,B123)&lt;&gt;1,"Unmatched ETF",INDEX(ETFs!$D$6:$D$25,MATCH(B123,ETFs!$A$6:$A$25,0))))</f>
        <v/>
      </c>
      <c r="I123" s="62" t="str">
        <f t="array" ref="I123">IF(OR(A123="",B123=""),"",IF(COUNTIFS(ETFs!$A$6:$A$25,B123,ETFs!$K$6:$K$25,1)&lt;&gt;1,"",INDEX(ETFs!$G$6:$G$25,MATCH(B123,ETFs!$A$6:$A$25,0))))</f>
        <v/>
      </c>
      <c r="J123" s="60" t="str">
        <f t="shared" si="1"/>
        <v/>
      </c>
      <c r="K123" s="60" t="str">
        <f t="array" ref="K123">IF(OR(A123="",B123=""),"",IF(COUNTIFS(ETFs!$A$6:$A$25,B123,ETFs!$K$6:$K$25,1)&lt;&gt;1,0,IF(AND(J123=1,COUNTIFS(Companies!$A$6:$A$55,A123,Companies!$R$6:$R$55,1)=1,ISNUMBER(C123),C123&gt;=0,C123&lt;=1,ISNUMBER(D123),D123&gt;=0,ISNUMBER(I123),ABS(D123-C123*I123)&lt;=0.00000001*MAX(1,I123),ISNUMBER(E123),E123=INDEX(ETFs!$H$6:$H$25,MATCH(B123,ETFs!$A$6:$A$25,0)),G123="Yes",F123&lt;&gt;""),1,0)))</f>
        <v/>
      </c>
      <c r="L123" s="60" t="str">
        <f t="shared" si="2"/>
        <v/>
      </c>
    </row>
    <row r="124" ht="24.0" customHeight="1">
      <c r="A124" s="59"/>
      <c r="B124" s="59"/>
      <c r="C124" s="61"/>
      <c r="D124" s="56"/>
      <c r="E124" s="57"/>
      <c r="F124" s="59"/>
      <c r="G124" s="59"/>
      <c r="H124" s="60" t="str">
        <f t="array" ref="H124">IF(OR(A124="",B124=""),"",IF(COUNTIFS(ETFs!$A$6:$A$25,B124)&lt;&gt;1,"Unmatched ETF",INDEX(ETFs!$D$6:$D$25,MATCH(B124,ETFs!$A$6:$A$25,0))))</f>
        <v/>
      </c>
      <c r="I124" s="62" t="str">
        <f t="array" ref="I124">IF(OR(A124="",B124=""),"",IF(COUNTIFS(ETFs!$A$6:$A$25,B124,ETFs!$K$6:$K$25,1)&lt;&gt;1,"",INDEX(ETFs!$G$6:$G$25,MATCH(B124,ETFs!$A$6:$A$25,0))))</f>
        <v/>
      </c>
      <c r="J124" s="60" t="str">
        <f t="shared" si="1"/>
        <v/>
      </c>
      <c r="K124" s="60" t="str">
        <f t="array" ref="K124">IF(OR(A124="",B124=""),"",IF(COUNTIFS(ETFs!$A$6:$A$25,B124,ETFs!$K$6:$K$25,1)&lt;&gt;1,0,IF(AND(J124=1,COUNTIFS(Companies!$A$6:$A$55,A124,Companies!$R$6:$R$55,1)=1,ISNUMBER(C124),C124&gt;=0,C124&lt;=1,ISNUMBER(D124),D124&gt;=0,ISNUMBER(I124),ABS(D124-C124*I124)&lt;=0.00000001*MAX(1,I124),ISNUMBER(E124),E124=INDEX(ETFs!$H$6:$H$25,MATCH(B124,ETFs!$A$6:$A$25,0)),G124="Yes",F124&lt;&gt;""),1,0)))</f>
        <v/>
      </c>
      <c r="L124" s="60" t="str">
        <f t="shared" si="2"/>
        <v/>
      </c>
    </row>
    <row r="125" ht="24.0" customHeight="1">
      <c r="A125" s="59"/>
      <c r="B125" s="59"/>
      <c r="C125" s="61"/>
      <c r="D125" s="56"/>
      <c r="E125" s="57"/>
      <c r="F125" s="59"/>
      <c r="G125" s="59"/>
      <c r="H125" s="60" t="str">
        <f t="array" ref="H125">IF(OR(A125="",B125=""),"",IF(COUNTIFS(ETFs!$A$6:$A$25,B125)&lt;&gt;1,"Unmatched ETF",INDEX(ETFs!$D$6:$D$25,MATCH(B125,ETFs!$A$6:$A$25,0))))</f>
        <v/>
      </c>
      <c r="I125" s="62" t="str">
        <f t="array" ref="I125">IF(OR(A125="",B125=""),"",IF(COUNTIFS(ETFs!$A$6:$A$25,B125,ETFs!$K$6:$K$25,1)&lt;&gt;1,"",INDEX(ETFs!$G$6:$G$25,MATCH(B125,ETFs!$A$6:$A$25,0))))</f>
        <v/>
      </c>
      <c r="J125" s="60" t="str">
        <f t="shared" si="1"/>
        <v/>
      </c>
      <c r="K125" s="60" t="str">
        <f t="array" ref="K125">IF(OR(A125="",B125=""),"",IF(COUNTIFS(ETFs!$A$6:$A$25,B125,ETFs!$K$6:$K$25,1)&lt;&gt;1,0,IF(AND(J125=1,COUNTIFS(Companies!$A$6:$A$55,A125,Companies!$R$6:$R$55,1)=1,ISNUMBER(C125),C125&gt;=0,C125&lt;=1,ISNUMBER(D125),D125&gt;=0,ISNUMBER(I125),ABS(D125-C125*I125)&lt;=0.00000001*MAX(1,I125),ISNUMBER(E125),E125=INDEX(ETFs!$H$6:$H$25,MATCH(B125,ETFs!$A$6:$A$25,0)),G125="Yes",F125&lt;&gt;""),1,0)))</f>
        <v/>
      </c>
      <c r="L125" s="60" t="str">
        <f t="shared" si="2"/>
        <v/>
      </c>
    </row>
    <row r="126" ht="24.0" customHeight="1">
      <c r="A126" s="59"/>
      <c r="B126" s="59"/>
      <c r="C126" s="61"/>
      <c r="D126" s="56"/>
      <c r="E126" s="57"/>
      <c r="F126" s="59"/>
      <c r="G126" s="59"/>
      <c r="H126" s="60" t="str">
        <f t="array" ref="H126">IF(OR(A126="",B126=""),"",IF(COUNTIFS(ETFs!$A$6:$A$25,B126)&lt;&gt;1,"Unmatched ETF",INDEX(ETFs!$D$6:$D$25,MATCH(B126,ETFs!$A$6:$A$25,0))))</f>
        <v/>
      </c>
      <c r="I126" s="62" t="str">
        <f t="array" ref="I126">IF(OR(A126="",B126=""),"",IF(COUNTIFS(ETFs!$A$6:$A$25,B126,ETFs!$K$6:$K$25,1)&lt;&gt;1,"",INDEX(ETFs!$G$6:$G$25,MATCH(B126,ETFs!$A$6:$A$25,0))))</f>
        <v/>
      </c>
      <c r="J126" s="60" t="str">
        <f t="shared" si="1"/>
        <v/>
      </c>
      <c r="K126" s="60" t="str">
        <f t="array" ref="K126">IF(OR(A126="",B126=""),"",IF(COUNTIFS(ETFs!$A$6:$A$25,B126,ETFs!$K$6:$K$25,1)&lt;&gt;1,0,IF(AND(J126=1,COUNTIFS(Companies!$A$6:$A$55,A126,Companies!$R$6:$R$55,1)=1,ISNUMBER(C126),C126&gt;=0,C126&lt;=1,ISNUMBER(D126),D126&gt;=0,ISNUMBER(I126),ABS(D126-C126*I126)&lt;=0.00000001*MAX(1,I126),ISNUMBER(E126),E126=INDEX(ETFs!$H$6:$H$25,MATCH(B126,ETFs!$A$6:$A$25,0)),G126="Yes",F126&lt;&gt;""),1,0)))</f>
        <v/>
      </c>
      <c r="L126" s="60" t="str">
        <f t="shared" si="2"/>
        <v/>
      </c>
    </row>
    <row r="127" ht="24.0" customHeight="1">
      <c r="A127" s="59"/>
      <c r="B127" s="59"/>
      <c r="C127" s="61"/>
      <c r="D127" s="56"/>
      <c r="E127" s="57"/>
      <c r="F127" s="59"/>
      <c r="G127" s="59"/>
      <c r="H127" s="60" t="str">
        <f t="array" ref="H127">IF(OR(A127="",B127=""),"",IF(COUNTIFS(ETFs!$A$6:$A$25,B127)&lt;&gt;1,"Unmatched ETF",INDEX(ETFs!$D$6:$D$25,MATCH(B127,ETFs!$A$6:$A$25,0))))</f>
        <v/>
      </c>
      <c r="I127" s="62" t="str">
        <f t="array" ref="I127">IF(OR(A127="",B127=""),"",IF(COUNTIFS(ETFs!$A$6:$A$25,B127,ETFs!$K$6:$K$25,1)&lt;&gt;1,"",INDEX(ETFs!$G$6:$G$25,MATCH(B127,ETFs!$A$6:$A$25,0))))</f>
        <v/>
      </c>
      <c r="J127" s="60" t="str">
        <f t="shared" si="1"/>
        <v/>
      </c>
      <c r="K127" s="60" t="str">
        <f t="array" ref="K127">IF(OR(A127="",B127=""),"",IF(COUNTIFS(ETFs!$A$6:$A$25,B127,ETFs!$K$6:$K$25,1)&lt;&gt;1,0,IF(AND(J127=1,COUNTIFS(Companies!$A$6:$A$55,A127,Companies!$R$6:$R$55,1)=1,ISNUMBER(C127),C127&gt;=0,C127&lt;=1,ISNUMBER(D127),D127&gt;=0,ISNUMBER(I127),ABS(D127-C127*I127)&lt;=0.00000001*MAX(1,I127),ISNUMBER(E127),E127=INDEX(ETFs!$H$6:$H$25,MATCH(B127,ETFs!$A$6:$A$25,0)),G127="Yes",F127&lt;&gt;""),1,0)))</f>
        <v/>
      </c>
      <c r="L127" s="60" t="str">
        <f t="shared" si="2"/>
        <v/>
      </c>
    </row>
    <row r="128" ht="24.0" customHeight="1">
      <c r="A128" s="59"/>
      <c r="B128" s="59"/>
      <c r="C128" s="61"/>
      <c r="D128" s="56"/>
      <c r="E128" s="57"/>
      <c r="F128" s="59"/>
      <c r="G128" s="59"/>
      <c r="H128" s="60" t="str">
        <f t="array" ref="H128">IF(OR(A128="",B128=""),"",IF(COUNTIFS(ETFs!$A$6:$A$25,B128)&lt;&gt;1,"Unmatched ETF",INDEX(ETFs!$D$6:$D$25,MATCH(B128,ETFs!$A$6:$A$25,0))))</f>
        <v/>
      </c>
      <c r="I128" s="62" t="str">
        <f t="array" ref="I128">IF(OR(A128="",B128=""),"",IF(COUNTIFS(ETFs!$A$6:$A$25,B128,ETFs!$K$6:$K$25,1)&lt;&gt;1,"",INDEX(ETFs!$G$6:$G$25,MATCH(B128,ETFs!$A$6:$A$25,0))))</f>
        <v/>
      </c>
      <c r="J128" s="60" t="str">
        <f t="shared" si="1"/>
        <v/>
      </c>
      <c r="K128" s="60" t="str">
        <f t="array" ref="K128">IF(OR(A128="",B128=""),"",IF(COUNTIFS(ETFs!$A$6:$A$25,B128,ETFs!$K$6:$K$25,1)&lt;&gt;1,0,IF(AND(J128=1,COUNTIFS(Companies!$A$6:$A$55,A128,Companies!$R$6:$R$55,1)=1,ISNUMBER(C128),C128&gt;=0,C128&lt;=1,ISNUMBER(D128),D128&gt;=0,ISNUMBER(I128),ABS(D128-C128*I128)&lt;=0.00000001*MAX(1,I128),ISNUMBER(E128),E128=INDEX(ETFs!$H$6:$H$25,MATCH(B128,ETFs!$A$6:$A$25,0)),G128="Yes",F128&lt;&gt;""),1,0)))</f>
        <v/>
      </c>
      <c r="L128" s="60" t="str">
        <f t="shared" si="2"/>
        <v/>
      </c>
    </row>
    <row r="129" ht="24.0" customHeight="1">
      <c r="A129" s="59"/>
      <c r="B129" s="59"/>
      <c r="C129" s="61"/>
      <c r="D129" s="56"/>
      <c r="E129" s="57"/>
      <c r="F129" s="59"/>
      <c r="G129" s="59"/>
      <c r="H129" s="60" t="str">
        <f t="array" ref="H129">IF(OR(A129="",B129=""),"",IF(COUNTIFS(ETFs!$A$6:$A$25,B129)&lt;&gt;1,"Unmatched ETF",INDEX(ETFs!$D$6:$D$25,MATCH(B129,ETFs!$A$6:$A$25,0))))</f>
        <v/>
      </c>
      <c r="I129" s="62" t="str">
        <f t="array" ref="I129">IF(OR(A129="",B129=""),"",IF(COUNTIFS(ETFs!$A$6:$A$25,B129,ETFs!$K$6:$K$25,1)&lt;&gt;1,"",INDEX(ETFs!$G$6:$G$25,MATCH(B129,ETFs!$A$6:$A$25,0))))</f>
        <v/>
      </c>
      <c r="J129" s="60" t="str">
        <f t="shared" si="1"/>
        <v/>
      </c>
      <c r="K129" s="60" t="str">
        <f t="array" ref="K129">IF(OR(A129="",B129=""),"",IF(COUNTIFS(ETFs!$A$6:$A$25,B129,ETFs!$K$6:$K$25,1)&lt;&gt;1,0,IF(AND(J129=1,COUNTIFS(Companies!$A$6:$A$55,A129,Companies!$R$6:$R$55,1)=1,ISNUMBER(C129),C129&gt;=0,C129&lt;=1,ISNUMBER(D129),D129&gt;=0,ISNUMBER(I129),ABS(D129-C129*I129)&lt;=0.00000001*MAX(1,I129),ISNUMBER(E129),E129=INDEX(ETFs!$H$6:$H$25,MATCH(B129,ETFs!$A$6:$A$25,0)),G129="Yes",F129&lt;&gt;""),1,0)))</f>
        <v/>
      </c>
      <c r="L129" s="60" t="str">
        <f t="shared" si="2"/>
        <v/>
      </c>
    </row>
    <row r="130" ht="24.0" customHeight="1">
      <c r="A130" s="59"/>
      <c r="B130" s="59"/>
      <c r="C130" s="61"/>
      <c r="D130" s="56"/>
      <c r="E130" s="57"/>
      <c r="F130" s="59"/>
      <c r="G130" s="59"/>
      <c r="H130" s="60" t="str">
        <f t="array" ref="H130">IF(OR(A130="",B130=""),"",IF(COUNTIFS(ETFs!$A$6:$A$25,B130)&lt;&gt;1,"Unmatched ETF",INDEX(ETFs!$D$6:$D$25,MATCH(B130,ETFs!$A$6:$A$25,0))))</f>
        <v/>
      </c>
      <c r="I130" s="62" t="str">
        <f t="array" ref="I130">IF(OR(A130="",B130=""),"",IF(COUNTIFS(ETFs!$A$6:$A$25,B130,ETFs!$K$6:$K$25,1)&lt;&gt;1,"",INDEX(ETFs!$G$6:$G$25,MATCH(B130,ETFs!$A$6:$A$25,0))))</f>
        <v/>
      </c>
      <c r="J130" s="60" t="str">
        <f t="shared" si="1"/>
        <v/>
      </c>
      <c r="K130" s="60" t="str">
        <f t="array" ref="K130">IF(OR(A130="",B130=""),"",IF(COUNTIFS(ETFs!$A$6:$A$25,B130,ETFs!$K$6:$K$25,1)&lt;&gt;1,0,IF(AND(J130=1,COUNTIFS(Companies!$A$6:$A$55,A130,Companies!$R$6:$R$55,1)=1,ISNUMBER(C130),C130&gt;=0,C130&lt;=1,ISNUMBER(D130),D130&gt;=0,ISNUMBER(I130),ABS(D130-C130*I130)&lt;=0.00000001*MAX(1,I130),ISNUMBER(E130),E130=INDEX(ETFs!$H$6:$H$25,MATCH(B130,ETFs!$A$6:$A$25,0)),G130="Yes",F130&lt;&gt;""),1,0)))</f>
        <v/>
      </c>
      <c r="L130" s="60" t="str">
        <f t="shared" si="2"/>
        <v/>
      </c>
    </row>
    <row r="131" ht="24.0" customHeight="1">
      <c r="A131" s="59"/>
      <c r="B131" s="59"/>
      <c r="C131" s="61"/>
      <c r="D131" s="56"/>
      <c r="E131" s="57"/>
      <c r="F131" s="59"/>
      <c r="G131" s="59"/>
      <c r="H131" s="60" t="str">
        <f t="array" ref="H131">IF(OR(A131="",B131=""),"",IF(COUNTIFS(ETFs!$A$6:$A$25,B131)&lt;&gt;1,"Unmatched ETF",INDEX(ETFs!$D$6:$D$25,MATCH(B131,ETFs!$A$6:$A$25,0))))</f>
        <v/>
      </c>
      <c r="I131" s="62" t="str">
        <f t="array" ref="I131">IF(OR(A131="",B131=""),"",IF(COUNTIFS(ETFs!$A$6:$A$25,B131,ETFs!$K$6:$K$25,1)&lt;&gt;1,"",INDEX(ETFs!$G$6:$G$25,MATCH(B131,ETFs!$A$6:$A$25,0))))</f>
        <v/>
      </c>
      <c r="J131" s="60" t="str">
        <f t="shared" si="1"/>
        <v/>
      </c>
      <c r="K131" s="60" t="str">
        <f t="array" ref="K131">IF(OR(A131="",B131=""),"",IF(COUNTIFS(ETFs!$A$6:$A$25,B131,ETFs!$K$6:$K$25,1)&lt;&gt;1,0,IF(AND(J131=1,COUNTIFS(Companies!$A$6:$A$55,A131,Companies!$R$6:$R$55,1)=1,ISNUMBER(C131),C131&gt;=0,C131&lt;=1,ISNUMBER(D131),D131&gt;=0,ISNUMBER(I131),ABS(D131-C131*I131)&lt;=0.00000001*MAX(1,I131),ISNUMBER(E131),E131=INDEX(ETFs!$H$6:$H$25,MATCH(B131,ETFs!$A$6:$A$25,0)),G131="Yes",F131&lt;&gt;""),1,0)))</f>
        <v/>
      </c>
      <c r="L131" s="60" t="str">
        <f t="shared" si="2"/>
        <v/>
      </c>
    </row>
    <row r="132" ht="24.0" customHeight="1">
      <c r="A132" s="59"/>
      <c r="B132" s="59"/>
      <c r="C132" s="61"/>
      <c r="D132" s="56"/>
      <c r="E132" s="57"/>
      <c r="F132" s="59"/>
      <c r="G132" s="59"/>
      <c r="H132" s="60" t="str">
        <f t="array" ref="H132">IF(OR(A132="",B132=""),"",IF(COUNTIFS(ETFs!$A$6:$A$25,B132)&lt;&gt;1,"Unmatched ETF",INDEX(ETFs!$D$6:$D$25,MATCH(B132,ETFs!$A$6:$A$25,0))))</f>
        <v/>
      </c>
      <c r="I132" s="62" t="str">
        <f t="array" ref="I132">IF(OR(A132="",B132=""),"",IF(COUNTIFS(ETFs!$A$6:$A$25,B132,ETFs!$K$6:$K$25,1)&lt;&gt;1,"",INDEX(ETFs!$G$6:$G$25,MATCH(B132,ETFs!$A$6:$A$25,0))))</f>
        <v/>
      </c>
      <c r="J132" s="60" t="str">
        <f t="shared" si="1"/>
        <v/>
      </c>
      <c r="K132" s="60" t="str">
        <f t="array" ref="K132">IF(OR(A132="",B132=""),"",IF(COUNTIFS(ETFs!$A$6:$A$25,B132,ETFs!$K$6:$K$25,1)&lt;&gt;1,0,IF(AND(J132=1,COUNTIFS(Companies!$A$6:$A$55,A132,Companies!$R$6:$R$55,1)=1,ISNUMBER(C132),C132&gt;=0,C132&lt;=1,ISNUMBER(D132),D132&gt;=0,ISNUMBER(I132),ABS(D132-C132*I132)&lt;=0.00000001*MAX(1,I132),ISNUMBER(E132),E132=INDEX(ETFs!$H$6:$H$25,MATCH(B132,ETFs!$A$6:$A$25,0)),G132="Yes",F132&lt;&gt;""),1,0)))</f>
        <v/>
      </c>
      <c r="L132" s="60" t="str">
        <f t="shared" si="2"/>
        <v/>
      </c>
    </row>
    <row r="133" ht="24.0" customHeight="1">
      <c r="A133" s="59"/>
      <c r="B133" s="59"/>
      <c r="C133" s="61"/>
      <c r="D133" s="56"/>
      <c r="E133" s="57"/>
      <c r="F133" s="59"/>
      <c r="G133" s="59"/>
      <c r="H133" s="60" t="str">
        <f t="array" ref="H133">IF(OR(A133="",B133=""),"",IF(COUNTIFS(ETFs!$A$6:$A$25,B133)&lt;&gt;1,"Unmatched ETF",INDEX(ETFs!$D$6:$D$25,MATCH(B133,ETFs!$A$6:$A$25,0))))</f>
        <v/>
      </c>
      <c r="I133" s="62" t="str">
        <f t="array" ref="I133">IF(OR(A133="",B133=""),"",IF(COUNTIFS(ETFs!$A$6:$A$25,B133,ETFs!$K$6:$K$25,1)&lt;&gt;1,"",INDEX(ETFs!$G$6:$G$25,MATCH(B133,ETFs!$A$6:$A$25,0))))</f>
        <v/>
      </c>
      <c r="J133" s="60" t="str">
        <f t="shared" si="1"/>
        <v/>
      </c>
      <c r="K133" s="60" t="str">
        <f t="array" ref="K133">IF(OR(A133="",B133=""),"",IF(COUNTIFS(ETFs!$A$6:$A$25,B133,ETFs!$K$6:$K$25,1)&lt;&gt;1,0,IF(AND(J133=1,COUNTIFS(Companies!$A$6:$A$55,A133,Companies!$R$6:$R$55,1)=1,ISNUMBER(C133),C133&gt;=0,C133&lt;=1,ISNUMBER(D133),D133&gt;=0,ISNUMBER(I133),ABS(D133-C133*I133)&lt;=0.00000001*MAX(1,I133),ISNUMBER(E133),E133=INDEX(ETFs!$H$6:$H$25,MATCH(B133,ETFs!$A$6:$A$25,0)),G133="Yes",F133&lt;&gt;""),1,0)))</f>
        <v/>
      </c>
      <c r="L133" s="60" t="str">
        <f t="shared" si="2"/>
        <v/>
      </c>
    </row>
    <row r="134" ht="24.0" customHeight="1">
      <c r="A134" s="59"/>
      <c r="B134" s="59"/>
      <c r="C134" s="61"/>
      <c r="D134" s="56"/>
      <c r="E134" s="57"/>
      <c r="F134" s="59"/>
      <c r="G134" s="59"/>
      <c r="H134" s="60" t="str">
        <f t="array" ref="H134">IF(OR(A134="",B134=""),"",IF(COUNTIFS(ETFs!$A$6:$A$25,B134)&lt;&gt;1,"Unmatched ETF",INDEX(ETFs!$D$6:$D$25,MATCH(B134,ETFs!$A$6:$A$25,0))))</f>
        <v/>
      </c>
      <c r="I134" s="62" t="str">
        <f t="array" ref="I134">IF(OR(A134="",B134=""),"",IF(COUNTIFS(ETFs!$A$6:$A$25,B134,ETFs!$K$6:$K$25,1)&lt;&gt;1,"",INDEX(ETFs!$G$6:$G$25,MATCH(B134,ETFs!$A$6:$A$25,0))))</f>
        <v/>
      </c>
      <c r="J134" s="60" t="str">
        <f t="shared" si="1"/>
        <v/>
      </c>
      <c r="K134" s="60" t="str">
        <f t="array" ref="K134">IF(OR(A134="",B134=""),"",IF(COUNTIFS(ETFs!$A$6:$A$25,B134,ETFs!$K$6:$K$25,1)&lt;&gt;1,0,IF(AND(J134=1,COUNTIFS(Companies!$A$6:$A$55,A134,Companies!$R$6:$R$55,1)=1,ISNUMBER(C134),C134&gt;=0,C134&lt;=1,ISNUMBER(D134),D134&gt;=0,ISNUMBER(I134),ABS(D134-C134*I134)&lt;=0.00000001*MAX(1,I134),ISNUMBER(E134),E134=INDEX(ETFs!$H$6:$H$25,MATCH(B134,ETFs!$A$6:$A$25,0)),G134="Yes",F134&lt;&gt;""),1,0)))</f>
        <v/>
      </c>
      <c r="L134" s="60" t="str">
        <f t="shared" si="2"/>
        <v/>
      </c>
    </row>
    <row r="135" ht="24.0" customHeight="1">
      <c r="A135" s="59"/>
      <c r="B135" s="59"/>
      <c r="C135" s="61"/>
      <c r="D135" s="56"/>
      <c r="E135" s="57"/>
      <c r="F135" s="59"/>
      <c r="G135" s="59"/>
      <c r="H135" s="60" t="str">
        <f t="array" ref="H135">IF(OR(A135="",B135=""),"",IF(COUNTIFS(ETFs!$A$6:$A$25,B135)&lt;&gt;1,"Unmatched ETF",INDEX(ETFs!$D$6:$D$25,MATCH(B135,ETFs!$A$6:$A$25,0))))</f>
        <v/>
      </c>
      <c r="I135" s="62" t="str">
        <f t="array" ref="I135">IF(OR(A135="",B135=""),"",IF(COUNTIFS(ETFs!$A$6:$A$25,B135,ETFs!$K$6:$K$25,1)&lt;&gt;1,"",INDEX(ETFs!$G$6:$G$25,MATCH(B135,ETFs!$A$6:$A$25,0))))</f>
        <v/>
      </c>
      <c r="J135" s="60" t="str">
        <f t="shared" si="1"/>
        <v/>
      </c>
      <c r="K135" s="60" t="str">
        <f t="array" ref="K135">IF(OR(A135="",B135=""),"",IF(COUNTIFS(ETFs!$A$6:$A$25,B135,ETFs!$K$6:$K$25,1)&lt;&gt;1,0,IF(AND(J135=1,COUNTIFS(Companies!$A$6:$A$55,A135,Companies!$R$6:$R$55,1)=1,ISNUMBER(C135),C135&gt;=0,C135&lt;=1,ISNUMBER(D135),D135&gt;=0,ISNUMBER(I135),ABS(D135-C135*I135)&lt;=0.00000001*MAX(1,I135),ISNUMBER(E135),E135=INDEX(ETFs!$H$6:$H$25,MATCH(B135,ETFs!$A$6:$A$25,0)),G135="Yes",F135&lt;&gt;""),1,0)))</f>
        <v/>
      </c>
      <c r="L135" s="60" t="str">
        <f t="shared" si="2"/>
        <v/>
      </c>
    </row>
    <row r="136" ht="24.0" customHeight="1">
      <c r="A136" s="59"/>
      <c r="B136" s="59"/>
      <c r="C136" s="61"/>
      <c r="D136" s="56"/>
      <c r="E136" s="57"/>
      <c r="F136" s="59"/>
      <c r="G136" s="59"/>
      <c r="H136" s="60" t="str">
        <f t="array" ref="H136">IF(OR(A136="",B136=""),"",IF(COUNTIFS(ETFs!$A$6:$A$25,B136)&lt;&gt;1,"Unmatched ETF",INDEX(ETFs!$D$6:$D$25,MATCH(B136,ETFs!$A$6:$A$25,0))))</f>
        <v/>
      </c>
      <c r="I136" s="62" t="str">
        <f t="array" ref="I136">IF(OR(A136="",B136=""),"",IF(COUNTIFS(ETFs!$A$6:$A$25,B136,ETFs!$K$6:$K$25,1)&lt;&gt;1,"",INDEX(ETFs!$G$6:$G$25,MATCH(B136,ETFs!$A$6:$A$25,0))))</f>
        <v/>
      </c>
      <c r="J136" s="60" t="str">
        <f t="shared" si="1"/>
        <v/>
      </c>
      <c r="K136" s="60" t="str">
        <f t="array" ref="K136">IF(OR(A136="",B136=""),"",IF(COUNTIFS(ETFs!$A$6:$A$25,B136,ETFs!$K$6:$K$25,1)&lt;&gt;1,0,IF(AND(J136=1,COUNTIFS(Companies!$A$6:$A$55,A136,Companies!$R$6:$R$55,1)=1,ISNUMBER(C136),C136&gt;=0,C136&lt;=1,ISNUMBER(D136),D136&gt;=0,ISNUMBER(I136),ABS(D136-C136*I136)&lt;=0.00000001*MAX(1,I136),ISNUMBER(E136),E136=INDEX(ETFs!$H$6:$H$25,MATCH(B136,ETFs!$A$6:$A$25,0)),G136="Yes",F136&lt;&gt;""),1,0)))</f>
        <v/>
      </c>
      <c r="L136" s="60" t="str">
        <f t="shared" si="2"/>
        <v/>
      </c>
    </row>
    <row r="137" ht="24.0" customHeight="1">
      <c r="A137" s="59"/>
      <c r="B137" s="59"/>
      <c r="C137" s="61"/>
      <c r="D137" s="56"/>
      <c r="E137" s="57"/>
      <c r="F137" s="59"/>
      <c r="G137" s="59"/>
      <c r="H137" s="60" t="str">
        <f t="array" ref="H137">IF(OR(A137="",B137=""),"",IF(COUNTIFS(ETFs!$A$6:$A$25,B137)&lt;&gt;1,"Unmatched ETF",INDEX(ETFs!$D$6:$D$25,MATCH(B137,ETFs!$A$6:$A$25,0))))</f>
        <v/>
      </c>
      <c r="I137" s="62" t="str">
        <f t="array" ref="I137">IF(OR(A137="",B137=""),"",IF(COUNTIFS(ETFs!$A$6:$A$25,B137,ETFs!$K$6:$K$25,1)&lt;&gt;1,"",INDEX(ETFs!$G$6:$G$25,MATCH(B137,ETFs!$A$6:$A$25,0))))</f>
        <v/>
      </c>
      <c r="J137" s="60" t="str">
        <f t="shared" si="1"/>
        <v/>
      </c>
      <c r="K137" s="60" t="str">
        <f t="array" ref="K137">IF(OR(A137="",B137=""),"",IF(COUNTIFS(ETFs!$A$6:$A$25,B137,ETFs!$K$6:$K$25,1)&lt;&gt;1,0,IF(AND(J137=1,COUNTIFS(Companies!$A$6:$A$55,A137,Companies!$R$6:$R$55,1)=1,ISNUMBER(C137),C137&gt;=0,C137&lt;=1,ISNUMBER(D137),D137&gt;=0,ISNUMBER(I137),ABS(D137-C137*I137)&lt;=0.00000001*MAX(1,I137),ISNUMBER(E137),E137=INDEX(ETFs!$H$6:$H$25,MATCH(B137,ETFs!$A$6:$A$25,0)),G137="Yes",F137&lt;&gt;""),1,0)))</f>
        <v/>
      </c>
      <c r="L137" s="60" t="str">
        <f t="shared" si="2"/>
        <v/>
      </c>
    </row>
    <row r="138" ht="24.0" customHeight="1">
      <c r="A138" s="59"/>
      <c r="B138" s="59"/>
      <c r="C138" s="61"/>
      <c r="D138" s="56"/>
      <c r="E138" s="57"/>
      <c r="F138" s="59"/>
      <c r="G138" s="59"/>
      <c r="H138" s="60" t="str">
        <f t="array" ref="H138">IF(OR(A138="",B138=""),"",IF(COUNTIFS(ETFs!$A$6:$A$25,B138)&lt;&gt;1,"Unmatched ETF",INDEX(ETFs!$D$6:$D$25,MATCH(B138,ETFs!$A$6:$A$25,0))))</f>
        <v/>
      </c>
      <c r="I138" s="62" t="str">
        <f t="array" ref="I138">IF(OR(A138="",B138=""),"",IF(COUNTIFS(ETFs!$A$6:$A$25,B138,ETFs!$K$6:$K$25,1)&lt;&gt;1,"",INDEX(ETFs!$G$6:$G$25,MATCH(B138,ETFs!$A$6:$A$25,0))))</f>
        <v/>
      </c>
      <c r="J138" s="60" t="str">
        <f t="shared" si="1"/>
        <v/>
      </c>
      <c r="K138" s="60" t="str">
        <f t="array" ref="K138">IF(OR(A138="",B138=""),"",IF(COUNTIFS(ETFs!$A$6:$A$25,B138,ETFs!$K$6:$K$25,1)&lt;&gt;1,0,IF(AND(J138=1,COUNTIFS(Companies!$A$6:$A$55,A138,Companies!$R$6:$R$55,1)=1,ISNUMBER(C138),C138&gt;=0,C138&lt;=1,ISNUMBER(D138),D138&gt;=0,ISNUMBER(I138),ABS(D138-C138*I138)&lt;=0.00000001*MAX(1,I138),ISNUMBER(E138),E138=INDEX(ETFs!$H$6:$H$25,MATCH(B138,ETFs!$A$6:$A$25,0)),G138="Yes",F138&lt;&gt;""),1,0)))</f>
        <v/>
      </c>
      <c r="L138" s="60" t="str">
        <f t="shared" si="2"/>
        <v/>
      </c>
    </row>
    <row r="139" ht="24.0" customHeight="1">
      <c r="A139" s="59"/>
      <c r="B139" s="59"/>
      <c r="C139" s="61"/>
      <c r="D139" s="56"/>
      <c r="E139" s="57"/>
      <c r="F139" s="59"/>
      <c r="G139" s="59"/>
      <c r="H139" s="60" t="str">
        <f t="array" ref="H139">IF(OR(A139="",B139=""),"",IF(COUNTIFS(ETFs!$A$6:$A$25,B139)&lt;&gt;1,"Unmatched ETF",INDEX(ETFs!$D$6:$D$25,MATCH(B139,ETFs!$A$6:$A$25,0))))</f>
        <v/>
      </c>
      <c r="I139" s="62" t="str">
        <f t="array" ref="I139">IF(OR(A139="",B139=""),"",IF(COUNTIFS(ETFs!$A$6:$A$25,B139,ETFs!$K$6:$K$25,1)&lt;&gt;1,"",INDEX(ETFs!$G$6:$G$25,MATCH(B139,ETFs!$A$6:$A$25,0))))</f>
        <v/>
      </c>
      <c r="J139" s="60" t="str">
        <f t="shared" si="1"/>
        <v/>
      </c>
      <c r="K139" s="60" t="str">
        <f t="array" ref="K139">IF(OR(A139="",B139=""),"",IF(COUNTIFS(ETFs!$A$6:$A$25,B139,ETFs!$K$6:$K$25,1)&lt;&gt;1,0,IF(AND(J139=1,COUNTIFS(Companies!$A$6:$A$55,A139,Companies!$R$6:$R$55,1)=1,ISNUMBER(C139),C139&gt;=0,C139&lt;=1,ISNUMBER(D139),D139&gt;=0,ISNUMBER(I139),ABS(D139-C139*I139)&lt;=0.00000001*MAX(1,I139),ISNUMBER(E139),E139=INDEX(ETFs!$H$6:$H$25,MATCH(B139,ETFs!$A$6:$A$25,0)),G139="Yes",F139&lt;&gt;""),1,0)))</f>
        <v/>
      </c>
      <c r="L139" s="60" t="str">
        <f t="shared" si="2"/>
        <v/>
      </c>
    </row>
    <row r="140" ht="24.0" customHeight="1">
      <c r="A140" s="59"/>
      <c r="B140" s="59"/>
      <c r="C140" s="61"/>
      <c r="D140" s="56"/>
      <c r="E140" s="57"/>
      <c r="F140" s="59"/>
      <c r="G140" s="59"/>
      <c r="H140" s="60" t="str">
        <f t="array" ref="H140">IF(OR(A140="",B140=""),"",IF(COUNTIFS(ETFs!$A$6:$A$25,B140)&lt;&gt;1,"Unmatched ETF",INDEX(ETFs!$D$6:$D$25,MATCH(B140,ETFs!$A$6:$A$25,0))))</f>
        <v/>
      </c>
      <c r="I140" s="62" t="str">
        <f t="array" ref="I140">IF(OR(A140="",B140=""),"",IF(COUNTIFS(ETFs!$A$6:$A$25,B140,ETFs!$K$6:$K$25,1)&lt;&gt;1,"",INDEX(ETFs!$G$6:$G$25,MATCH(B140,ETFs!$A$6:$A$25,0))))</f>
        <v/>
      </c>
      <c r="J140" s="60" t="str">
        <f t="shared" si="1"/>
        <v/>
      </c>
      <c r="K140" s="60" t="str">
        <f t="array" ref="K140">IF(OR(A140="",B140=""),"",IF(COUNTIFS(ETFs!$A$6:$A$25,B140,ETFs!$K$6:$K$25,1)&lt;&gt;1,0,IF(AND(J140=1,COUNTIFS(Companies!$A$6:$A$55,A140,Companies!$R$6:$R$55,1)=1,ISNUMBER(C140),C140&gt;=0,C140&lt;=1,ISNUMBER(D140),D140&gt;=0,ISNUMBER(I140),ABS(D140-C140*I140)&lt;=0.00000001*MAX(1,I140),ISNUMBER(E140),E140=INDEX(ETFs!$H$6:$H$25,MATCH(B140,ETFs!$A$6:$A$25,0)),G140="Yes",F140&lt;&gt;""),1,0)))</f>
        <v/>
      </c>
      <c r="L140" s="60" t="str">
        <f t="shared" si="2"/>
        <v/>
      </c>
    </row>
    <row r="141" ht="24.0" customHeight="1">
      <c r="A141" s="59"/>
      <c r="B141" s="59"/>
      <c r="C141" s="61"/>
      <c r="D141" s="56"/>
      <c r="E141" s="57"/>
      <c r="F141" s="59"/>
      <c r="G141" s="59"/>
      <c r="H141" s="60" t="str">
        <f t="array" ref="H141">IF(OR(A141="",B141=""),"",IF(COUNTIFS(ETFs!$A$6:$A$25,B141)&lt;&gt;1,"Unmatched ETF",INDEX(ETFs!$D$6:$D$25,MATCH(B141,ETFs!$A$6:$A$25,0))))</f>
        <v/>
      </c>
      <c r="I141" s="62" t="str">
        <f t="array" ref="I141">IF(OR(A141="",B141=""),"",IF(COUNTIFS(ETFs!$A$6:$A$25,B141,ETFs!$K$6:$K$25,1)&lt;&gt;1,"",INDEX(ETFs!$G$6:$G$25,MATCH(B141,ETFs!$A$6:$A$25,0))))</f>
        <v/>
      </c>
      <c r="J141" s="60" t="str">
        <f t="shared" si="1"/>
        <v/>
      </c>
      <c r="K141" s="60" t="str">
        <f t="array" ref="K141">IF(OR(A141="",B141=""),"",IF(COUNTIFS(ETFs!$A$6:$A$25,B141,ETFs!$K$6:$K$25,1)&lt;&gt;1,0,IF(AND(J141=1,COUNTIFS(Companies!$A$6:$A$55,A141,Companies!$R$6:$R$55,1)=1,ISNUMBER(C141),C141&gt;=0,C141&lt;=1,ISNUMBER(D141),D141&gt;=0,ISNUMBER(I141),ABS(D141-C141*I141)&lt;=0.00000001*MAX(1,I141),ISNUMBER(E141),E141=INDEX(ETFs!$H$6:$H$25,MATCH(B141,ETFs!$A$6:$A$25,0)),G141="Yes",F141&lt;&gt;""),1,0)))</f>
        <v/>
      </c>
      <c r="L141" s="60" t="str">
        <f t="shared" si="2"/>
        <v/>
      </c>
    </row>
    <row r="142" ht="24.0" customHeight="1">
      <c r="A142" s="59"/>
      <c r="B142" s="59"/>
      <c r="C142" s="61"/>
      <c r="D142" s="56"/>
      <c r="E142" s="57"/>
      <c r="F142" s="59"/>
      <c r="G142" s="59"/>
      <c r="H142" s="60" t="str">
        <f t="array" ref="H142">IF(OR(A142="",B142=""),"",IF(COUNTIFS(ETFs!$A$6:$A$25,B142)&lt;&gt;1,"Unmatched ETF",INDEX(ETFs!$D$6:$D$25,MATCH(B142,ETFs!$A$6:$A$25,0))))</f>
        <v/>
      </c>
      <c r="I142" s="62" t="str">
        <f t="array" ref="I142">IF(OR(A142="",B142=""),"",IF(COUNTIFS(ETFs!$A$6:$A$25,B142,ETFs!$K$6:$K$25,1)&lt;&gt;1,"",INDEX(ETFs!$G$6:$G$25,MATCH(B142,ETFs!$A$6:$A$25,0))))</f>
        <v/>
      </c>
      <c r="J142" s="60" t="str">
        <f t="shared" si="1"/>
        <v/>
      </c>
      <c r="K142" s="60" t="str">
        <f t="array" ref="K142">IF(OR(A142="",B142=""),"",IF(COUNTIFS(ETFs!$A$6:$A$25,B142,ETFs!$K$6:$K$25,1)&lt;&gt;1,0,IF(AND(J142=1,COUNTIFS(Companies!$A$6:$A$55,A142,Companies!$R$6:$R$55,1)=1,ISNUMBER(C142),C142&gt;=0,C142&lt;=1,ISNUMBER(D142),D142&gt;=0,ISNUMBER(I142),ABS(D142-C142*I142)&lt;=0.00000001*MAX(1,I142),ISNUMBER(E142),E142=INDEX(ETFs!$H$6:$H$25,MATCH(B142,ETFs!$A$6:$A$25,0)),G142="Yes",F142&lt;&gt;""),1,0)))</f>
        <v/>
      </c>
      <c r="L142" s="60" t="str">
        <f t="shared" si="2"/>
        <v/>
      </c>
    </row>
    <row r="143" ht="24.0" customHeight="1">
      <c r="A143" s="59"/>
      <c r="B143" s="59"/>
      <c r="C143" s="61"/>
      <c r="D143" s="56"/>
      <c r="E143" s="57"/>
      <c r="F143" s="59"/>
      <c r="G143" s="59"/>
      <c r="H143" s="60" t="str">
        <f t="array" ref="H143">IF(OR(A143="",B143=""),"",IF(COUNTIFS(ETFs!$A$6:$A$25,B143)&lt;&gt;1,"Unmatched ETF",INDEX(ETFs!$D$6:$D$25,MATCH(B143,ETFs!$A$6:$A$25,0))))</f>
        <v/>
      </c>
      <c r="I143" s="62" t="str">
        <f t="array" ref="I143">IF(OR(A143="",B143=""),"",IF(COUNTIFS(ETFs!$A$6:$A$25,B143,ETFs!$K$6:$K$25,1)&lt;&gt;1,"",INDEX(ETFs!$G$6:$G$25,MATCH(B143,ETFs!$A$6:$A$25,0))))</f>
        <v/>
      </c>
      <c r="J143" s="60" t="str">
        <f t="shared" si="1"/>
        <v/>
      </c>
      <c r="K143" s="60" t="str">
        <f t="array" ref="K143">IF(OR(A143="",B143=""),"",IF(COUNTIFS(ETFs!$A$6:$A$25,B143,ETFs!$K$6:$K$25,1)&lt;&gt;1,0,IF(AND(J143=1,COUNTIFS(Companies!$A$6:$A$55,A143,Companies!$R$6:$R$55,1)=1,ISNUMBER(C143),C143&gt;=0,C143&lt;=1,ISNUMBER(D143),D143&gt;=0,ISNUMBER(I143),ABS(D143-C143*I143)&lt;=0.00000001*MAX(1,I143),ISNUMBER(E143),E143=INDEX(ETFs!$H$6:$H$25,MATCH(B143,ETFs!$A$6:$A$25,0)),G143="Yes",F143&lt;&gt;""),1,0)))</f>
        <v/>
      </c>
      <c r="L143" s="60" t="str">
        <f t="shared" si="2"/>
        <v/>
      </c>
    </row>
    <row r="144" ht="24.0" customHeight="1">
      <c r="A144" s="59"/>
      <c r="B144" s="59"/>
      <c r="C144" s="61"/>
      <c r="D144" s="56"/>
      <c r="E144" s="57"/>
      <c r="F144" s="59"/>
      <c r="G144" s="59"/>
      <c r="H144" s="60" t="str">
        <f t="array" ref="H144">IF(OR(A144="",B144=""),"",IF(COUNTIFS(ETFs!$A$6:$A$25,B144)&lt;&gt;1,"Unmatched ETF",INDEX(ETFs!$D$6:$D$25,MATCH(B144,ETFs!$A$6:$A$25,0))))</f>
        <v/>
      </c>
      <c r="I144" s="62" t="str">
        <f t="array" ref="I144">IF(OR(A144="",B144=""),"",IF(COUNTIFS(ETFs!$A$6:$A$25,B144,ETFs!$K$6:$K$25,1)&lt;&gt;1,"",INDEX(ETFs!$G$6:$G$25,MATCH(B144,ETFs!$A$6:$A$25,0))))</f>
        <v/>
      </c>
      <c r="J144" s="60" t="str">
        <f t="shared" si="1"/>
        <v/>
      </c>
      <c r="K144" s="60" t="str">
        <f t="array" ref="K144">IF(OR(A144="",B144=""),"",IF(COUNTIFS(ETFs!$A$6:$A$25,B144,ETFs!$K$6:$K$25,1)&lt;&gt;1,0,IF(AND(J144=1,COUNTIFS(Companies!$A$6:$A$55,A144,Companies!$R$6:$R$55,1)=1,ISNUMBER(C144),C144&gt;=0,C144&lt;=1,ISNUMBER(D144),D144&gt;=0,ISNUMBER(I144),ABS(D144-C144*I144)&lt;=0.00000001*MAX(1,I144),ISNUMBER(E144),E144=INDEX(ETFs!$H$6:$H$25,MATCH(B144,ETFs!$A$6:$A$25,0)),G144="Yes",F144&lt;&gt;""),1,0)))</f>
        <v/>
      </c>
      <c r="L144" s="60" t="str">
        <f t="shared" si="2"/>
        <v/>
      </c>
    </row>
    <row r="145" ht="24.0" customHeight="1">
      <c r="A145" s="59"/>
      <c r="B145" s="59"/>
      <c r="C145" s="61"/>
      <c r="D145" s="56"/>
      <c r="E145" s="57"/>
      <c r="F145" s="59"/>
      <c r="G145" s="59"/>
      <c r="H145" s="60" t="str">
        <f t="array" ref="H145">IF(OR(A145="",B145=""),"",IF(COUNTIFS(ETFs!$A$6:$A$25,B145)&lt;&gt;1,"Unmatched ETF",INDEX(ETFs!$D$6:$D$25,MATCH(B145,ETFs!$A$6:$A$25,0))))</f>
        <v/>
      </c>
      <c r="I145" s="62" t="str">
        <f t="array" ref="I145">IF(OR(A145="",B145=""),"",IF(COUNTIFS(ETFs!$A$6:$A$25,B145,ETFs!$K$6:$K$25,1)&lt;&gt;1,"",INDEX(ETFs!$G$6:$G$25,MATCH(B145,ETFs!$A$6:$A$25,0))))</f>
        <v/>
      </c>
      <c r="J145" s="60" t="str">
        <f t="shared" si="1"/>
        <v/>
      </c>
      <c r="K145" s="60" t="str">
        <f t="array" ref="K145">IF(OR(A145="",B145=""),"",IF(COUNTIFS(ETFs!$A$6:$A$25,B145,ETFs!$K$6:$K$25,1)&lt;&gt;1,0,IF(AND(J145=1,COUNTIFS(Companies!$A$6:$A$55,A145,Companies!$R$6:$R$55,1)=1,ISNUMBER(C145),C145&gt;=0,C145&lt;=1,ISNUMBER(D145),D145&gt;=0,ISNUMBER(I145),ABS(D145-C145*I145)&lt;=0.00000001*MAX(1,I145),ISNUMBER(E145),E145=INDEX(ETFs!$H$6:$H$25,MATCH(B145,ETFs!$A$6:$A$25,0)),G145="Yes",F145&lt;&gt;""),1,0)))</f>
        <v/>
      </c>
      <c r="L145" s="60" t="str">
        <f t="shared" si="2"/>
        <v/>
      </c>
    </row>
    <row r="146" ht="24.0" customHeight="1">
      <c r="A146" s="59"/>
      <c r="B146" s="59"/>
      <c r="C146" s="61"/>
      <c r="D146" s="56"/>
      <c r="E146" s="57"/>
      <c r="F146" s="59"/>
      <c r="G146" s="59"/>
      <c r="H146" s="60" t="str">
        <f t="array" ref="H146">IF(OR(A146="",B146=""),"",IF(COUNTIFS(ETFs!$A$6:$A$25,B146)&lt;&gt;1,"Unmatched ETF",INDEX(ETFs!$D$6:$D$25,MATCH(B146,ETFs!$A$6:$A$25,0))))</f>
        <v/>
      </c>
      <c r="I146" s="62" t="str">
        <f t="array" ref="I146">IF(OR(A146="",B146=""),"",IF(COUNTIFS(ETFs!$A$6:$A$25,B146,ETFs!$K$6:$K$25,1)&lt;&gt;1,"",INDEX(ETFs!$G$6:$G$25,MATCH(B146,ETFs!$A$6:$A$25,0))))</f>
        <v/>
      </c>
      <c r="J146" s="60" t="str">
        <f t="shared" si="1"/>
        <v/>
      </c>
      <c r="K146" s="60" t="str">
        <f t="array" ref="K146">IF(OR(A146="",B146=""),"",IF(COUNTIFS(ETFs!$A$6:$A$25,B146,ETFs!$K$6:$K$25,1)&lt;&gt;1,0,IF(AND(J146=1,COUNTIFS(Companies!$A$6:$A$55,A146,Companies!$R$6:$R$55,1)=1,ISNUMBER(C146),C146&gt;=0,C146&lt;=1,ISNUMBER(D146),D146&gt;=0,ISNUMBER(I146),ABS(D146-C146*I146)&lt;=0.00000001*MAX(1,I146),ISNUMBER(E146),E146=INDEX(ETFs!$H$6:$H$25,MATCH(B146,ETFs!$A$6:$A$25,0)),G146="Yes",F146&lt;&gt;""),1,0)))</f>
        <v/>
      </c>
      <c r="L146" s="60" t="str">
        <f t="shared" si="2"/>
        <v/>
      </c>
    </row>
    <row r="147" ht="24.0" customHeight="1">
      <c r="A147" s="59"/>
      <c r="B147" s="59"/>
      <c r="C147" s="61"/>
      <c r="D147" s="56"/>
      <c r="E147" s="57"/>
      <c r="F147" s="59"/>
      <c r="G147" s="59"/>
      <c r="H147" s="60" t="str">
        <f t="array" ref="H147">IF(OR(A147="",B147=""),"",IF(COUNTIFS(ETFs!$A$6:$A$25,B147)&lt;&gt;1,"Unmatched ETF",INDEX(ETFs!$D$6:$D$25,MATCH(B147,ETFs!$A$6:$A$25,0))))</f>
        <v/>
      </c>
      <c r="I147" s="62" t="str">
        <f t="array" ref="I147">IF(OR(A147="",B147=""),"",IF(COUNTIFS(ETFs!$A$6:$A$25,B147,ETFs!$K$6:$K$25,1)&lt;&gt;1,"",INDEX(ETFs!$G$6:$G$25,MATCH(B147,ETFs!$A$6:$A$25,0))))</f>
        <v/>
      </c>
      <c r="J147" s="60" t="str">
        <f t="shared" si="1"/>
        <v/>
      </c>
      <c r="K147" s="60" t="str">
        <f t="array" ref="K147">IF(OR(A147="",B147=""),"",IF(COUNTIFS(ETFs!$A$6:$A$25,B147,ETFs!$K$6:$K$25,1)&lt;&gt;1,0,IF(AND(J147=1,COUNTIFS(Companies!$A$6:$A$55,A147,Companies!$R$6:$R$55,1)=1,ISNUMBER(C147),C147&gt;=0,C147&lt;=1,ISNUMBER(D147),D147&gt;=0,ISNUMBER(I147),ABS(D147-C147*I147)&lt;=0.00000001*MAX(1,I147),ISNUMBER(E147),E147=INDEX(ETFs!$H$6:$H$25,MATCH(B147,ETFs!$A$6:$A$25,0)),G147="Yes",F147&lt;&gt;""),1,0)))</f>
        <v/>
      </c>
      <c r="L147" s="60" t="str">
        <f t="shared" si="2"/>
        <v/>
      </c>
    </row>
    <row r="148" ht="24.0" customHeight="1">
      <c r="A148" s="59"/>
      <c r="B148" s="59"/>
      <c r="C148" s="61"/>
      <c r="D148" s="56"/>
      <c r="E148" s="57"/>
      <c r="F148" s="59"/>
      <c r="G148" s="59"/>
      <c r="H148" s="60" t="str">
        <f t="array" ref="H148">IF(OR(A148="",B148=""),"",IF(COUNTIFS(ETFs!$A$6:$A$25,B148)&lt;&gt;1,"Unmatched ETF",INDEX(ETFs!$D$6:$D$25,MATCH(B148,ETFs!$A$6:$A$25,0))))</f>
        <v/>
      </c>
      <c r="I148" s="62" t="str">
        <f t="array" ref="I148">IF(OR(A148="",B148=""),"",IF(COUNTIFS(ETFs!$A$6:$A$25,B148,ETFs!$K$6:$K$25,1)&lt;&gt;1,"",INDEX(ETFs!$G$6:$G$25,MATCH(B148,ETFs!$A$6:$A$25,0))))</f>
        <v/>
      </c>
      <c r="J148" s="60" t="str">
        <f t="shared" si="1"/>
        <v/>
      </c>
      <c r="K148" s="60" t="str">
        <f t="array" ref="K148">IF(OR(A148="",B148=""),"",IF(COUNTIFS(ETFs!$A$6:$A$25,B148,ETFs!$K$6:$K$25,1)&lt;&gt;1,0,IF(AND(J148=1,COUNTIFS(Companies!$A$6:$A$55,A148,Companies!$R$6:$R$55,1)=1,ISNUMBER(C148),C148&gt;=0,C148&lt;=1,ISNUMBER(D148),D148&gt;=0,ISNUMBER(I148),ABS(D148-C148*I148)&lt;=0.00000001*MAX(1,I148),ISNUMBER(E148),E148=INDEX(ETFs!$H$6:$H$25,MATCH(B148,ETFs!$A$6:$A$25,0)),G148="Yes",F148&lt;&gt;""),1,0)))</f>
        <v/>
      </c>
      <c r="L148" s="60" t="str">
        <f t="shared" si="2"/>
        <v/>
      </c>
    </row>
    <row r="149" ht="24.0" customHeight="1">
      <c r="A149" s="59"/>
      <c r="B149" s="59"/>
      <c r="C149" s="61"/>
      <c r="D149" s="56"/>
      <c r="E149" s="57"/>
      <c r="F149" s="59"/>
      <c r="G149" s="59"/>
      <c r="H149" s="60" t="str">
        <f t="array" ref="H149">IF(OR(A149="",B149=""),"",IF(COUNTIFS(ETFs!$A$6:$A$25,B149)&lt;&gt;1,"Unmatched ETF",INDEX(ETFs!$D$6:$D$25,MATCH(B149,ETFs!$A$6:$A$25,0))))</f>
        <v/>
      </c>
      <c r="I149" s="62" t="str">
        <f t="array" ref="I149">IF(OR(A149="",B149=""),"",IF(COUNTIFS(ETFs!$A$6:$A$25,B149,ETFs!$K$6:$K$25,1)&lt;&gt;1,"",INDEX(ETFs!$G$6:$G$25,MATCH(B149,ETFs!$A$6:$A$25,0))))</f>
        <v/>
      </c>
      <c r="J149" s="60" t="str">
        <f t="shared" si="1"/>
        <v/>
      </c>
      <c r="K149" s="60" t="str">
        <f t="array" ref="K149">IF(OR(A149="",B149=""),"",IF(COUNTIFS(ETFs!$A$6:$A$25,B149,ETFs!$K$6:$K$25,1)&lt;&gt;1,0,IF(AND(J149=1,COUNTIFS(Companies!$A$6:$A$55,A149,Companies!$R$6:$R$55,1)=1,ISNUMBER(C149),C149&gt;=0,C149&lt;=1,ISNUMBER(D149),D149&gt;=0,ISNUMBER(I149),ABS(D149-C149*I149)&lt;=0.00000001*MAX(1,I149),ISNUMBER(E149),E149=INDEX(ETFs!$H$6:$H$25,MATCH(B149,ETFs!$A$6:$A$25,0)),G149="Yes",F149&lt;&gt;""),1,0)))</f>
        <v/>
      </c>
      <c r="L149" s="60" t="str">
        <f t="shared" si="2"/>
        <v/>
      </c>
    </row>
    <row r="150" ht="24.0" customHeight="1">
      <c r="A150" s="59"/>
      <c r="B150" s="59"/>
      <c r="C150" s="61"/>
      <c r="D150" s="56"/>
      <c r="E150" s="57"/>
      <c r="F150" s="59"/>
      <c r="G150" s="59"/>
      <c r="H150" s="60" t="str">
        <f t="array" ref="H150">IF(OR(A150="",B150=""),"",IF(COUNTIFS(ETFs!$A$6:$A$25,B150)&lt;&gt;1,"Unmatched ETF",INDEX(ETFs!$D$6:$D$25,MATCH(B150,ETFs!$A$6:$A$25,0))))</f>
        <v/>
      </c>
      <c r="I150" s="62" t="str">
        <f t="array" ref="I150">IF(OR(A150="",B150=""),"",IF(COUNTIFS(ETFs!$A$6:$A$25,B150,ETFs!$K$6:$K$25,1)&lt;&gt;1,"",INDEX(ETFs!$G$6:$G$25,MATCH(B150,ETFs!$A$6:$A$25,0))))</f>
        <v/>
      </c>
      <c r="J150" s="60" t="str">
        <f t="shared" si="1"/>
        <v/>
      </c>
      <c r="K150" s="60" t="str">
        <f t="array" ref="K150">IF(OR(A150="",B150=""),"",IF(COUNTIFS(ETFs!$A$6:$A$25,B150,ETFs!$K$6:$K$25,1)&lt;&gt;1,0,IF(AND(J150=1,COUNTIFS(Companies!$A$6:$A$55,A150,Companies!$R$6:$R$55,1)=1,ISNUMBER(C150),C150&gt;=0,C150&lt;=1,ISNUMBER(D150),D150&gt;=0,ISNUMBER(I150),ABS(D150-C150*I150)&lt;=0.00000001*MAX(1,I150),ISNUMBER(E150),E150=INDEX(ETFs!$H$6:$H$25,MATCH(B150,ETFs!$A$6:$A$25,0)),G150="Yes",F150&lt;&gt;""),1,0)))</f>
        <v/>
      </c>
      <c r="L150" s="60" t="str">
        <f t="shared" si="2"/>
        <v/>
      </c>
    </row>
    <row r="151" ht="24.0" customHeight="1">
      <c r="A151" s="59"/>
      <c r="B151" s="59"/>
      <c r="C151" s="61"/>
      <c r="D151" s="56"/>
      <c r="E151" s="57"/>
      <c r="F151" s="59"/>
      <c r="G151" s="59"/>
      <c r="H151" s="60" t="str">
        <f t="array" ref="H151">IF(OR(A151="",B151=""),"",IF(COUNTIFS(ETFs!$A$6:$A$25,B151)&lt;&gt;1,"Unmatched ETF",INDEX(ETFs!$D$6:$D$25,MATCH(B151,ETFs!$A$6:$A$25,0))))</f>
        <v/>
      </c>
      <c r="I151" s="62" t="str">
        <f t="array" ref="I151">IF(OR(A151="",B151=""),"",IF(COUNTIFS(ETFs!$A$6:$A$25,B151,ETFs!$K$6:$K$25,1)&lt;&gt;1,"",INDEX(ETFs!$G$6:$G$25,MATCH(B151,ETFs!$A$6:$A$25,0))))</f>
        <v/>
      </c>
      <c r="J151" s="60" t="str">
        <f t="shared" si="1"/>
        <v/>
      </c>
      <c r="K151" s="60" t="str">
        <f t="array" ref="K151">IF(OR(A151="",B151=""),"",IF(COUNTIFS(ETFs!$A$6:$A$25,B151,ETFs!$K$6:$K$25,1)&lt;&gt;1,0,IF(AND(J151=1,COUNTIFS(Companies!$A$6:$A$55,A151,Companies!$R$6:$R$55,1)=1,ISNUMBER(C151),C151&gt;=0,C151&lt;=1,ISNUMBER(D151),D151&gt;=0,ISNUMBER(I151),ABS(D151-C151*I151)&lt;=0.00000001*MAX(1,I151),ISNUMBER(E151),E151=INDEX(ETFs!$H$6:$H$25,MATCH(B151,ETFs!$A$6:$A$25,0)),G151="Yes",F151&lt;&gt;""),1,0)))</f>
        <v/>
      </c>
      <c r="L151" s="60" t="str">
        <f t="shared" si="2"/>
        <v/>
      </c>
    </row>
    <row r="152" ht="24.0" customHeight="1">
      <c r="A152" s="59"/>
      <c r="B152" s="59"/>
      <c r="C152" s="61"/>
      <c r="D152" s="56"/>
      <c r="E152" s="57"/>
      <c r="F152" s="59"/>
      <c r="G152" s="59"/>
      <c r="H152" s="60" t="str">
        <f t="array" ref="H152">IF(OR(A152="",B152=""),"",IF(COUNTIFS(ETFs!$A$6:$A$25,B152)&lt;&gt;1,"Unmatched ETF",INDEX(ETFs!$D$6:$D$25,MATCH(B152,ETFs!$A$6:$A$25,0))))</f>
        <v/>
      </c>
      <c r="I152" s="62" t="str">
        <f t="array" ref="I152">IF(OR(A152="",B152=""),"",IF(COUNTIFS(ETFs!$A$6:$A$25,B152,ETFs!$K$6:$K$25,1)&lt;&gt;1,"",INDEX(ETFs!$G$6:$G$25,MATCH(B152,ETFs!$A$6:$A$25,0))))</f>
        <v/>
      </c>
      <c r="J152" s="60" t="str">
        <f t="shared" si="1"/>
        <v/>
      </c>
      <c r="K152" s="60" t="str">
        <f t="array" ref="K152">IF(OR(A152="",B152=""),"",IF(COUNTIFS(ETFs!$A$6:$A$25,B152,ETFs!$K$6:$K$25,1)&lt;&gt;1,0,IF(AND(J152=1,COUNTIFS(Companies!$A$6:$A$55,A152,Companies!$R$6:$R$55,1)=1,ISNUMBER(C152),C152&gt;=0,C152&lt;=1,ISNUMBER(D152),D152&gt;=0,ISNUMBER(I152),ABS(D152-C152*I152)&lt;=0.00000001*MAX(1,I152),ISNUMBER(E152),E152=INDEX(ETFs!$H$6:$H$25,MATCH(B152,ETFs!$A$6:$A$25,0)),G152="Yes",F152&lt;&gt;""),1,0)))</f>
        <v/>
      </c>
      <c r="L152" s="60" t="str">
        <f t="shared" si="2"/>
        <v/>
      </c>
    </row>
    <row r="153" ht="24.0" customHeight="1">
      <c r="A153" s="59"/>
      <c r="B153" s="59"/>
      <c r="C153" s="61"/>
      <c r="D153" s="56"/>
      <c r="E153" s="57"/>
      <c r="F153" s="59"/>
      <c r="G153" s="59"/>
      <c r="H153" s="60" t="str">
        <f t="array" ref="H153">IF(OR(A153="",B153=""),"",IF(COUNTIFS(ETFs!$A$6:$A$25,B153)&lt;&gt;1,"Unmatched ETF",INDEX(ETFs!$D$6:$D$25,MATCH(B153,ETFs!$A$6:$A$25,0))))</f>
        <v/>
      </c>
      <c r="I153" s="62" t="str">
        <f t="array" ref="I153">IF(OR(A153="",B153=""),"",IF(COUNTIFS(ETFs!$A$6:$A$25,B153,ETFs!$K$6:$K$25,1)&lt;&gt;1,"",INDEX(ETFs!$G$6:$G$25,MATCH(B153,ETFs!$A$6:$A$25,0))))</f>
        <v/>
      </c>
      <c r="J153" s="60" t="str">
        <f t="shared" si="1"/>
        <v/>
      </c>
      <c r="K153" s="60" t="str">
        <f t="array" ref="K153">IF(OR(A153="",B153=""),"",IF(COUNTIFS(ETFs!$A$6:$A$25,B153,ETFs!$K$6:$K$25,1)&lt;&gt;1,0,IF(AND(J153=1,COUNTIFS(Companies!$A$6:$A$55,A153,Companies!$R$6:$R$55,1)=1,ISNUMBER(C153),C153&gt;=0,C153&lt;=1,ISNUMBER(D153),D153&gt;=0,ISNUMBER(I153),ABS(D153-C153*I153)&lt;=0.00000001*MAX(1,I153),ISNUMBER(E153),E153=INDEX(ETFs!$H$6:$H$25,MATCH(B153,ETFs!$A$6:$A$25,0)),G153="Yes",F153&lt;&gt;""),1,0)))</f>
        <v/>
      </c>
      <c r="L153" s="60" t="str">
        <f t="shared" si="2"/>
        <v/>
      </c>
    </row>
    <row r="154" ht="24.0" customHeight="1">
      <c r="A154" s="59"/>
      <c r="B154" s="59"/>
      <c r="C154" s="61"/>
      <c r="D154" s="56"/>
      <c r="E154" s="57"/>
      <c r="F154" s="59"/>
      <c r="G154" s="59"/>
      <c r="H154" s="60" t="str">
        <f t="array" ref="H154">IF(OR(A154="",B154=""),"",IF(COUNTIFS(ETFs!$A$6:$A$25,B154)&lt;&gt;1,"Unmatched ETF",INDEX(ETFs!$D$6:$D$25,MATCH(B154,ETFs!$A$6:$A$25,0))))</f>
        <v/>
      </c>
      <c r="I154" s="62" t="str">
        <f t="array" ref="I154">IF(OR(A154="",B154=""),"",IF(COUNTIFS(ETFs!$A$6:$A$25,B154,ETFs!$K$6:$K$25,1)&lt;&gt;1,"",INDEX(ETFs!$G$6:$G$25,MATCH(B154,ETFs!$A$6:$A$25,0))))</f>
        <v/>
      </c>
      <c r="J154" s="60" t="str">
        <f t="shared" si="1"/>
        <v/>
      </c>
      <c r="K154" s="60" t="str">
        <f t="array" ref="K154">IF(OR(A154="",B154=""),"",IF(COUNTIFS(ETFs!$A$6:$A$25,B154,ETFs!$K$6:$K$25,1)&lt;&gt;1,0,IF(AND(J154=1,COUNTIFS(Companies!$A$6:$A$55,A154,Companies!$R$6:$R$55,1)=1,ISNUMBER(C154),C154&gt;=0,C154&lt;=1,ISNUMBER(D154),D154&gt;=0,ISNUMBER(I154),ABS(D154-C154*I154)&lt;=0.00000001*MAX(1,I154),ISNUMBER(E154),E154=INDEX(ETFs!$H$6:$H$25,MATCH(B154,ETFs!$A$6:$A$25,0)),G154="Yes",F154&lt;&gt;""),1,0)))</f>
        <v/>
      </c>
      <c r="L154" s="60" t="str">
        <f t="shared" si="2"/>
        <v/>
      </c>
    </row>
    <row r="155" ht="24.0" customHeight="1">
      <c r="A155" s="59"/>
      <c r="B155" s="59"/>
      <c r="C155" s="61"/>
      <c r="D155" s="56"/>
      <c r="E155" s="57"/>
      <c r="F155" s="59"/>
      <c r="G155" s="59"/>
      <c r="H155" s="60" t="str">
        <f t="array" ref="H155">IF(OR(A155="",B155=""),"",IF(COUNTIFS(ETFs!$A$6:$A$25,B155)&lt;&gt;1,"Unmatched ETF",INDEX(ETFs!$D$6:$D$25,MATCH(B155,ETFs!$A$6:$A$25,0))))</f>
        <v/>
      </c>
      <c r="I155" s="62" t="str">
        <f t="array" ref="I155">IF(OR(A155="",B155=""),"",IF(COUNTIFS(ETFs!$A$6:$A$25,B155,ETFs!$K$6:$K$25,1)&lt;&gt;1,"",INDEX(ETFs!$G$6:$G$25,MATCH(B155,ETFs!$A$6:$A$25,0))))</f>
        <v/>
      </c>
      <c r="J155" s="60" t="str">
        <f t="shared" si="1"/>
        <v/>
      </c>
      <c r="K155" s="60" t="str">
        <f t="array" ref="K155">IF(OR(A155="",B155=""),"",IF(COUNTIFS(ETFs!$A$6:$A$25,B155,ETFs!$K$6:$K$25,1)&lt;&gt;1,0,IF(AND(J155=1,COUNTIFS(Companies!$A$6:$A$55,A155,Companies!$R$6:$R$55,1)=1,ISNUMBER(C155),C155&gt;=0,C155&lt;=1,ISNUMBER(D155),D155&gt;=0,ISNUMBER(I155),ABS(D155-C155*I155)&lt;=0.00000001*MAX(1,I155),ISNUMBER(E155),E155=INDEX(ETFs!$H$6:$H$25,MATCH(B155,ETFs!$A$6:$A$25,0)),G155="Yes",F155&lt;&gt;""),1,0)))</f>
        <v/>
      </c>
      <c r="L155" s="60" t="str">
        <f t="shared" si="2"/>
        <v/>
      </c>
    </row>
    <row r="156" ht="24.0" customHeight="1">
      <c r="A156" s="59"/>
      <c r="B156" s="59"/>
      <c r="C156" s="61"/>
      <c r="D156" s="56"/>
      <c r="E156" s="57"/>
      <c r="F156" s="59"/>
      <c r="G156" s="59"/>
      <c r="H156" s="60" t="str">
        <f t="array" ref="H156">IF(OR(A156="",B156=""),"",IF(COUNTIFS(ETFs!$A$6:$A$25,B156)&lt;&gt;1,"Unmatched ETF",INDEX(ETFs!$D$6:$D$25,MATCH(B156,ETFs!$A$6:$A$25,0))))</f>
        <v/>
      </c>
      <c r="I156" s="62" t="str">
        <f t="array" ref="I156">IF(OR(A156="",B156=""),"",IF(COUNTIFS(ETFs!$A$6:$A$25,B156,ETFs!$K$6:$K$25,1)&lt;&gt;1,"",INDEX(ETFs!$G$6:$G$25,MATCH(B156,ETFs!$A$6:$A$25,0))))</f>
        <v/>
      </c>
      <c r="J156" s="60" t="str">
        <f t="shared" si="1"/>
        <v/>
      </c>
      <c r="K156" s="60" t="str">
        <f t="array" ref="K156">IF(OR(A156="",B156=""),"",IF(COUNTIFS(ETFs!$A$6:$A$25,B156,ETFs!$K$6:$K$25,1)&lt;&gt;1,0,IF(AND(J156=1,COUNTIFS(Companies!$A$6:$A$55,A156,Companies!$R$6:$R$55,1)=1,ISNUMBER(C156),C156&gt;=0,C156&lt;=1,ISNUMBER(D156),D156&gt;=0,ISNUMBER(I156),ABS(D156-C156*I156)&lt;=0.00000001*MAX(1,I156),ISNUMBER(E156),E156=INDEX(ETFs!$H$6:$H$25,MATCH(B156,ETFs!$A$6:$A$25,0)),G156="Yes",F156&lt;&gt;""),1,0)))</f>
        <v/>
      </c>
      <c r="L156" s="60" t="str">
        <f t="shared" si="2"/>
        <v/>
      </c>
    </row>
    <row r="157" ht="24.0" customHeight="1">
      <c r="A157" s="59"/>
      <c r="B157" s="59"/>
      <c r="C157" s="61"/>
      <c r="D157" s="56"/>
      <c r="E157" s="57"/>
      <c r="F157" s="59"/>
      <c r="G157" s="59"/>
      <c r="H157" s="60" t="str">
        <f t="array" ref="H157">IF(OR(A157="",B157=""),"",IF(COUNTIFS(ETFs!$A$6:$A$25,B157)&lt;&gt;1,"Unmatched ETF",INDEX(ETFs!$D$6:$D$25,MATCH(B157,ETFs!$A$6:$A$25,0))))</f>
        <v/>
      </c>
      <c r="I157" s="62" t="str">
        <f t="array" ref="I157">IF(OR(A157="",B157=""),"",IF(COUNTIFS(ETFs!$A$6:$A$25,B157,ETFs!$K$6:$K$25,1)&lt;&gt;1,"",INDEX(ETFs!$G$6:$G$25,MATCH(B157,ETFs!$A$6:$A$25,0))))</f>
        <v/>
      </c>
      <c r="J157" s="60" t="str">
        <f t="shared" si="1"/>
        <v/>
      </c>
      <c r="K157" s="60" t="str">
        <f t="array" ref="K157">IF(OR(A157="",B157=""),"",IF(COUNTIFS(ETFs!$A$6:$A$25,B157,ETFs!$K$6:$K$25,1)&lt;&gt;1,0,IF(AND(J157=1,COUNTIFS(Companies!$A$6:$A$55,A157,Companies!$R$6:$R$55,1)=1,ISNUMBER(C157),C157&gt;=0,C157&lt;=1,ISNUMBER(D157),D157&gt;=0,ISNUMBER(I157),ABS(D157-C157*I157)&lt;=0.00000001*MAX(1,I157),ISNUMBER(E157),E157=INDEX(ETFs!$H$6:$H$25,MATCH(B157,ETFs!$A$6:$A$25,0)),G157="Yes",F157&lt;&gt;""),1,0)))</f>
        <v/>
      </c>
      <c r="L157" s="60" t="str">
        <f t="shared" si="2"/>
        <v/>
      </c>
    </row>
    <row r="158" ht="24.0" customHeight="1">
      <c r="A158" s="59"/>
      <c r="B158" s="59"/>
      <c r="C158" s="61"/>
      <c r="D158" s="56"/>
      <c r="E158" s="57"/>
      <c r="F158" s="59"/>
      <c r="G158" s="59"/>
      <c r="H158" s="60" t="str">
        <f t="array" ref="H158">IF(OR(A158="",B158=""),"",IF(COUNTIFS(ETFs!$A$6:$A$25,B158)&lt;&gt;1,"Unmatched ETF",INDEX(ETFs!$D$6:$D$25,MATCH(B158,ETFs!$A$6:$A$25,0))))</f>
        <v/>
      </c>
      <c r="I158" s="62" t="str">
        <f t="array" ref="I158">IF(OR(A158="",B158=""),"",IF(COUNTIFS(ETFs!$A$6:$A$25,B158,ETFs!$K$6:$K$25,1)&lt;&gt;1,"",INDEX(ETFs!$G$6:$G$25,MATCH(B158,ETFs!$A$6:$A$25,0))))</f>
        <v/>
      </c>
      <c r="J158" s="60" t="str">
        <f t="shared" si="1"/>
        <v/>
      </c>
      <c r="K158" s="60" t="str">
        <f t="array" ref="K158">IF(OR(A158="",B158=""),"",IF(COUNTIFS(ETFs!$A$6:$A$25,B158,ETFs!$K$6:$K$25,1)&lt;&gt;1,0,IF(AND(J158=1,COUNTIFS(Companies!$A$6:$A$55,A158,Companies!$R$6:$R$55,1)=1,ISNUMBER(C158),C158&gt;=0,C158&lt;=1,ISNUMBER(D158),D158&gt;=0,ISNUMBER(I158),ABS(D158-C158*I158)&lt;=0.00000001*MAX(1,I158),ISNUMBER(E158),E158=INDEX(ETFs!$H$6:$H$25,MATCH(B158,ETFs!$A$6:$A$25,0)),G158="Yes",F158&lt;&gt;""),1,0)))</f>
        <v/>
      </c>
      <c r="L158" s="60" t="str">
        <f t="shared" si="2"/>
        <v/>
      </c>
    </row>
    <row r="159" ht="24.0" customHeight="1">
      <c r="A159" s="59"/>
      <c r="B159" s="59"/>
      <c r="C159" s="61"/>
      <c r="D159" s="56"/>
      <c r="E159" s="57"/>
      <c r="F159" s="59"/>
      <c r="G159" s="59"/>
      <c r="H159" s="60" t="str">
        <f t="array" ref="H159">IF(OR(A159="",B159=""),"",IF(COUNTIFS(ETFs!$A$6:$A$25,B159)&lt;&gt;1,"Unmatched ETF",INDEX(ETFs!$D$6:$D$25,MATCH(B159,ETFs!$A$6:$A$25,0))))</f>
        <v/>
      </c>
      <c r="I159" s="62" t="str">
        <f t="array" ref="I159">IF(OR(A159="",B159=""),"",IF(COUNTIFS(ETFs!$A$6:$A$25,B159,ETFs!$K$6:$K$25,1)&lt;&gt;1,"",INDEX(ETFs!$G$6:$G$25,MATCH(B159,ETFs!$A$6:$A$25,0))))</f>
        <v/>
      </c>
      <c r="J159" s="60" t="str">
        <f t="shared" si="1"/>
        <v/>
      </c>
      <c r="K159" s="60" t="str">
        <f t="array" ref="K159">IF(OR(A159="",B159=""),"",IF(COUNTIFS(ETFs!$A$6:$A$25,B159,ETFs!$K$6:$K$25,1)&lt;&gt;1,0,IF(AND(J159=1,COUNTIFS(Companies!$A$6:$A$55,A159,Companies!$R$6:$R$55,1)=1,ISNUMBER(C159),C159&gt;=0,C159&lt;=1,ISNUMBER(D159),D159&gt;=0,ISNUMBER(I159),ABS(D159-C159*I159)&lt;=0.00000001*MAX(1,I159),ISNUMBER(E159),E159=INDEX(ETFs!$H$6:$H$25,MATCH(B159,ETFs!$A$6:$A$25,0)),G159="Yes",F159&lt;&gt;""),1,0)))</f>
        <v/>
      </c>
      <c r="L159" s="60" t="str">
        <f t="shared" si="2"/>
        <v/>
      </c>
    </row>
    <row r="160" ht="24.0" customHeight="1">
      <c r="A160" s="59"/>
      <c r="B160" s="59"/>
      <c r="C160" s="61"/>
      <c r="D160" s="56"/>
      <c r="E160" s="57"/>
      <c r="F160" s="59"/>
      <c r="G160" s="59"/>
      <c r="H160" s="60" t="str">
        <f t="array" ref="H160">IF(OR(A160="",B160=""),"",IF(COUNTIFS(ETFs!$A$6:$A$25,B160)&lt;&gt;1,"Unmatched ETF",INDEX(ETFs!$D$6:$D$25,MATCH(B160,ETFs!$A$6:$A$25,0))))</f>
        <v/>
      </c>
      <c r="I160" s="62" t="str">
        <f t="array" ref="I160">IF(OR(A160="",B160=""),"",IF(COUNTIFS(ETFs!$A$6:$A$25,B160,ETFs!$K$6:$K$25,1)&lt;&gt;1,"",INDEX(ETFs!$G$6:$G$25,MATCH(B160,ETFs!$A$6:$A$25,0))))</f>
        <v/>
      </c>
      <c r="J160" s="60" t="str">
        <f t="shared" si="1"/>
        <v/>
      </c>
      <c r="K160" s="60" t="str">
        <f t="array" ref="K160">IF(OR(A160="",B160=""),"",IF(COUNTIFS(ETFs!$A$6:$A$25,B160,ETFs!$K$6:$K$25,1)&lt;&gt;1,0,IF(AND(J160=1,COUNTIFS(Companies!$A$6:$A$55,A160,Companies!$R$6:$R$55,1)=1,ISNUMBER(C160),C160&gt;=0,C160&lt;=1,ISNUMBER(D160),D160&gt;=0,ISNUMBER(I160),ABS(D160-C160*I160)&lt;=0.00000001*MAX(1,I160),ISNUMBER(E160),E160=INDEX(ETFs!$H$6:$H$25,MATCH(B160,ETFs!$A$6:$A$25,0)),G160="Yes",F160&lt;&gt;""),1,0)))</f>
        <v/>
      </c>
      <c r="L160" s="60" t="str">
        <f t="shared" si="2"/>
        <v/>
      </c>
    </row>
    <row r="161" ht="24.0" customHeight="1">
      <c r="A161" s="59"/>
      <c r="B161" s="59"/>
      <c r="C161" s="61"/>
      <c r="D161" s="56"/>
      <c r="E161" s="57"/>
      <c r="F161" s="59"/>
      <c r="G161" s="59"/>
      <c r="H161" s="60" t="str">
        <f t="array" ref="H161">IF(OR(A161="",B161=""),"",IF(COUNTIFS(ETFs!$A$6:$A$25,B161)&lt;&gt;1,"Unmatched ETF",INDEX(ETFs!$D$6:$D$25,MATCH(B161,ETFs!$A$6:$A$25,0))))</f>
        <v/>
      </c>
      <c r="I161" s="62" t="str">
        <f t="array" ref="I161">IF(OR(A161="",B161=""),"",IF(COUNTIFS(ETFs!$A$6:$A$25,B161,ETFs!$K$6:$K$25,1)&lt;&gt;1,"",INDEX(ETFs!$G$6:$G$25,MATCH(B161,ETFs!$A$6:$A$25,0))))</f>
        <v/>
      </c>
      <c r="J161" s="60" t="str">
        <f t="shared" si="1"/>
        <v/>
      </c>
      <c r="K161" s="60" t="str">
        <f t="array" ref="K161">IF(OR(A161="",B161=""),"",IF(COUNTIFS(ETFs!$A$6:$A$25,B161,ETFs!$K$6:$K$25,1)&lt;&gt;1,0,IF(AND(J161=1,COUNTIFS(Companies!$A$6:$A$55,A161,Companies!$R$6:$R$55,1)=1,ISNUMBER(C161),C161&gt;=0,C161&lt;=1,ISNUMBER(D161),D161&gt;=0,ISNUMBER(I161),ABS(D161-C161*I161)&lt;=0.00000001*MAX(1,I161),ISNUMBER(E161),E161=INDEX(ETFs!$H$6:$H$25,MATCH(B161,ETFs!$A$6:$A$25,0)),G161="Yes",F161&lt;&gt;""),1,0)))</f>
        <v/>
      </c>
      <c r="L161" s="60" t="str">
        <f t="shared" si="2"/>
        <v/>
      </c>
    </row>
    <row r="162" ht="24.0" customHeight="1">
      <c r="A162" s="59"/>
      <c r="B162" s="59"/>
      <c r="C162" s="61"/>
      <c r="D162" s="56"/>
      <c r="E162" s="57"/>
      <c r="F162" s="59"/>
      <c r="G162" s="59"/>
      <c r="H162" s="60" t="str">
        <f t="array" ref="H162">IF(OR(A162="",B162=""),"",IF(COUNTIFS(ETFs!$A$6:$A$25,B162)&lt;&gt;1,"Unmatched ETF",INDEX(ETFs!$D$6:$D$25,MATCH(B162,ETFs!$A$6:$A$25,0))))</f>
        <v/>
      </c>
      <c r="I162" s="62" t="str">
        <f t="array" ref="I162">IF(OR(A162="",B162=""),"",IF(COUNTIFS(ETFs!$A$6:$A$25,B162,ETFs!$K$6:$K$25,1)&lt;&gt;1,"",INDEX(ETFs!$G$6:$G$25,MATCH(B162,ETFs!$A$6:$A$25,0))))</f>
        <v/>
      </c>
      <c r="J162" s="60" t="str">
        <f t="shared" si="1"/>
        <v/>
      </c>
      <c r="K162" s="60" t="str">
        <f t="array" ref="K162">IF(OR(A162="",B162=""),"",IF(COUNTIFS(ETFs!$A$6:$A$25,B162,ETFs!$K$6:$K$25,1)&lt;&gt;1,0,IF(AND(J162=1,COUNTIFS(Companies!$A$6:$A$55,A162,Companies!$R$6:$R$55,1)=1,ISNUMBER(C162),C162&gt;=0,C162&lt;=1,ISNUMBER(D162),D162&gt;=0,ISNUMBER(I162),ABS(D162-C162*I162)&lt;=0.00000001*MAX(1,I162),ISNUMBER(E162),E162=INDEX(ETFs!$H$6:$H$25,MATCH(B162,ETFs!$A$6:$A$25,0)),G162="Yes",F162&lt;&gt;""),1,0)))</f>
        <v/>
      </c>
      <c r="L162" s="60" t="str">
        <f t="shared" si="2"/>
        <v/>
      </c>
    </row>
    <row r="163" ht="24.0" customHeight="1">
      <c r="A163" s="59"/>
      <c r="B163" s="59"/>
      <c r="C163" s="61"/>
      <c r="D163" s="56"/>
      <c r="E163" s="57"/>
      <c r="F163" s="59"/>
      <c r="G163" s="59"/>
      <c r="H163" s="60" t="str">
        <f t="array" ref="H163">IF(OR(A163="",B163=""),"",IF(COUNTIFS(ETFs!$A$6:$A$25,B163)&lt;&gt;1,"Unmatched ETF",INDEX(ETFs!$D$6:$D$25,MATCH(B163,ETFs!$A$6:$A$25,0))))</f>
        <v/>
      </c>
      <c r="I163" s="62" t="str">
        <f t="array" ref="I163">IF(OR(A163="",B163=""),"",IF(COUNTIFS(ETFs!$A$6:$A$25,B163,ETFs!$K$6:$K$25,1)&lt;&gt;1,"",INDEX(ETFs!$G$6:$G$25,MATCH(B163,ETFs!$A$6:$A$25,0))))</f>
        <v/>
      </c>
      <c r="J163" s="60" t="str">
        <f t="shared" si="1"/>
        <v/>
      </c>
      <c r="K163" s="60" t="str">
        <f t="array" ref="K163">IF(OR(A163="",B163=""),"",IF(COUNTIFS(ETFs!$A$6:$A$25,B163,ETFs!$K$6:$K$25,1)&lt;&gt;1,0,IF(AND(J163=1,COUNTIFS(Companies!$A$6:$A$55,A163,Companies!$R$6:$R$55,1)=1,ISNUMBER(C163),C163&gt;=0,C163&lt;=1,ISNUMBER(D163),D163&gt;=0,ISNUMBER(I163),ABS(D163-C163*I163)&lt;=0.00000001*MAX(1,I163),ISNUMBER(E163),E163=INDEX(ETFs!$H$6:$H$25,MATCH(B163,ETFs!$A$6:$A$25,0)),G163="Yes",F163&lt;&gt;""),1,0)))</f>
        <v/>
      </c>
      <c r="L163" s="60" t="str">
        <f t="shared" si="2"/>
        <v/>
      </c>
    </row>
    <row r="164" ht="24.0" customHeight="1">
      <c r="A164" s="59"/>
      <c r="B164" s="59"/>
      <c r="C164" s="61"/>
      <c r="D164" s="56"/>
      <c r="E164" s="57"/>
      <c r="F164" s="59"/>
      <c r="G164" s="59"/>
      <c r="H164" s="60" t="str">
        <f t="array" ref="H164">IF(OR(A164="",B164=""),"",IF(COUNTIFS(ETFs!$A$6:$A$25,B164)&lt;&gt;1,"Unmatched ETF",INDEX(ETFs!$D$6:$D$25,MATCH(B164,ETFs!$A$6:$A$25,0))))</f>
        <v/>
      </c>
      <c r="I164" s="62" t="str">
        <f t="array" ref="I164">IF(OR(A164="",B164=""),"",IF(COUNTIFS(ETFs!$A$6:$A$25,B164,ETFs!$K$6:$K$25,1)&lt;&gt;1,"",INDEX(ETFs!$G$6:$G$25,MATCH(B164,ETFs!$A$6:$A$25,0))))</f>
        <v/>
      </c>
      <c r="J164" s="60" t="str">
        <f t="shared" si="1"/>
        <v/>
      </c>
      <c r="K164" s="60" t="str">
        <f t="array" ref="K164">IF(OR(A164="",B164=""),"",IF(COUNTIFS(ETFs!$A$6:$A$25,B164,ETFs!$K$6:$K$25,1)&lt;&gt;1,0,IF(AND(J164=1,COUNTIFS(Companies!$A$6:$A$55,A164,Companies!$R$6:$R$55,1)=1,ISNUMBER(C164),C164&gt;=0,C164&lt;=1,ISNUMBER(D164),D164&gt;=0,ISNUMBER(I164),ABS(D164-C164*I164)&lt;=0.00000001*MAX(1,I164),ISNUMBER(E164),E164=INDEX(ETFs!$H$6:$H$25,MATCH(B164,ETFs!$A$6:$A$25,0)),G164="Yes",F164&lt;&gt;""),1,0)))</f>
        <v/>
      </c>
      <c r="L164" s="60" t="str">
        <f t="shared" si="2"/>
        <v/>
      </c>
    </row>
    <row r="165" ht="24.0" customHeight="1">
      <c r="A165" s="59"/>
      <c r="B165" s="59"/>
      <c r="C165" s="61"/>
      <c r="D165" s="56"/>
      <c r="E165" s="57"/>
      <c r="F165" s="59"/>
      <c r="G165" s="59"/>
      <c r="H165" s="60" t="str">
        <f t="array" ref="H165">IF(OR(A165="",B165=""),"",IF(COUNTIFS(ETFs!$A$6:$A$25,B165)&lt;&gt;1,"Unmatched ETF",INDEX(ETFs!$D$6:$D$25,MATCH(B165,ETFs!$A$6:$A$25,0))))</f>
        <v/>
      </c>
      <c r="I165" s="62" t="str">
        <f t="array" ref="I165">IF(OR(A165="",B165=""),"",IF(COUNTIFS(ETFs!$A$6:$A$25,B165,ETFs!$K$6:$K$25,1)&lt;&gt;1,"",INDEX(ETFs!$G$6:$G$25,MATCH(B165,ETFs!$A$6:$A$25,0))))</f>
        <v/>
      </c>
      <c r="J165" s="60" t="str">
        <f t="shared" si="1"/>
        <v/>
      </c>
      <c r="K165" s="60" t="str">
        <f t="array" ref="K165">IF(OR(A165="",B165=""),"",IF(COUNTIFS(ETFs!$A$6:$A$25,B165,ETFs!$K$6:$K$25,1)&lt;&gt;1,0,IF(AND(J165=1,COUNTIFS(Companies!$A$6:$A$55,A165,Companies!$R$6:$R$55,1)=1,ISNUMBER(C165),C165&gt;=0,C165&lt;=1,ISNUMBER(D165),D165&gt;=0,ISNUMBER(I165),ABS(D165-C165*I165)&lt;=0.00000001*MAX(1,I165),ISNUMBER(E165),E165=INDEX(ETFs!$H$6:$H$25,MATCH(B165,ETFs!$A$6:$A$25,0)),G165="Yes",F165&lt;&gt;""),1,0)))</f>
        <v/>
      </c>
      <c r="L165" s="60" t="str">
        <f t="shared" si="2"/>
        <v/>
      </c>
    </row>
    <row r="166" ht="24.0" customHeight="1">
      <c r="A166" s="59"/>
      <c r="B166" s="59"/>
      <c r="C166" s="61"/>
      <c r="D166" s="56"/>
      <c r="E166" s="57"/>
      <c r="F166" s="59"/>
      <c r="G166" s="59"/>
      <c r="H166" s="60" t="str">
        <f t="array" ref="H166">IF(OR(A166="",B166=""),"",IF(COUNTIFS(ETFs!$A$6:$A$25,B166)&lt;&gt;1,"Unmatched ETF",INDEX(ETFs!$D$6:$D$25,MATCH(B166,ETFs!$A$6:$A$25,0))))</f>
        <v/>
      </c>
      <c r="I166" s="62" t="str">
        <f t="array" ref="I166">IF(OR(A166="",B166=""),"",IF(COUNTIFS(ETFs!$A$6:$A$25,B166,ETFs!$K$6:$K$25,1)&lt;&gt;1,"",INDEX(ETFs!$G$6:$G$25,MATCH(B166,ETFs!$A$6:$A$25,0))))</f>
        <v/>
      </c>
      <c r="J166" s="60" t="str">
        <f t="shared" si="1"/>
        <v/>
      </c>
      <c r="K166" s="60" t="str">
        <f t="array" ref="K166">IF(OR(A166="",B166=""),"",IF(COUNTIFS(ETFs!$A$6:$A$25,B166,ETFs!$K$6:$K$25,1)&lt;&gt;1,0,IF(AND(J166=1,COUNTIFS(Companies!$A$6:$A$55,A166,Companies!$R$6:$R$55,1)=1,ISNUMBER(C166),C166&gt;=0,C166&lt;=1,ISNUMBER(D166),D166&gt;=0,ISNUMBER(I166),ABS(D166-C166*I166)&lt;=0.00000001*MAX(1,I166),ISNUMBER(E166),E166=INDEX(ETFs!$H$6:$H$25,MATCH(B166,ETFs!$A$6:$A$25,0)),G166="Yes",F166&lt;&gt;""),1,0)))</f>
        <v/>
      </c>
      <c r="L166" s="60" t="str">
        <f t="shared" si="2"/>
        <v/>
      </c>
    </row>
    <row r="167" ht="24.0" customHeight="1">
      <c r="A167" s="59"/>
      <c r="B167" s="59"/>
      <c r="C167" s="61"/>
      <c r="D167" s="56"/>
      <c r="E167" s="57"/>
      <c r="F167" s="59"/>
      <c r="G167" s="59"/>
      <c r="H167" s="60" t="str">
        <f t="array" ref="H167">IF(OR(A167="",B167=""),"",IF(COUNTIFS(ETFs!$A$6:$A$25,B167)&lt;&gt;1,"Unmatched ETF",INDEX(ETFs!$D$6:$D$25,MATCH(B167,ETFs!$A$6:$A$25,0))))</f>
        <v/>
      </c>
      <c r="I167" s="62" t="str">
        <f t="array" ref="I167">IF(OR(A167="",B167=""),"",IF(COUNTIFS(ETFs!$A$6:$A$25,B167,ETFs!$K$6:$K$25,1)&lt;&gt;1,"",INDEX(ETFs!$G$6:$G$25,MATCH(B167,ETFs!$A$6:$A$25,0))))</f>
        <v/>
      </c>
      <c r="J167" s="60" t="str">
        <f t="shared" si="1"/>
        <v/>
      </c>
      <c r="K167" s="60" t="str">
        <f t="array" ref="K167">IF(OR(A167="",B167=""),"",IF(COUNTIFS(ETFs!$A$6:$A$25,B167,ETFs!$K$6:$K$25,1)&lt;&gt;1,0,IF(AND(J167=1,COUNTIFS(Companies!$A$6:$A$55,A167,Companies!$R$6:$R$55,1)=1,ISNUMBER(C167),C167&gt;=0,C167&lt;=1,ISNUMBER(D167),D167&gt;=0,ISNUMBER(I167),ABS(D167-C167*I167)&lt;=0.00000001*MAX(1,I167),ISNUMBER(E167),E167=INDEX(ETFs!$H$6:$H$25,MATCH(B167,ETFs!$A$6:$A$25,0)),G167="Yes",F167&lt;&gt;""),1,0)))</f>
        <v/>
      </c>
      <c r="L167" s="60" t="str">
        <f t="shared" si="2"/>
        <v/>
      </c>
    </row>
    <row r="168" ht="24.0" customHeight="1">
      <c r="A168" s="59"/>
      <c r="B168" s="59"/>
      <c r="C168" s="61"/>
      <c r="D168" s="56"/>
      <c r="E168" s="57"/>
      <c r="F168" s="59"/>
      <c r="G168" s="59"/>
      <c r="H168" s="60" t="str">
        <f t="array" ref="H168">IF(OR(A168="",B168=""),"",IF(COUNTIFS(ETFs!$A$6:$A$25,B168)&lt;&gt;1,"Unmatched ETF",INDEX(ETFs!$D$6:$D$25,MATCH(B168,ETFs!$A$6:$A$25,0))))</f>
        <v/>
      </c>
      <c r="I168" s="62" t="str">
        <f t="array" ref="I168">IF(OR(A168="",B168=""),"",IF(COUNTIFS(ETFs!$A$6:$A$25,B168,ETFs!$K$6:$K$25,1)&lt;&gt;1,"",INDEX(ETFs!$G$6:$G$25,MATCH(B168,ETFs!$A$6:$A$25,0))))</f>
        <v/>
      </c>
      <c r="J168" s="60" t="str">
        <f t="shared" si="1"/>
        <v/>
      </c>
      <c r="K168" s="60" t="str">
        <f t="array" ref="K168">IF(OR(A168="",B168=""),"",IF(COUNTIFS(ETFs!$A$6:$A$25,B168,ETFs!$K$6:$K$25,1)&lt;&gt;1,0,IF(AND(J168=1,COUNTIFS(Companies!$A$6:$A$55,A168,Companies!$R$6:$R$55,1)=1,ISNUMBER(C168),C168&gt;=0,C168&lt;=1,ISNUMBER(D168),D168&gt;=0,ISNUMBER(I168),ABS(D168-C168*I168)&lt;=0.00000001*MAX(1,I168),ISNUMBER(E168),E168=INDEX(ETFs!$H$6:$H$25,MATCH(B168,ETFs!$A$6:$A$25,0)),G168="Yes",F168&lt;&gt;""),1,0)))</f>
        <v/>
      </c>
      <c r="L168" s="60" t="str">
        <f t="shared" si="2"/>
        <v/>
      </c>
    </row>
    <row r="169" ht="24.0" customHeight="1">
      <c r="A169" s="59"/>
      <c r="B169" s="59"/>
      <c r="C169" s="61"/>
      <c r="D169" s="56"/>
      <c r="E169" s="57"/>
      <c r="F169" s="59"/>
      <c r="G169" s="59"/>
      <c r="H169" s="60" t="str">
        <f t="array" ref="H169">IF(OR(A169="",B169=""),"",IF(COUNTIFS(ETFs!$A$6:$A$25,B169)&lt;&gt;1,"Unmatched ETF",INDEX(ETFs!$D$6:$D$25,MATCH(B169,ETFs!$A$6:$A$25,0))))</f>
        <v/>
      </c>
      <c r="I169" s="62" t="str">
        <f t="array" ref="I169">IF(OR(A169="",B169=""),"",IF(COUNTIFS(ETFs!$A$6:$A$25,B169,ETFs!$K$6:$K$25,1)&lt;&gt;1,"",INDEX(ETFs!$G$6:$G$25,MATCH(B169,ETFs!$A$6:$A$25,0))))</f>
        <v/>
      </c>
      <c r="J169" s="60" t="str">
        <f t="shared" si="1"/>
        <v/>
      </c>
      <c r="K169" s="60" t="str">
        <f t="array" ref="K169">IF(OR(A169="",B169=""),"",IF(COUNTIFS(ETFs!$A$6:$A$25,B169,ETFs!$K$6:$K$25,1)&lt;&gt;1,0,IF(AND(J169=1,COUNTIFS(Companies!$A$6:$A$55,A169,Companies!$R$6:$R$55,1)=1,ISNUMBER(C169),C169&gt;=0,C169&lt;=1,ISNUMBER(D169),D169&gt;=0,ISNUMBER(I169),ABS(D169-C169*I169)&lt;=0.00000001*MAX(1,I169),ISNUMBER(E169),E169=INDEX(ETFs!$H$6:$H$25,MATCH(B169,ETFs!$A$6:$A$25,0)),G169="Yes",F169&lt;&gt;""),1,0)))</f>
        <v/>
      </c>
      <c r="L169" s="60" t="str">
        <f t="shared" si="2"/>
        <v/>
      </c>
    </row>
    <row r="170" ht="24.0" customHeight="1">
      <c r="A170" s="59"/>
      <c r="B170" s="59"/>
      <c r="C170" s="61"/>
      <c r="D170" s="56"/>
      <c r="E170" s="57"/>
      <c r="F170" s="59"/>
      <c r="G170" s="59"/>
      <c r="H170" s="60" t="str">
        <f t="array" ref="H170">IF(OR(A170="",B170=""),"",IF(COUNTIFS(ETFs!$A$6:$A$25,B170)&lt;&gt;1,"Unmatched ETF",INDEX(ETFs!$D$6:$D$25,MATCH(B170,ETFs!$A$6:$A$25,0))))</f>
        <v/>
      </c>
      <c r="I170" s="62" t="str">
        <f t="array" ref="I170">IF(OR(A170="",B170=""),"",IF(COUNTIFS(ETFs!$A$6:$A$25,B170,ETFs!$K$6:$K$25,1)&lt;&gt;1,"",INDEX(ETFs!$G$6:$G$25,MATCH(B170,ETFs!$A$6:$A$25,0))))</f>
        <v/>
      </c>
      <c r="J170" s="60" t="str">
        <f t="shared" si="1"/>
        <v/>
      </c>
      <c r="K170" s="60" t="str">
        <f t="array" ref="K170">IF(OR(A170="",B170=""),"",IF(COUNTIFS(ETFs!$A$6:$A$25,B170,ETFs!$K$6:$K$25,1)&lt;&gt;1,0,IF(AND(J170=1,COUNTIFS(Companies!$A$6:$A$55,A170,Companies!$R$6:$R$55,1)=1,ISNUMBER(C170),C170&gt;=0,C170&lt;=1,ISNUMBER(D170),D170&gt;=0,ISNUMBER(I170),ABS(D170-C170*I170)&lt;=0.00000001*MAX(1,I170),ISNUMBER(E170),E170=INDEX(ETFs!$H$6:$H$25,MATCH(B170,ETFs!$A$6:$A$25,0)),G170="Yes",F170&lt;&gt;""),1,0)))</f>
        <v/>
      </c>
      <c r="L170" s="60" t="str">
        <f t="shared" si="2"/>
        <v/>
      </c>
    </row>
    <row r="171" ht="24.0" customHeight="1">
      <c r="A171" s="59"/>
      <c r="B171" s="59"/>
      <c r="C171" s="61"/>
      <c r="D171" s="56"/>
      <c r="E171" s="57"/>
      <c r="F171" s="59"/>
      <c r="G171" s="59"/>
      <c r="H171" s="60" t="str">
        <f t="array" ref="H171">IF(OR(A171="",B171=""),"",IF(COUNTIFS(ETFs!$A$6:$A$25,B171)&lt;&gt;1,"Unmatched ETF",INDEX(ETFs!$D$6:$D$25,MATCH(B171,ETFs!$A$6:$A$25,0))))</f>
        <v/>
      </c>
      <c r="I171" s="62" t="str">
        <f t="array" ref="I171">IF(OR(A171="",B171=""),"",IF(COUNTIFS(ETFs!$A$6:$A$25,B171,ETFs!$K$6:$K$25,1)&lt;&gt;1,"",INDEX(ETFs!$G$6:$G$25,MATCH(B171,ETFs!$A$6:$A$25,0))))</f>
        <v/>
      </c>
      <c r="J171" s="60" t="str">
        <f t="shared" si="1"/>
        <v/>
      </c>
      <c r="K171" s="60" t="str">
        <f t="array" ref="K171">IF(OR(A171="",B171=""),"",IF(COUNTIFS(ETFs!$A$6:$A$25,B171,ETFs!$K$6:$K$25,1)&lt;&gt;1,0,IF(AND(J171=1,COUNTIFS(Companies!$A$6:$A$55,A171,Companies!$R$6:$R$55,1)=1,ISNUMBER(C171),C171&gt;=0,C171&lt;=1,ISNUMBER(D171),D171&gt;=0,ISNUMBER(I171),ABS(D171-C171*I171)&lt;=0.00000001*MAX(1,I171),ISNUMBER(E171),E171=INDEX(ETFs!$H$6:$H$25,MATCH(B171,ETFs!$A$6:$A$25,0)),G171="Yes",F171&lt;&gt;""),1,0)))</f>
        <v/>
      </c>
      <c r="L171" s="60" t="str">
        <f t="shared" si="2"/>
        <v/>
      </c>
    </row>
    <row r="172" ht="24.0" customHeight="1">
      <c r="A172" s="59"/>
      <c r="B172" s="59"/>
      <c r="C172" s="61"/>
      <c r="D172" s="56"/>
      <c r="E172" s="57"/>
      <c r="F172" s="59"/>
      <c r="G172" s="59"/>
      <c r="H172" s="60" t="str">
        <f t="array" ref="H172">IF(OR(A172="",B172=""),"",IF(COUNTIFS(ETFs!$A$6:$A$25,B172)&lt;&gt;1,"Unmatched ETF",INDEX(ETFs!$D$6:$D$25,MATCH(B172,ETFs!$A$6:$A$25,0))))</f>
        <v/>
      </c>
      <c r="I172" s="62" t="str">
        <f t="array" ref="I172">IF(OR(A172="",B172=""),"",IF(COUNTIFS(ETFs!$A$6:$A$25,B172,ETFs!$K$6:$K$25,1)&lt;&gt;1,"",INDEX(ETFs!$G$6:$G$25,MATCH(B172,ETFs!$A$6:$A$25,0))))</f>
        <v/>
      </c>
      <c r="J172" s="60" t="str">
        <f t="shared" si="1"/>
        <v/>
      </c>
      <c r="K172" s="60" t="str">
        <f t="array" ref="K172">IF(OR(A172="",B172=""),"",IF(COUNTIFS(ETFs!$A$6:$A$25,B172,ETFs!$K$6:$K$25,1)&lt;&gt;1,0,IF(AND(J172=1,COUNTIFS(Companies!$A$6:$A$55,A172,Companies!$R$6:$R$55,1)=1,ISNUMBER(C172),C172&gt;=0,C172&lt;=1,ISNUMBER(D172),D172&gt;=0,ISNUMBER(I172),ABS(D172-C172*I172)&lt;=0.00000001*MAX(1,I172),ISNUMBER(E172),E172=INDEX(ETFs!$H$6:$H$25,MATCH(B172,ETFs!$A$6:$A$25,0)),G172="Yes",F172&lt;&gt;""),1,0)))</f>
        <v/>
      </c>
      <c r="L172" s="60" t="str">
        <f t="shared" si="2"/>
        <v/>
      </c>
    </row>
    <row r="173" ht="24.0" customHeight="1">
      <c r="A173" s="59"/>
      <c r="B173" s="59"/>
      <c r="C173" s="61"/>
      <c r="D173" s="56"/>
      <c r="E173" s="57"/>
      <c r="F173" s="59"/>
      <c r="G173" s="59"/>
      <c r="H173" s="60" t="str">
        <f t="array" ref="H173">IF(OR(A173="",B173=""),"",IF(COUNTIFS(ETFs!$A$6:$A$25,B173)&lt;&gt;1,"Unmatched ETF",INDEX(ETFs!$D$6:$D$25,MATCH(B173,ETFs!$A$6:$A$25,0))))</f>
        <v/>
      </c>
      <c r="I173" s="62" t="str">
        <f t="array" ref="I173">IF(OR(A173="",B173=""),"",IF(COUNTIFS(ETFs!$A$6:$A$25,B173,ETFs!$K$6:$K$25,1)&lt;&gt;1,"",INDEX(ETFs!$G$6:$G$25,MATCH(B173,ETFs!$A$6:$A$25,0))))</f>
        <v/>
      </c>
      <c r="J173" s="60" t="str">
        <f t="shared" si="1"/>
        <v/>
      </c>
      <c r="K173" s="60" t="str">
        <f t="array" ref="K173">IF(OR(A173="",B173=""),"",IF(COUNTIFS(ETFs!$A$6:$A$25,B173,ETFs!$K$6:$K$25,1)&lt;&gt;1,0,IF(AND(J173=1,COUNTIFS(Companies!$A$6:$A$55,A173,Companies!$R$6:$R$55,1)=1,ISNUMBER(C173),C173&gt;=0,C173&lt;=1,ISNUMBER(D173),D173&gt;=0,ISNUMBER(I173),ABS(D173-C173*I173)&lt;=0.00000001*MAX(1,I173),ISNUMBER(E173),E173=INDEX(ETFs!$H$6:$H$25,MATCH(B173,ETFs!$A$6:$A$25,0)),G173="Yes",F173&lt;&gt;""),1,0)))</f>
        <v/>
      </c>
      <c r="L173" s="60" t="str">
        <f t="shared" si="2"/>
        <v/>
      </c>
    </row>
    <row r="174" ht="24.0" customHeight="1">
      <c r="A174" s="59"/>
      <c r="B174" s="59"/>
      <c r="C174" s="61"/>
      <c r="D174" s="56"/>
      <c r="E174" s="57"/>
      <c r="F174" s="59"/>
      <c r="G174" s="59"/>
      <c r="H174" s="60" t="str">
        <f t="array" ref="H174">IF(OR(A174="",B174=""),"",IF(COUNTIFS(ETFs!$A$6:$A$25,B174)&lt;&gt;1,"Unmatched ETF",INDEX(ETFs!$D$6:$D$25,MATCH(B174,ETFs!$A$6:$A$25,0))))</f>
        <v/>
      </c>
      <c r="I174" s="62" t="str">
        <f t="array" ref="I174">IF(OR(A174="",B174=""),"",IF(COUNTIFS(ETFs!$A$6:$A$25,B174,ETFs!$K$6:$K$25,1)&lt;&gt;1,"",INDEX(ETFs!$G$6:$G$25,MATCH(B174,ETFs!$A$6:$A$25,0))))</f>
        <v/>
      </c>
      <c r="J174" s="60" t="str">
        <f t="shared" si="1"/>
        <v/>
      </c>
      <c r="K174" s="60" t="str">
        <f t="array" ref="K174">IF(OR(A174="",B174=""),"",IF(COUNTIFS(ETFs!$A$6:$A$25,B174,ETFs!$K$6:$K$25,1)&lt;&gt;1,0,IF(AND(J174=1,COUNTIFS(Companies!$A$6:$A$55,A174,Companies!$R$6:$R$55,1)=1,ISNUMBER(C174),C174&gt;=0,C174&lt;=1,ISNUMBER(D174),D174&gt;=0,ISNUMBER(I174),ABS(D174-C174*I174)&lt;=0.00000001*MAX(1,I174),ISNUMBER(E174),E174=INDEX(ETFs!$H$6:$H$25,MATCH(B174,ETFs!$A$6:$A$25,0)),G174="Yes",F174&lt;&gt;""),1,0)))</f>
        <v/>
      </c>
      <c r="L174" s="60" t="str">
        <f t="shared" si="2"/>
        <v/>
      </c>
    </row>
    <row r="175" ht="24.0" customHeight="1">
      <c r="A175" s="59"/>
      <c r="B175" s="59"/>
      <c r="C175" s="61"/>
      <c r="D175" s="56"/>
      <c r="E175" s="57"/>
      <c r="F175" s="59"/>
      <c r="G175" s="59"/>
      <c r="H175" s="60" t="str">
        <f t="array" ref="H175">IF(OR(A175="",B175=""),"",IF(COUNTIFS(ETFs!$A$6:$A$25,B175)&lt;&gt;1,"Unmatched ETF",INDEX(ETFs!$D$6:$D$25,MATCH(B175,ETFs!$A$6:$A$25,0))))</f>
        <v/>
      </c>
      <c r="I175" s="62" t="str">
        <f t="array" ref="I175">IF(OR(A175="",B175=""),"",IF(COUNTIFS(ETFs!$A$6:$A$25,B175,ETFs!$K$6:$K$25,1)&lt;&gt;1,"",INDEX(ETFs!$G$6:$G$25,MATCH(B175,ETFs!$A$6:$A$25,0))))</f>
        <v/>
      </c>
      <c r="J175" s="60" t="str">
        <f t="shared" si="1"/>
        <v/>
      </c>
      <c r="K175" s="60" t="str">
        <f t="array" ref="K175">IF(OR(A175="",B175=""),"",IF(COUNTIFS(ETFs!$A$6:$A$25,B175,ETFs!$K$6:$K$25,1)&lt;&gt;1,0,IF(AND(J175=1,COUNTIFS(Companies!$A$6:$A$55,A175,Companies!$R$6:$R$55,1)=1,ISNUMBER(C175),C175&gt;=0,C175&lt;=1,ISNUMBER(D175),D175&gt;=0,ISNUMBER(I175),ABS(D175-C175*I175)&lt;=0.00000001*MAX(1,I175),ISNUMBER(E175),E175=INDEX(ETFs!$H$6:$H$25,MATCH(B175,ETFs!$A$6:$A$25,0)),G175="Yes",F175&lt;&gt;""),1,0)))</f>
        <v/>
      </c>
      <c r="L175" s="60" t="str">
        <f t="shared" si="2"/>
        <v/>
      </c>
    </row>
    <row r="176" ht="24.0" customHeight="1">
      <c r="A176" s="59"/>
      <c r="B176" s="59"/>
      <c r="C176" s="61"/>
      <c r="D176" s="56"/>
      <c r="E176" s="57"/>
      <c r="F176" s="59"/>
      <c r="G176" s="59"/>
      <c r="H176" s="60" t="str">
        <f t="array" ref="H176">IF(OR(A176="",B176=""),"",IF(COUNTIFS(ETFs!$A$6:$A$25,B176)&lt;&gt;1,"Unmatched ETF",INDEX(ETFs!$D$6:$D$25,MATCH(B176,ETFs!$A$6:$A$25,0))))</f>
        <v/>
      </c>
      <c r="I176" s="62" t="str">
        <f t="array" ref="I176">IF(OR(A176="",B176=""),"",IF(COUNTIFS(ETFs!$A$6:$A$25,B176,ETFs!$K$6:$K$25,1)&lt;&gt;1,"",INDEX(ETFs!$G$6:$G$25,MATCH(B176,ETFs!$A$6:$A$25,0))))</f>
        <v/>
      </c>
      <c r="J176" s="60" t="str">
        <f t="shared" si="1"/>
        <v/>
      </c>
      <c r="K176" s="60" t="str">
        <f t="array" ref="K176">IF(OR(A176="",B176=""),"",IF(COUNTIFS(ETFs!$A$6:$A$25,B176,ETFs!$K$6:$K$25,1)&lt;&gt;1,0,IF(AND(J176=1,COUNTIFS(Companies!$A$6:$A$55,A176,Companies!$R$6:$R$55,1)=1,ISNUMBER(C176),C176&gt;=0,C176&lt;=1,ISNUMBER(D176),D176&gt;=0,ISNUMBER(I176),ABS(D176-C176*I176)&lt;=0.00000001*MAX(1,I176),ISNUMBER(E176),E176=INDEX(ETFs!$H$6:$H$25,MATCH(B176,ETFs!$A$6:$A$25,0)),G176="Yes",F176&lt;&gt;""),1,0)))</f>
        <v/>
      </c>
      <c r="L176" s="60" t="str">
        <f t="shared" si="2"/>
        <v/>
      </c>
    </row>
    <row r="177" ht="24.0" customHeight="1">
      <c r="A177" s="59"/>
      <c r="B177" s="59"/>
      <c r="C177" s="61"/>
      <c r="D177" s="56"/>
      <c r="E177" s="57"/>
      <c r="F177" s="59"/>
      <c r="G177" s="59"/>
      <c r="H177" s="60" t="str">
        <f t="array" ref="H177">IF(OR(A177="",B177=""),"",IF(COUNTIFS(ETFs!$A$6:$A$25,B177)&lt;&gt;1,"Unmatched ETF",INDEX(ETFs!$D$6:$D$25,MATCH(B177,ETFs!$A$6:$A$25,0))))</f>
        <v/>
      </c>
      <c r="I177" s="62" t="str">
        <f t="array" ref="I177">IF(OR(A177="",B177=""),"",IF(COUNTIFS(ETFs!$A$6:$A$25,B177,ETFs!$K$6:$K$25,1)&lt;&gt;1,"",INDEX(ETFs!$G$6:$G$25,MATCH(B177,ETFs!$A$6:$A$25,0))))</f>
        <v/>
      </c>
      <c r="J177" s="60" t="str">
        <f t="shared" si="1"/>
        <v/>
      </c>
      <c r="K177" s="60" t="str">
        <f t="array" ref="K177">IF(OR(A177="",B177=""),"",IF(COUNTIFS(ETFs!$A$6:$A$25,B177,ETFs!$K$6:$K$25,1)&lt;&gt;1,0,IF(AND(J177=1,COUNTIFS(Companies!$A$6:$A$55,A177,Companies!$R$6:$R$55,1)=1,ISNUMBER(C177),C177&gt;=0,C177&lt;=1,ISNUMBER(D177),D177&gt;=0,ISNUMBER(I177),ABS(D177-C177*I177)&lt;=0.00000001*MAX(1,I177),ISNUMBER(E177),E177=INDEX(ETFs!$H$6:$H$25,MATCH(B177,ETFs!$A$6:$A$25,0)),G177="Yes",F177&lt;&gt;""),1,0)))</f>
        <v/>
      </c>
      <c r="L177" s="60" t="str">
        <f t="shared" si="2"/>
        <v/>
      </c>
    </row>
    <row r="178" ht="24.0" customHeight="1">
      <c r="A178" s="59"/>
      <c r="B178" s="59"/>
      <c r="C178" s="61"/>
      <c r="D178" s="56"/>
      <c r="E178" s="57"/>
      <c r="F178" s="59"/>
      <c r="G178" s="59"/>
      <c r="H178" s="60" t="str">
        <f t="array" ref="H178">IF(OR(A178="",B178=""),"",IF(COUNTIFS(ETFs!$A$6:$A$25,B178)&lt;&gt;1,"Unmatched ETF",INDEX(ETFs!$D$6:$D$25,MATCH(B178,ETFs!$A$6:$A$25,0))))</f>
        <v/>
      </c>
      <c r="I178" s="62" t="str">
        <f t="array" ref="I178">IF(OR(A178="",B178=""),"",IF(COUNTIFS(ETFs!$A$6:$A$25,B178,ETFs!$K$6:$K$25,1)&lt;&gt;1,"",INDEX(ETFs!$G$6:$G$25,MATCH(B178,ETFs!$A$6:$A$25,0))))</f>
        <v/>
      </c>
      <c r="J178" s="60" t="str">
        <f t="shared" si="1"/>
        <v/>
      </c>
      <c r="K178" s="60" t="str">
        <f t="array" ref="K178">IF(OR(A178="",B178=""),"",IF(COUNTIFS(ETFs!$A$6:$A$25,B178,ETFs!$K$6:$K$25,1)&lt;&gt;1,0,IF(AND(J178=1,COUNTIFS(Companies!$A$6:$A$55,A178,Companies!$R$6:$R$55,1)=1,ISNUMBER(C178),C178&gt;=0,C178&lt;=1,ISNUMBER(D178),D178&gt;=0,ISNUMBER(I178),ABS(D178-C178*I178)&lt;=0.00000001*MAX(1,I178),ISNUMBER(E178),E178=INDEX(ETFs!$H$6:$H$25,MATCH(B178,ETFs!$A$6:$A$25,0)),G178="Yes",F178&lt;&gt;""),1,0)))</f>
        <v/>
      </c>
      <c r="L178" s="60" t="str">
        <f t="shared" si="2"/>
        <v/>
      </c>
    </row>
    <row r="179" ht="24.0" customHeight="1">
      <c r="A179" s="59"/>
      <c r="B179" s="59"/>
      <c r="C179" s="61"/>
      <c r="D179" s="56"/>
      <c r="E179" s="57"/>
      <c r="F179" s="59"/>
      <c r="G179" s="59"/>
      <c r="H179" s="60" t="str">
        <f t="array" ref="H179">IF(OR(A179="",B179=""),"",IF(COUNTIFS(ETFs!$A$6:$A$25,B179)&lt;&gt;1,"Unmatched ETF",INDEX(ETFs!$D$6:$D$25,MATCH(B179,ETFs!$A$6:$A$25,0))))</f>
        <v/>
      </c>
      <c r="I179" s="62" t="str">
        <f t="array" ref="I179">IF(OR(A179="",B179=""),"",IF(COUNTIFS(ETFs!$A$6:$A$25,B179,ETFs!$K$6:$K$25,1)&lt;&gt;1,"",INDEX(ETFs!$G$6:$G$25,MATCH(B179,ETFs!$A$6:$A$25,0))))</f>
        <v/>
      </c>
      <c r="J179" s="60" t="str">
        <f t="shared" si="1"/>
        <v/>
      </c>
      <c r="K179" s="60" t="str">
        <f t="array" ref="K179">IF(OR(A179="",B179=""),"",IF(COUNTIFS(ETFs!$A$6:$A$25,B179,ETFs!$K$6:$K$25,1)&lt;&gt;1,0,IF(AND(J179=1,COUNTIFS(Companies!$A$6:$A$55,A179,Companies!$R$6:$R$55,1)=1,ISNUMBER(C179),C179&gt;=0,C179&lt;=1,ISNUMBER(D179),D179&gt;=0,ISNUMBER(I179),ABS(D179-C179*I179)&lt;=0.00000001*MAX(1,I179),ISNUMBER(E179),E179=INDEX(ETFs!$H$6:$H$25,MATCH(B179,ETFs!$A$6:$A$25,0)),G179="Yes",F179&lt;&gt;""),1,0)))</f>
        <v/>
      </c>
      <c r="L179" s="60" t="str">
        <f t="shared" si="2"/>
        <v/>
      </c>
    </row>
    <row r="180" ht="24.0" customHeight="1">
      <c r="A180" s="59"/>
      <c r="B180" s="59"/>
      <c r="C180" s="61"/>
      <c r="D180" s="56"/>
      <c r="E180" s="57"/>
      <c r="F180" s="59"/>
      <c r="G180" s="59"/>
      <c r="H180" s="60" t="str">
        <f t="array" ref="H180">IF(OR(A180="",B180=""),"",IF(COUNTIFS(ETFs!$A$6:$A$25,B180)&lt;&gt;1,"Unmatched ETF",INDEX(ETFs!$D$6:$D$25,MATCH(B180,ETFs!$A$6:$A$25,0))))</f>
        <v/>
      </c>
      <c r="I180" s="62" t="str">
        <f t="array" ref="I180">IF(OR(A180="",B180=""),"",IF(COUNTIFS(ETFs!$A$6:$A$25,B180,ETFs!$K$6:$K$25,1)&lt;&gt;1,"",INDEX(ETFs!$G$6:$G$25,MATCH(B180,ETFs!$A$6:$A$25,0))))</f>
        <v/>
      </c>
      <c r="J180" s="60" t="str">
        <f t="shared" si="1"/>
        <v/>
      </c>
      <c r="K180" s="60" t="str">
        <f t="array" ref="K180">IF(OR(A180="",B180=""),"",IF(COUNTIFS(ETFs!$A$6:$A$25,B180,ETFs!$K$6:$K$25,1)&lt;&gt;1,0,IF(AND(J180=1,COUNTIFS(Companies!$A$6:$A$55,A180,Companies!$R$6:$R$55,1)=1,ISNUMBER(C180),C180&gt;=0,C180&lt;=1,ISNUMBER(D180),D180&gt;=0,ISNUMBER(I180),ABS(D180-C180*I180)&lt;=0.00000001*MAX(1,I180),ISNUMBER(E180),E180=INDEX(ETFs!$H$6:$H$25,MATCH(B180,ETFs!$A$6:$A$25,0)),G180="Yes",F180&lt;&gt;""),1,0)))</f>
        <v/>
      </c>
      <c r="L180" s="60" t="str">
        <f t="shared" si="2"/>
        <v/>
      </c>
    </row>
    <row r="181" ht="24.0" customHeight="1">
      <c r="A181" s="59"/>
      <c r="B181" s="59"/>
      <c r="C181" s="61"/>
      <c r="D181" s="56"/>
      <c r="E181" s="57"/>
      <c r="F181" s="59"/>
      <c r="G181" s="59"/>
      <c r="H181" s="60" t="str">
        <f t="array" ref="H181">IF(OR(A181="",B181=""),"",IF(COUNTIFS(ETFs!$A$6:$A$25,B181)&lt;&gt;1,"Unmatched ETF",INDEX(ETFs!$D$6:$D$25,MATCH(B181,ETFs!$A$6:$A$25,0))))</f>
        <v/>
      </c>
      <c r="I181" s="62" t="str">
        <f t="array" ref="I181">IF(OR(A181="",B181=""),"",IF(COUNTIFS(ETFs!$A$6:$A$25,B181,ETFs!$K$6:$K$25,1)&lt;&gt;1,"",INDEX(ETFs!$G$6:$G$25,MATCH(B181,ETFs!$A$6:$A$25,0))))</f>
        <v/>
      </c>
      <c r="J181" s="60" t="str">
        <f t="shared" si="1"/>
        <v/>
      </c>
      <c r="K181" s="60" t="str">
        <f t="array" ref="K181">IF(OR(A181="",B181=""),"",IF(COUNTIFS(ETFs!$A$6:$A$25,B181,ETFs!$K$6:$K$25,1)&lt;&gt;1,0,IF(AND(J181=1,COUNTIFS(Companies!$A$6:$A$55,A181,Companies!$R$6:$R$55,1)=1,ISNUMBER(C181),C181&gt;=0,C181&lt;=1,ISNUMBER(D181),D181&gt;=0,ISNUMBER(I181),ABS(D181-C181*I181)&lt;=0.00000001*MAX(1,I181),ISNUMBER(E181),E181=INDEX(ETFs!$H$6:$H$25,MATCH(B181,ETFs!$A$6:$A$25,0)),G181="Yes",F181&lt;&gt;""),1,0)))</f>
        <v/>
      </c>
      <c r="L181" s="60" t="str">
        <f t="shared" si="2"/>
        <v/>
      </c>
    </row>
    <row r="182" ht="24.0" customHeight="1">
      <c r="A182" s="59"/>
      <c r="B182" s="59"/>
      <c r="C182" s="61"/>
      <c r="D182" s="56"/>
      <c r="E182" s="57"/>
      <c r="F182" s="59"/>
      <c r="G182" s="59"/>
      <c r="H182" s="60" t="str">
        <f t="array" ref="H182">IF(OR(A182="",B182=""),"",IF(COUNTIFS(ETFs!$A$6:$A$25,B182)&lt;&gt;1,"Unmatched ETF",INDEX(ETFs!$D$6:$D$25,MATCH(B182,ETFs!$A$6:$A$25,0))))</f>
        <v/>
      </c>
      <c r="I182" s="62" t="str">
        <f t="array" ref="I182">IF(OR(A182="",B182=""),"",IF(COUNTIFS(ETFs!$A$6:$A$25,B182,ETFs!$K$6:$K$25,1)&lt;&gt;1,"",INDEX(ETFs!$G$6:$G$25,MATCH(B182,ETFs!$A$6:$A$25,0))))</f>
        <v/>
      </c>
      <c r="J182" s="60" t="str">
        <f t="shared" si="1"/>
        <v/>
      </c>
      <c r="K182" s="60" t="str">
        <f t="array" ref="K182">IF(OR(A182="",B182=""),"",IF(COUNTIFS(ETFs!$A$6:$A$25,B182,ETFs!$K$6:$K$25,1)&lt;&gt;1,0,IF(AND(J182=1,COUNTIFS(Companies!$A$6:$A$55,A182,Companies!$R$6:$R$55,1)=1,ISNUMBER(C182),C182&gt;=0,C182&lt;=1,ISNUMBER(D182),D182&gt;=0,ISNUMBER(I182),ABS(D182-C182*I182)&lt;=0.00000001*MAX(1,I182),ISNUMBER(E182),E182=INDEX(ETFs!$H$6:$H$25,MATCH(B182,ETFs!$A$6:$A$25,0)),G182="Yes",F182&lt;&gt;""),1,0)))</f>
        <v/>
      </c>
      <c r="L182" s="60" t="str">
        <f t="shared" si="2"/>
        <v/>
      </c>
    </row>
    <row r="183" ht="24.0" customHeight="1">
      <c r="A183" s="59"/>
      <c r="B183" s="59"/>
      <c r="C183" s="61"/>
      <c r="D183" s="56"/>
      <c r="E183" s="57"/>
      <c r="F183" s="59"/>
      <c r="G183" s="59"/>
      <c r="H183" s="60" t="str">
        <f t="array" ref="H183">IF(OR(A183="",B183=""),"",IF(COUNTIFS(ETFs!$A$6:$A$25,B183)&lt;&gt;1,"Unmatched ETF",INDEX(ETFs!$D$6:$D$25,MATCH(B183,ETFs!$A$6:$A$25,0))))</f>
        <v/>
      </c>
      <c r="I183" s="62" t="str">
        <f t="array" ref="I183">IF(OR(A183="",B183=""),"",IF(COUNTIFS(ETFs!$A$6:$A$25,B183,ETFs!$K$6:$K$25,1)&lt;&gt;1,"",INDEX(ETFs!$G$6:$G$25,MATCH(B183,ETFs!$A$6:$A$25,0))))</f>
        <v/>
      </c>
      <c r="J183" s="60" t="str">
        <f t="shared" si="1"/>
        <v/>
      </c>
      <c r="K183" s="60" t="str">
        <f t="array" ref="K183">IF(OR(A183="",B183=""),"",IF(COUNTIFS(ETFs!$A$6:$A$25,B183,ETFs!$K$6:$K$25,1)&lt;&gt;1,0,IF(AND(J183=1,COUNTIFS(Companies!$A$6:$A$55,A183,Companies!$R$6:$R$55,1)=1,ISNUMBER(C183),C183&gt;=0,C183&lt;=1,ISNUMBER(D183),D183&gt;=0,ISNUMBER(I183),ABS(D183-C183*I183)&lt;=0.00000001*MAX(1,I183),ISNUMBER(E183),E183=INDEX(ETFs!$H$6:$H$25,MATCH(B183,ETFs!$A$6:$A$25,0)),G183="Yes",F183&lt;&gt;""),1,0)))</f>
        <v/>
      </c>
      <c r="L183" s="60" t="str">
        <f t="shared" si="2"/>
        <v/>
      </c>
    </row>
    <row r="184" ht="24.0" customHeight="1">
      <c r="A184" s="59"/>
      <c r="B184" s="59"/>
      <c r="C184" s="61"/>
      <c r="D184" s="56"/>
      <c r="E184" s="57"/>
      <c r="F184" s="59"/>
      <c r="G184" s="59"/>
      <c r="H184" s="60" t="str">
        <f t="array" ref="H184">IF(OR(A184="",B184=""),"",IF(COUNTIFS(ETFs!$A$6:$A$25,B184)&lt;&gt;1,"Unmatched ETF",INDEX(ETFs!$D$6:$D$25,MATCH(B184,ETFs!$A$6:$A$25,0))))</f>
        <v/>
      </c>
      <c r="I184" s="62" t="str">
        <f t="array" ref="I184">IF(OR(A184="",B184=""),"",IF(COUNTIFS(ETFs!$A$6:$A$25,B184,ETFs!$K$6:$K$25,1)&lt;&gt;1,"",INDEX(ETFs!$G$6:$G$25,MATCH(B184,ETFs!$A$6:$A$25,0))))</f>
        <v/>
      </c>
      <c r="J184" s="60" t="str">
        <f t="shared" si="1"/>
        <v/>
      </c>
      <c r="K184" s="60" t="str">
        <f t="array" ref="K184">IF(OR(A184="",B184=""),"",IF(COUNTIFS(ETFs!$A$6:$A$25,B184,ETFs!$K$6:$K$25,1)&lt;&gt;1,0,IF(AND(J184=1,COUNTIFS(Companies!$A$6:$A$55,A184,Companies!$R$6:$R$55,1)=1,ISNUMBER(C184),C184&gt;=0,C184&lt;=1,ISNUMBER(D184),D184&gt;=0,ISNUMBER(I184),ABS(D184-C184*I184)&lt;=0.00000001*MAX(1,I184),ISNUMBER(E184),E184=INDEX(ETFs!$H$6:$H$25,MATCH(B184,ETFs!$A$6:$A$25,0)),G184="Yes",F184&lt;&gt;""),1,0)))</f>
        <v/>
      </c>
      <c r="L184" s="60" t="str">
        <f t="shared" si="2"/>
        <v/>
      </c>
    </row>
    <row r="185" ht="24.0" customHeight="1">
      <c r="A185" s="59"/>
      <c r="B185" s="59"/>
      <c r="C185" s="61"/>
      <c r="D185" s="56"/>
      <c r="E185" s="57"/>
      <c r="F185" s="59"/>
      <c r="G185" s="59"/>
      <c r="H185" s="60" t="str">
        <f t="array" ref="H185">IF(OR(A185="",B185=""),"",IF(COUNTIFS(ETFs!$A$6:$A$25,B185)&lt;&gt;1,"Unmatched ETF",INDEX(ETFs!$D$6:$D$25,MATCH(B185,ETFs!$A$6:$A$25,0))))</f>
        <v/>
      </c>
      <c r="I185" s="62" t="str">
        <f t="array" ref="I185">IF(OR(A185="",B185=""),"",IF(COUNTIFS(ETFs!$A$6:$A$25,B185,ETFs!$K$6:$K$25,1)&lt;&gt;1,"",INDEX(ETFs!$G$6:$G$25,MATCH(B185,ETFs!$A$6:$A$25,0))))</f>
        <v/>
      </c>
      <c r="J185" s="60" t="str">
        <f t="shared" si="1"/>
        <v/>
      </c>
      <c r="K185" s="60" t="str">
        <f t="array" ref="K185">IF(OR(A185="",B185=""),"",IF(COUNTIFS(ETFs!$A$6:$A$25,B185,ETFs!$K$6:$K$25,1)&lt;&gt;1,0,IF(AND(J185=1,COUNTIFS(Companies!$A$6:$A$55,A185,Companies!$R$6:$R$55,1)=1,ISNUMBER(C185),C185&gt;=0,C185&lt;=1,ISNUMBER(D185),D185&gt;=0,ISNUMBER(I185),ABS(D185-C185*I185)&lt;=0.00000001*MAX(1,I185),ISNUMBER(E185),E185=INDEX(ETFs!$H$6:$H$25,MATCH(B185,ETFs!$A$6:$A$25,0)),G185="Yes",F185&lt;&gt;""),1,0)))</f>
        <v/>
      </c>
      <c r="L185" s="60" t="str">
        <f t="shared" si="2"/>
        <v/>
      </c>
    </row>
    <row r="186" ht="24.0" customHeight="1">
      <c r="A186" s="59"/>
      <c r="B186" s="59"/>
      <c r="C186" s="61"/>
      <c r="D186" s="56"/>
      <c r="E186" s="57"/>
      <c r="F186" s="59"/>
      <c r="G186" s="59"/>
      <c r="H186" s="60" t="str">
        <f t="array" ref="H186">IF(OR(A186="",B186=""),"",IF(COUNTIFS(ETFs!$A$6:$A$25,B186)&lt;&gt;1,"Unmatched ETF",INDEX(ETFs!$D$6:$D$25,MATCH(B186,ETFs!$A$6:$A$25,0))))</f>
        <v/>
      </c>
      <c r="I186" s="62" t="str">
        <f t="array" ref="I186">IF(OR(A186="",B186=""),"",IF(COUNTIFS(ETFs!$A$6:$A$25,B186,ETFs!$K$6:$K$25,1)&lt;&gt;1,"",INDEX(ETFs!$G$6:$G$25,MATCH(B186,ETFs!$A$6:$A$25,0))))</f>
        <v/>
      </c>
      <c r="J186" s="60" t="str">
        <f t="shared" si="1"/>
        <v/>
      </c>
      <c r="K186" s="60" t="str">
        <f t="array" ref="K186">IF(OR(A186="",B186=""),"",IF(COUNTIFS(ETFs!$A$6:$A$25,B186,ETFs!$K$6:$K$25,1)&lt;&gt;1,0,IF(AND(J186=1,COUNTIFS(Companies!$A$6:$A$55,A186,Companies!$R$6:$R$55,1)=1,ISNUMBER(C186),C186&gt;=0,C186&lt;=1,ISNUMBER(D186),D186&gt;=0,ISNUMBER(I186),ABS(D186-C186*I186)&lt;=0.00000001*MAX(1,I186),ISNUMBER(E186),E186=INDEX(ETFs!$H$6:$H$25,MATCH(B186,ETFs!$A$6:$A$25,0)),G186="Yes",F186&lt;&gt;""),1,0)))</f>
        <v/>
      </c>
      <c r="L186" s="60" t="str">
        <f t="shared" si="2"/>
        <v/>
      </c>
    </row>
    <row r="187" ht="24.0" customHeight="1">
      <c r="A187" s="59"/>
      <c r="B187" s="59"/>
      <c r="C187" s="61"/>
      <c r="D187" s="56"/>
      <c r="E187" s="57"/>
      <c r="F187" s="59"/>
      <c r="G187" s="59"/>
      <c r="H187" s="60" t="str">
        <f t="array" ref="H187">IF(OR(A187="",B187=""),"",IF(COUNTIFS(ETFs!$A$6:$A$25,B187)&lt;&gt;1,"Unmatched ETF",INDEX(ETFs!$D$6:$D$25,MATCH(B187,ETFs!$A$6:$A$25,0))))</f>
        <v/>
      </c>
      <c r="I187" s="62" t="str">
        <f t="array" ref="I187">IF(OR(A187="",B187=""),"",IF(COUNTIFS(ETFs!$A$6:$A$25,B187,ETFs!$K$6:$K$25,1)&lt;&gt;1,"",INDEX(ETFs!$G$6:$G$25,MATCH(B187,ETFs!$A$6:$A$25,0))))</f>
        <v/>
      </c>
      <c r="J187" s="60" t="str">
        <f t="shared" si="1"/>
        <v/>
      </c>
      <c r="K187" s="60" t="str">
        <f t="array" ref="K187">IF(OR(A187="",B187=""),"",IF(COUNTIFS(ETFs!$A$6:$A$25,B187,ETFs!$K$6:$K$25,1)&lt;&gt;1,0,IF(AND(J187=1,COUNTIFS(Companies!$A$6:$A$55,A187,Companies!$R$6:$R$55,1)=1,ISNUMBER(C187),C187&gt;=0,C187&lt;=1,ISNUMBER(D187),D187&gt;=0,ISNUMBER(I187),ABS(D187-C187*I187)&lt;=0.00000001*MAX(1,I187),ISNUMBER(E187),E187=INDEX(ETFs!$H$6:$H$25,MATCH(B187,ETFs!$A$6:$A$25,0)),G187="Yes",F187&lt;&gt;""),1,0)))</f>
        <v/>
      </c>
      <c r="L187" s="60" t="str">
        <f t="shared" si="2"/>
        <v/>
      </c>
    </row>
    <row r="188" ht="24.0" customHeight="1">
      <c r="A188" s="59"/>
      <c r="B188" s="59"/>
      <c r="C188" s="61"/>
      <c r="D188" s="56"/>
      <c r="E188" s="57"/>
      <c r="F188" s="59"/>
      <c r="G188" s="59"/>
      <c r="H188" s="60" t="str">
        <f t="array" ref="H188">IF(OR(A188="",B188=""),"",IF(COUNTIFS(ETFs!$A$6:$A$25,B188)&lt;&gt;1,"Unmatched ETF",INDEX(ETFs!$D$6:$D$25,MATCH(B188,ETFs!$A$6:$A$25,0))))</f>
        <v/>
      </c>
      <c r="I188" s="62" t="str">
        <f t="array" ref="I188">IF(OR(A188="",B188=""),"",IF(COUNTIFS(ETFs!$A$6:$A$25,B188,ETFs!$K$6:$K$25,1)&lt;&gt;1,"",INDEX(ETFs!$G$6:$G$25,MATCH(B188,ETFs!$A$6:$A$25,0))))</f>
        <v/>
      </c>
      <c r="J188" s="60" t="str">
        <f t="shared" si="1"/>
        <v/>
      </c>
      <c r="K188" s="60" t="str">
        <f t="array" ref="K188">IF(OR(A188="",B188=""),"",IF(COUNTIFS(ETFs!$A$6:$A$25,B188,ETFs!$K$6:$K$25,1)&lt;&gt;1,0,IF(AND(J188=1,COUNTIFS(Companies!$A$6:$A$55,A188,Companies!$R$6:$R$55,1)=1,ISNUMBER(C188),C188&gt;=0,C188&lt;=1,ISNUMBER(D188),D188&gt;=0,ISNUMBER(I188),ABS(D188-C188*I188)&lt;=0.00000001*MAX(1,I188),ISNUMBER(E188),E188=INDEX(ETFs!$H$6:$H$25,MATCH(B188,ETFs!$A$6:$A$25,0)),G188="Yes",F188&lt;&gt;""),1,0)))</f>
        <v/>
      </c>
      <c r="L188" s="60" t="str">
        <f t="shared" si="2"/>
        <v/>
      </c>
    </row>
    <row r="189" ht="24.0" customHeight="1">
      <c r="A189" s="59"/>
      <c r="B189" s="59"/>
      <c r="C189" s="61"/>
      <c r="D189" s="56"/>
      <c r="E189" s="57"/>
      <c r="F189" s="59"/>
      <c r="G189" s="59"/>
      <c r="H189" s="60" t="str">
        <f t="array" ref="H189">IF(OR(A189="",B189=""),"",IF(COUNTIFS(ETFs!$A$6:$A$25,B189)&lt;&gt;1,"Unmatched ETF",INDEX(ETFs!$D$6:$D$25,MATCH(B189,ETFs!$A$6:$A$25,0))))</f>
        <v/>
      </c>
      <c r="I189" s="62" t="str">
        <f t="array" ref="I189">IF(OR(A189="",B189=""),"",IF(COUNTIFS(ETFs!$A$6:$A$25,B189,ETFs!$K$6:$K$25,1)&lt;&gt;1,"",INDEX(ETFs!$G$6:$G$25,MATCH(B189,ETFs!$A$6:$A$25,0))))</f>
        <v/>
      </c>
      <c r="J189" s="60" t="str">
        <f t="shared" si="1"/>
        <v/>
      </c>
      <c r="K189" s="60" t="str">
        <f t="array" ref="K189">IF(OR(A189="",B189=""),"",IF(COUNTIFS(ETFs!$A$6:$A$25,B189,ETFs!$K$6:$K$25,1)&lt;&gt;1,0,IF(AND(J189=1,COUNTIFS(Companies!$A$6:$A$55,A189,Companies!$R$6:$R$55,1)=1,ISNUMBER(C189),C189&gt;=0,C189&lt;=1,ISNUMBER(D189),D189&gt;=0,ISNUMBER(I189),ABS(D189-C189*I189)&lt;=0.00000001*MAX(1,I189),ISNUMBER(E189),E189=INDEX(ETFs!$H$6:$H$25,MATCH(B189,ETFs!$A$6:$A$25,0)),G189="Yes",F189&lt;&gt;""),1,0)))</f>
        <v/>
      </c>
      <c r="L189" s="60" t="str">
        <f t="shared" si="2"/>
        <v/>
      </c>
    </row>
    <row r="190" ht="24.0" customHeight="1">
      <c r="A190" s="59"/>
      <c r="B190" s="59"/>
      <c r="C190" s="61"/>
      <c r="D190" s="56"/>
      <c r="E190" s="57"/>
      <c r="F190" s="59"/>
      <c r="G190" s="59"/>
      <c r="H190" s="60" t="str">
        <f t="array" ref="H190">IF(OR(A190="",B190=""),"",IF(COUNTIFS(ETFs!$A$6:$A$25,B190)&lt;&gt;1,"Unmatched ETF",INDEX(ETFs!$D$6:$D$25,MATCH(B190,ETFs!$A$6:$A$25,0))))</f>
        <v/>
      </c>
      <c r="I190" s="62" t="str">
        <f t="array" ref="I190">IF(OR(A190="",B190=""),"",IF(COUNTIFS(ETFs!$A$6:$A$25,B190,ETFs!$K$6:$K$25,1)&lt;&gt;1,"",INDEX(ETFs!$G$6:$G$25,MATCH(B190,ETFs!$A$6:$A$25,0))))</f>
        <v/>
      </c>
      <c r="J190" s="60" t="str">
        <f t="shared" si="1"/>
        <v/>
      </c>
      <c r="K190" s="60" t="str">
        <f t="array" ref="K190">IF(OR(A190="",B190=""),"",IF(COUNTIFS(ETFs!$A$6:$A$25,B190,ETFs!$K$6:$K$25,1)&lt;&gt;1,0,IF(AND(J190=1,COUNTIFS(Companies!$A$6:$A$55,A190,Companies!$R$6:$R$55,1)=1,ISNUMBER(C190),C190&gt;=0,C190&lt;=1,ISNUMBER(D190),D190&gt;=0,ISNUMBER(I190),ABS(D190-C190*I190)&lt;=0.00000001*MAX(1,I190),ISNUMBER(E190),E190=INDEX(ETFs!$H$6:$H$25,MATCH(B190,ETFs!$A$6:$A$25,0)),G190="Yes",F190&lt;&gt;""),1,0)))</f>
        <v/>
      </c>
      <c r="L190" s="60" t="str">
        <f t="shared" si="2"/>
        <v/>
      </c>
    </row>
    <row r="191" ht="24.0" customHeight="1">
      <c r="A191" s="59"/>
      <c r="B191" s="59"/>
      <c r="C191" s="61"/>
      <c r="D191" s="56"/>
      <c r="E191" s="57"/>
      <c r="F191" s="59"/>
      <c r="G191" s="59"/>
      <c r="H191" s="60" t="str">
        <f t="array" ref="H191">IF(OR(A191="",B191=""),"",IF(COUNTIFS(ETFs!$A$6:$A$25,B191)&lt;&gt;1,"Unmatched ETF",INDEX(ETFs!$D$6:$D$25,MATCH(B191,ETFs!$A$6:$A$25,0))))</f>
        <v/>
      </c>
      <c r="I191" s="62" t="str">
        <f t="array" ref="I191">IF(OR(A191="",B191=""),"",IF(COUNTIFS(ETFs!$A$6:$A$25,B191,ETFs!$K$6:$K$25,1)&lt;&gt;1,"",INDEX(ETFs!$G$6:$G$25,MATCH(B191,ETFs!$A$6:$A$25,0))))</f>
        <v/>
      </c>
      <c r="J191" s="60" t="str">
        <f t="shared" si="1"/>
        <v/>
      </c>
      <c r="K191" s="60" t="str">
        <f t="array" ref="K191">IF(OR(A191="",B191=""),"",IF(COUNTIFS(ETFs!$A$6:$A$25,B191,ETFs!$K$6:$K$25,1)&lt;&gt;1,0,IF(AND(J191=1,COUNTIFS(Companies!$A$6:$A$55,A191,Companies!$R$6:$R$55,1)=1,ISNUMBER(C191),C191&gt;=0,C191&lt;=1,ISNUMBER(D191),D191&gt;=0,ISNUMBER(I191),ABS(D191-C191*I191)&lt;=0.00000001*MAX(1,I191),ISNUMBER(E191),E191=INDEX(ETFs!$H$6:$H$25,MATCH(B191,ETFs!$A$6:$A$25,0)),G191="Yes",F191&lt;&gt;""),1,0)))</f>
        <v/>
      </c>
      <c r="L191" s="60" t="str">
        <f t="shared" si="2"/>
        <v/>
      </c>
    </row>
    <row r="192" ht="24.0" customHeight="1">
      <c r="A192" s="59"/>
      <c r="B192" s="59"/>
      <c r="C192" s="61"/>
      <c r="D192" s="56"/>
      <c r="E192" s="57"/>
      <c r="F192" s="59"/>
      <c r="G192" s="59"/>
      <c r="H192" s="60" t="str">
        <f t="array" ref="H192">IF(OR(A192="",B192=""),"",IF(COUNTIFS(ETFs!$A$6:$A$25,B192)&lt;&gt;1,"Unmatched ETF",INDEX(ETFs!$D$6:$D$25,MATCH(B192,ETFs!$A$6:$A$25,0))))</f>
        <v/>
      </c>
      <c r="I192" s="62" t="str">
        <f t="array" ref="I192">IF(OR(A192="",B192=""),"",IF(COUNTIFS(ETFs!$A$6:$A$25,B192,ETFs!$K$6:$K$25,1)&lt;&gt;1,"",INDEX(ETFs!$G$6:$G$25,MATCH(B192,ETFs!$A$6:$A$25,0))))</f>
        <v/>
      </c>
      <c r="J192" s="60" t="str">
        <f t="shared" si="1"/>
        <v/>
      </c>
      <c r="K192" s="60" t="str">
        <f t="array" ref="K192">IF(OR(A192="",B192=""),"",IF(COUNTIFS(ETFs!$A$6:$A$25,B192,ETFs!$K$6:$K$25,1)&lt;&gt;1,0,IF(AND(J192=1,COUNTIFS(Companies!$A$6:$A$55,A192,Companies!$R$6:$R$55,1)=1,ISNUMBER(C192),C192&gt;=0,C192&lt;=1,ISNUMBER(D192),D192&gt;=0,ISNUMBER(I192),ABS(D192-C192*I192)&lt;=0.00000001*MAX(1,I192),ISNUMBER(E192),E192=INDEX(ETFs!$H$6:$H$25,MATCH(B192,ETFs!$A$6:$A$25,0)),G192="Yes",F192&lt;&gt;""),1,0)))</f>
        <v/>
      </c>
      <c r="L192" s="60" t="str">
        <f t="shared" si="2"/>
        <v/>
      </c>
    </row>
    <row r="193" ht="24.0" customHeight="1">
      <c r="A193" s="59"/>
      <c r="B193" s="59"/>
      <c r="C193" s="61"/>
      <c r="D193" s="56"/>
      <c r="E193" s="57"/>
      <c r="F193" s="59"/>
      <c r="G193" s="59"/>
      <c r="H193" s="60" t="str">
        <f t="array" ref="H193">IF(OR(A193="",B193=""),"",IF(COUNTIFS(ETFs!$A$6:$A$25,B193)&lt;&gt;1,"Unmatched ETF",INDEX(ETFs!$D$6:$D$25,MATCH(B193,ETFs!$A$6:$A$25,0))))</f>
        <v/>
      </c>
      <c r="I193" s="62" t="str">
        <f t="array" ref="I193">IF(OR(A193="",B193=""),"",IF(COUNTIFS(ETFs!$A$6:$A$25,B193,ETFs!$K$6:$K$25,1)&lt;&gt;1,"",INDEX(ETFs!$G$6:$G$25,MATCH(B193,ETFs!$A$6:$A$25,0))))</f>
        <v/>
      </c>
      <c r="J193" s="60" t="str">
        <f t="shared" si="1"/>
        <v/>
      </c>
      <c r="K193" s="60" t="str">
        <f t="array" ref="K193">IF(OR(A193="",B193=""),"",IF(COUNTIFS(ETFs!$A$6:$A$25,B193,ETFs!$K$6:$K$25,1)&lt;&gt;1,0,IF(AND(J193=1,COUNTIFS(Companies!$A$6:$A$55,A193,Companies!$R$6:$R$55,1)=1,ISNUMBER(C193),C193&gt;=0,C193&lt;=1,ISNUMBER(D193),D193&gt;=0,ISNUMBER(I193),ABS(D193-C193*I193)&lt;=0.00000001*MAX(1,I193),ISNUMBER(E193),E193=INDEX(ETFs!$H$6:$H$25,MATCH(B193,ETFs!$A$6:$A$25,0)),G193="Yes",F193&lt;&gt;""),1,0)))</f>
        <v/>
      </c>
      <c r="L193" s="60" t="str">
        <f t="shared" si="2"/>
        <v/>
      </c>
    </row>
    <row r="194" ht="24.0" customHeight="1">
      <c r="A194" s="59"/>
      <c r="B194" s="59"/>
      <c r="C194" s="61"/>
      <c r="D194" s="56"/>
      <c r="E194" s="57"/>
      <c r="F194" s="59"/>
      <c r="G194" s="59"/>
      <c r="H194" s="60" t="str">
        <f t="array" ref="H194">IF(OR(A194="",B194=""),"",IF(COUNTIFS(ETFs!$A$6:$A$25,B194)&lt;&gt;1,"Unmatched ETF",INDEX(ETFs!$D$6:$D$25,MATCH(B194,ETFs!$A$6:$A$25,0))))</f>
        <v/>
      </c>
      <c r="I194" s="62" t="str">
        <f t="array" ref="I194">IF(OR(A194="",B194=""),"",IF(COUNTIFS(ETFs!$A$6:$A$25,B194,ETFs!$K$6:$K$25,1)&lt;&gt;1,"",INDEX(ETFs!$G$6:$G$25,MATCH(B194,ETFs!$A$6:$A$25,0))))</f>
        <v/>
      </c>
      <c r="J194" s="60" t="str">
        <f t="shared" si="1"/>
        <v/>
      </c>
      <c r="K194" s="60" t="str">
        <f t="array" ref="K194">IF(OR(A194="",B194=""),"",IF(COUNTIFS(ETFs!$A$6:$A$25,B194,ETFs!$K$6:$K$25,1)&lt;&gt;1,0,IF(AND(J194=1,COUNTIFS(Companies!$A$6:$A$55,A194,Companies!$R$6:$R$55,1)=1,ISNUMBER(C194),C194&gt;=0,C194&lt;=1,ISNUMBER(D194),D194&gt;=0,ISNUMBER(I194),ABS(D194-C194*I194)&lt;=0.00000001*MAX(1,I194),ISNUMBER(E194),E194=INDEX(ETFs!$H$6:$H$25,MATCH(B194,ETFs!$A$6:$A$25,0)),G194="Yes",F194&lt;&gt;""),1,0)))</f>
        <v/>
      </c>
      <c r="L194" s="60" t="str">
        <f t="shared" si="2"/>
        <v/>
      </c>
    </row>
    <row r="195" ht="24.0" customHeight="1">
      <c r="A195" s="59"/>
      <c r="B195" s="59"/>
      <c r="C195" s="61"/>
      <c r="D195" s="56"/>
      <c r="E195" s="57"/>
      <c r="F195" s="59"/>
      <c r="G195" s="59"/>
      <c r="H195" s="60" t="str">
        <f t="array" ref="H195">IF(OR(A195="",B195=""),"",IF(COUNTIFS(ETFs!$A$6:$A$25,B195)&lt;&gt;1,"Unmatched ETF",INDEX(ETFs!$D$6:$D$25,MATCH(B195,ETFs!$A$6:$A$25,0))))</f>
        <v/>
      </c>
      <c r="I195" s="62" t="str">
        <f t="array" ref="I195">IF(OR(A195="",B195=""),"",IF(COUNTIFS(ETFs!$A$6:$A$25,B195,ETFs!$K$6:$K$25,1)&lt;&gt;1,"",INDEX(ETFs!$G$6:$G$25,MATCH(B195,ETFs!$A$6:$A$25,0))))</f>
        <v/>
      </c>
      <c r="J195" s="60" t="str">
        <f t="shared" si="1"/>
        <v/>
      </c>
      <c r="K195" s="60" t="str">
        <f t="array" ref="K195">IF(OR(A195="",B195=""),"",IF(COUNTIFS(ETFs!$A$6:$A$25,B195,ETFs!$K$6:$K$25,1)&lt;&gt;1,0,IF(AND(J195=1,COUNTIFS(Companies!$A$6:$A$55,A195,Companies!$R$6:$R$55,1)=1,ISNUMBER(C195),C195&gt;=0,C195&lt;=1,ISNUMBER(D195),D195&gt;=0,ISNUMBER(I195),ABS(D195-C195*I195)&lt;=0.00000001*MAX(1,I195),ISNUMBER(E195),E195=INDEX(ETFs!$H$6:$H$25,MATCH(B195,ETFs!$A$6:$A$25,0)),G195="Yes",F195&lt;&gt;""),1,0)))</f>
        <v/>
      </c>
      <c r="L195" s="60" t="str">
        <f t="shared" si="2"/>
        <v/>
      </c>
    </row>
    <row r="196" ht="24.0" customHeight="1">
      <c r="A196" s="59"/>
      <c r="B196" s="59"/>
      <c r="C196" s="61"/>
      <c r="D196" s="56"/>
      <c r="E196" s="57"/>
      <c r="F196" s="59"/>
      <c r="G196" s="59"/>
      <c r="H196" s="60" t="str">
        <f t="array" ref="H196">IF(OR(A196="",B196=""),"",IF(COUNTIFS(ETFs!$A$6:$A$25,B196)&lt;&gt;1,"Unmatched ETF",INDEX(ETFs!$D$6:$D$25,MATCH(B196,ETFs!$A$6:$A$25,0))))</f>
        <v/>
      </c>
      <c r="I196" s="62" t="str">
        <f t="array" ref="I196">IF(OR(A196="",B196=""),"",IF(COUNTIFS(ETFs!$A$6:$A$25,B196,ETFs!$K$6:$K$25,1)&lt;&gt;1,"",INDEX(ETFs!$G$6:$G$25,MATCH(B196,ETFs!$A$6:$A$25,0))))</f>
        <v/>
      </c>
      <c r="J196" s="60" t="str">
        <f t="shared" si="1"/>
        <v/>
      </c>
      <c r="K196" s="60" t="str">
        <f t="array" ref="K196">IF(OR(A196="",B196=""),"",IF(COUNTIFS(ETFs!$A$6:$A$25,B196,ETFs!$K$6:$K$25,1)&lt;&gt;1,0,IF(AND(J196=1,COUNTIFS(Companies!$A$6:$A$55,A196,Companies!$R$6:$R$55,1)=1,ISNUMBER(C196),C196&gt;=0,C196&lt;=1,ISNUMBER(D196),D196&gt;=0,ISNUMBER(I196),ABS(D196-C196*I196)&lt;=0.00000001*MAX(1,I196),ISNUMBER(E196),E196=INDEX(ETFs!$H$6:$H$25,MATCH(B196,ETFs!$A$6:$A$25,0)),G196="Yes",F196&lt;&gt;""),1,0)))</f>
        <v/>
      </c>
      <c r="L196" s="60" t="str">
        <f t="shared" si="2"/>
        <v/>
      </c>
    </row>
    <row r="197" ht="24.0" customHeight="1">
      <c r="A197" s="59"/>
      <c r="B197" s="59"/>
      <c r="C197" s="61"/>
      <c r="D197" s="56"/>
      <c r="E197" s="57"/>
      <c r="F197" s="59"/>
      <c r="G197" s="59"/>
      <c r="H197" s="60" t="str">
        <f t="array" ref="H197">IF(OR(A197="",B197=""),"",IF(COUNTIFS(ETFs!$A$6:$A$25,B197)&lt;&gt;1,"Unmatched ETF",INDEX(ETFs!$D$6:$D$25,MATCH(B197,ETFs!$A$6:$A$25,0))))</f>
        <v/>
      </c>
      <c r="I197" s="62" t="str">
        <f t="array" ref="I197">IF(OR(A197="",B197=""),"",IF(COUNTIFS(ETFs!$A$6:$A$25,B197,ETFs!$K$6:$K$25,1)&lt;&gt;1,"",INDEX(ETFs!$G$6:$G$25,MATCH(B197,ETFs!$A$6:$A$25,0))))</f>
        <v/>
      </c>
      <c r="J197" s="60" t="str">
        <f t="shared" si="1"/>
        <v/>
      </c>
      <c r="K197" s="60" t="str">
        <f t="array" ref="K197">IF(OR(A197="",B197=""),"",IF(COUNTIFS(ETFs!$A$6:$A$25,B197,ETFs!$K$6:$K$25,1)&lt;&gt;1,0,IF(AND(J197=1,COUNTIFS(Companies!$A$6:$A$55,A197,Companies!$R$6:$R$55,1)=1,ISNUMBER(C197),C197&gt;=0,C197&lt;=1,ISNUMBER(D197),D197&gt;=0,ISNUMBER(I197),ABS(D197-C197*I197)&lt;=0.00000001*MAX(1,I197),ISNUMBER(E197),E197=INDEX(ETFs!$H$6:$H$25,MATCH(B197,ETFs!$A$6:$A$25,0)),G197="Yes",F197&lt;&gt;""),1,0)))</f>
        <v/>
      </c>
      <c r="L197" s="60" t="str">
        <f t="shared" si="2"/>
        <v/>
      </c>
    </row>
    <row r="198" ht="24.0" customHeight="1">
      <c r="A198" s="59"/>
      <c r="B198" s="59"/>
      <c r="C198" s="61"/>
      <c r="D198" s="56"/>
      <c r="E198" s="57"/>
      <c r="F198" s="59"/>
      <c r="G198" s="59"/>
      <c r="H198" s="60" t="str">
        <f t="array" ref="H198">IF(OR(A198="",B198=""),"",IF(COUNTIFS(ETFs!$A$6:$A$25,B198)&lt;&gt;1,"Unmatched ETF",INDEX(ETFs!$D$6:$D$25,MATCH(B198,ETFs!$A$6:$A$25,0))))</f>
        <v/>
      </c>
      <c r="I198" s="62" t="str">
        <f t="array" ref="I198">IF(OR(A198="",B198=""),"",IF(COUNTIFS(ETFs!$A$6:$A$25,B198,ETFs!$K$6:$K$25,1)&lt;&gt;1,"",INDEX(ETFs!$G$6:$G$25,MATCH(B198,ETFs!$A$6:$A$25,0))))</f>
        <v/>
      </c>
      <c r="J198" s="60" t="str">
        <f t="shared" si="1"/>
        <v/>
      </c>
      <c r="K198" s="60" t="str">
        <f t="array" ref="K198">IF(OR(A198="",B198=""),"",IF(COUNTIFS(ETFs!$A$6:$A$25,B198,ETFs!$K$6:$K$25,1)&lt;&gt;1,0,IF(AND(J198=1,COUNTIFS(Companies!$A$6:$A$55,A198,Companies!$R$6:$R$55,1)=1,ISNUMBER(C198),C198&gt;=0,C198&lt;=1,ISNUMBER(D198),D198&gt;=0,ISNUMBER(I198),ABS(D198-C198*I198)&lt;=0.00000001*MAX(1,I198),ISNUMBER(E198),E198=INDEX(ETFs!$H$6:$H$25,MATCH(B198,ETFs!$A$6:$A$25,0)),G198="Yes",F198&lt;&gt;""),1,0)))</f>
        <v/>
      </c>
      <c r="L198" s="60" t="str">
        <f t="shared" si="2"/>
        <v/>
      </c>
    </row>
    <row r="199" ht="24.0" customHeight="1">
      <c r="A199" s="59"/>
      <c r="B199" s="59"/>
      <c r="C199" s="61"/>
      <c r="D199" s="56"/>
      <c r="E199" s="57"/>
      <c r="F199" s="59"/>
      <c r="G199" s="59"/>
      <c r="H199" s="60" t="str">
        <f t="array" ref="H199">IF(OR(A199="",B199=""),"",IF(COUNTIFS(ETFs!$A$6:$A$25,B199)&lt;&gt;1,"Unmatched ETF",INDEX(ETFs!$D$6:$D$25,MATCH(B199,ETFs!$A$6:$A$25,0))))</f>
        <v/>
      </c>
      <c r="I199" s="62" t="str">
        <f t="array" ref="I199">IF(OR(A199="",B199=""),"",IF(COUNTIFS(ETFs!$A$6:$A$25,B199,ETFs!$K$6:$K$25,1)&lt;&gt;1,"",INDEX(ETFs!$G$6:$G$25,MATCH(B199,ETFs!$A$6:$A$25,0))))</f>
        <v/>
      </c>
      <c r="J199" s="60" t="str">
        <f t="shared" si="1"/>
        <v/>
      </c>
      <c r="K199" s="60" t="str">
        <f t="array" ref="K199">IF(OR(A199="",B199=""),"",IF(COUNTIFS(ETFs!$A$6:$A$25,B199,ETFs!$K$6:$K$25,1)&lt;&gt;1,0,IF(AND(J199=1,COUNTIFS(Companies!$A$6:$A$55,A199,Companies!$R$6:$R$55,1)=1,ISNUMBER(C199),C199&gt;=0,C199&lt;=1,ISNUMBER(D199),D199&gt;=0,ISNUMBER(I199),ABS(D199-C199*I199)&lt;=0.00000001*MAX(1,I199),ISNUMBER(E199),E199=INDEX(ETFs!$H$6:$H$25,MATCH(B199,ETFs!$A$6:$A$25,0)),G199="Yes",F199&lt;&gt;""),1,0)))</f>
        <v/>
      </c>
      <c r="L199" s="60" t="str">
        <f t="shared" si="2"/>
        <v/>
      </c>
    </row>
    <row r="200" ht="24.0" customHeight="1">
      <c r="A200" s="59"/>
      <c r="B200" s="59"/>
      <c r="C200" s="61"/>
      <c r="D200" s="56"/>
      <c r="E200" s="57"/>
      <c r="F200" s="59"/>
      <c r="G200" s="59"/>
      <c r="H200" s="60" t="str">
        <f t="array" ref="H200">IF(OR(A200="",B200=""),"",IF(COUNTIFS(ETFs!$A$6:$A$25,B200)&lt;&gt;1,"Unmatched ETF",INDEX(ETFs!$D$6:$D$25,MATCH(B200,ETFs!$A$6:$A$25,0))))</f>
        <v/>
      </c>
      <c r="I200" s="62" t="str">
        <f t="array" ref="I200">IF(OR(A200="",B200=""),"",IF(COUNTIFS(ETFs!$A$6:$A$25,B200,ETFs!$K$6:$K$25,1)&lt;&gt;1,"",INDEX(ETFs!$G$6:$G$25,MATCH(B200,ETFs!$A$6:$A$25,0))))</f>
        <v/>
      </c>
      <c r="J200" s="60" t="str">
        <f t="shared" si="1"/>
        <v/>
      </c>
      <c r="K200" s="60" t="str">
        <f t="array" ref="K200">IF(OR(A200="",B200=""),"",IF(COUNTIFS(ETFs!$A$6:$A$25,B200,ETFs!$K$6:$K$25,1)&lt;&gt;1,0,IF(AND(J200=1,COUNTIFS(Companies!$A$6:$A$55,A200,Companies!$R$6:$R$55,1)=1,ISNUMBER(C200),C200&gt;=0,C200&lt;=1,ISNUMBER(D200),D200&gt;=0,ISNUMBER(I200),ABS(D200-C200*I200)&lt;=0.00000001*MAX(1,I200),ISNUMBER(E200),E200=INDEX(ETFs!$H$6:$H$25,MATCH(B200,ETFs!$A$6:$A$25,0)),G200="Yes",F200&lt;&gt;""),1,0)))</f>
        <v/>
      </c>
      <c r="L200" s="60" t="str">
        <f t="shared" si="2"/>
        <v/>
      </c>
    </row>
    <row r="201" ht="24.0" customHeight="1">
      <c r="A201" s="59"/>
      <c r="B201" s="59"/>
      <c r="C201" s="61"/>
      <c r="D201" s="56"/>
      <c r="E201" s="57"/>
      <c r="F201" s="59"/>
      <c r="G201" s="59"/>
      <c r="H201" s="60" t="str">
        <f t="array" ref="H201">IF(OR(A201="",B201=""),"",IF(COUNTIFS(ETFs!$A$6:$A$25,B201)&lt;&gt;1,"Unmatched ETF",INDEX(ETFs!$D$6:$D$25,MATCH(B201,ETFs!$A$6:$A$25,0))))</f>
        <v/>
      </c>
      <c r="I201" s="62" t="str">
        <f t="array" ref="I201">IF(OR(A201="",B201=""),"",IF(COUNTIFS(ETFs!$A$6:$A$25,B201,ETFs!$K$6:$K$25,1)&lt;&gt;1,"",INDEX(ETFs!$G$6:$G$25,MATCH(B201,ETFs!$A$6:$A$25,0))))</f>
        <v/>
      </c>
      <c r="J201" s="60" t="str">
        <f t="shared" si="1"/>
        <v/>
      </c>
      <c r="K201" s="60" t="str">
        <f t="array" ref="K201">IF(OR(A201="",B201=""),"",IF(COUNTIFS(ETFs!$A$6:$A$25,B201,ETFs!$K$6:$K$25,1)&lt;&gt;1,0,IF(AND(J201=1,COUNTIFS(Companies!$A$6:$A$55,A201,Companies!$R$6:$R$55,1)=1,ISNUMBER(C201),C201&gt;=0,C201&lt;=1,ISNUMBER(D201),D201&gt;=0,ISNUMBER(I201),ABS(D201-C201*I201)&lt;=0.00000001*MAX(1,I201),ISNUMBER(E201),E201=INDEX(ETFs!$H$6:$H$25,MATCH(B201,ETFs!$A$6:$A$25,0)),G201="Yes",F201&lt;&gt;""),1,0)))</f>
        <v/>
      </c>
      <c r="L201" s="60" t="str">
        <f t="shared" si="2"/>
        <v/>
      </c>
    </row>
    <row r="202" ht="24.0" customHeight="1">
      <c r="A202" s="59"/>
      <c r="B202" s="59"/>
      <c r="C202" s="61"/>
      <c r="D202" s="56"/>
      <c r="E202" s="57"/>
      <c r="F202" s="59"/>
      <c r="G202" s="59"/>
      <c r="H202" s="60" t="str">
        <f t="array" ref="H202">IF(OR(A202="",B202=""),"",IF(COUNTIFS(ETFs!$A$6:$A$25,B202)&lt;&gt;1,"Unmatched ETF",INDEX(ETFs!$D$6:$D$25,MATCH(B202,ETFs!$A$6:$A$25,0))))</f>
        <v/>
      </c>
      <c r="I202" s="62" t="str">
        <f t="array" ref="I202">IF(OR(A202="",B202=""),"",IF(COUNTIFS(ETFs!$A$6:$A$25,B202,ETFs!$K$6:$K$25,1)&lt;&gt;1,"",INDEX(ETFs!$G$6:$G$25,MATCH(B202,ETFs!$A$6:$A$25,0))))</f>
        <v/>
      </c>
      <c r="J202" s="60" t="str">
        <f t="shared" si="1"/>
        <v/>
      </c>
      <c r="K202" s="60" t="str">
        <f t="array" ref="K202">IF(OR(A202="",B202=""),"",IF(COUNTIFS(ETFs!$A$6:$A$25,B202,ETFs!$K$6:$K$25,1)&lt;&gt;1,0,IF(AND(J202=1,COUNTIFS(Companies!$A$6:$A$55,A202,Companies!$R$6:$R$55,1)=1,ISNUMBER(C202),C202&gt;=0,C202&lt;=1,ISNUMBER(D202),D202&gt;=0,ISNUMBER(I202),ABS(D202-C202*I202)&lt;=0.00000001*MAX(1,I202),ISNUMBER(E202),E202=INDEX(ETFs!$H$6:$H$25,MATCH(B202,ETFs!$A$6:$A$25,0)),G202="Yes",F202&lt;&gt;""),1,0)))</f>
        <v/>
      </c>
      <c r="L202" s="60" t="str">
        <f t="shared" si="2"/>
        <v/>
      </c>
    </row>
    <row r="203" ht="24.0" customHeight="1">
      <c r="A203" s="59"/>
      <c r="B203" s="59"/>
      <c r="C203" s="61"/>
      <c r="D203" s="56"/>
      <c r="E203" s="57"/>
      <c r="F203" s="59"/>
      <c r="G203" s="59"/>
      <c r="H203" s="60" t="str">
        <f t="array" ref="H203">IF(OR(A203="",B203=""),"",IF(COUNTIFS(ETFs!$A$6:$A$25,B203)&lt;&gt;1,"Unmatched ETF",INDEX(ETFs!$D$6:$D$25,MATCH(B203,ETFs!$A$6:$A$25,0))))</f>
        <v/>
      </c>
      <c r="I203" s="62" t="str">
        <f t="array" ref="I203">IF(OR(A203="",B203=""),"",IF(COUNTIFS(ETFs!$A$6:$A$25,B203,ETFs!$K$6:$K$25,1)&lt;&gt;1,"",INDEX(ETFs!$G$6:$G$25,MATCH(B203,ETFs!$A$6:$A$25,0))))</f>
        <v/>
      </c>
      <c r="J203" s="60" t="str">
        <f t="shared" si="1"/>
        <v/>
      </c>
      <c r="K203" s="60" t="str">
        <f t="array" ref="K203">IF(OR(A203="",B203=""),"",IF(COUNTIFS(ETFs!$A$6:$A$25,B203,ETFs!$K$6:$K$25,1)&lt;&gt;1,0,IF(AND(J203=1,COUNTIFS(Companies!$A$6:$A$55,A203,Companies!$R$6:$R$55,1)=1,ISNUMBER(C203),C203&gt;=0,C203&lt;=1,ISNUMBER(D203),D203&gt;=0,ISNUMBER(I203),ABS(D203-C203*I203)&lt;=0.00000001*MAX(1,I203),ISNUMBER(E203),E203=INDEX(ETFs!$H$6:$H$25,MATCH(B203,ETFs!$A$6:$A$25,0)),G203="Yes",F203&lt;&gt;""),1,0)))</f>
        <v/>
      </c>
      <c r="L203" s="60" t="str">
        <f t="shared" si="2"/>
        <v/>
      </c>
    </row>
    <row r="204" ht="24.0" customHeight="1">
      <c r="A204" s="59"/>
      <c r="B204" s="59"/>
      <c r="C204" s="61"/>
      <c r="D204" s="56"/>
      <c r="E204" s="57"/>
      <c r="F204" s="59"/>
      <c r="G204" s="59"/>
      <c r="H204" s="60" t="str">
        <f t="array" ref="H204">IF(OR(A204="",B204=""),"",IF(COUNTIFS(ETFs!$A$6:$A$25,B204)&lt;&gt;1,"Unmatched ETF",INDEX(ETFs!$D$6:$D$25,MATCH(B204,ETFs!$A$6:$A$25,0))))</f>
        <v/>
      </c>
      <c r="I204" s="62" t="str">
        <f t="array" ref="I204">IF(OR(A204="",B204=""),"",IF(COUNTIFS(ETFs!$A$6:$A$25,B204,ETFs!$K$6:$K$25,1)&lt;&gt;1,"",INDEX(ETFs!$G$6:$G$25,MATCH(B204,ETFs!$A$6:$A$25,0))))</f>
        <v/>
      </c>
      <c r="J204" s="60" t="str">
        <f t="shared" si="1"/>
        <v/>
      </c>
      <c r="K204" s="60" t="str">
        <f t="array" ref="K204">IF(OR(A204="",B204=""),"",IF(COUNTIFS(ETFs!$A$6:$A$25,B204,ETFs!$K$6:$K$25,1)&lt;&gt;1,0,IF(AND(J204=1,COUNTIFS(Companies!$A$6:$A$55,A204,Companies!$R$6:$R$55,1)=1,ISNUMBER(C204),C204&gt;=0,C204&lt;=1,ISNUMBER(D204),D204&gt;=0,ISNUMBER(I204),ABS(D204-C204*I204)&lt;=0.00000001*MAX(1,I204),ISNUMBER(E204),E204=INDEX(ETFs!$H$6:$H$25,MATCH(B204,ETFs!$A$6:$A$25,0)),G204="Yes",F204&lt;&gt;""),1,0)))</f>
        <v/>
      </c>
      <c r="L204" s="60" t="str">
        <f t="shared" si="2"/>
        <v/>
      </c>
    </row>
    <row r="205" ht="24.0" customHeight="1">
      <c r="A205" s="59"/>
      <c r="B205" s="59"/>
      <c r="C205" s="61"/>
      <c r="D205" s="56"/>
      <c r="E205" s="57"/>
      <c r="F205" s="59"/>
      <c r="G205" s="59"/>
      <c r="H205" s="60" t="str">
        <f t="array" ref="H205">IF(OR(A205="",B205=""),"",IF(COUNTIFS(ETFs!$A$6:$A$25,B205)&lt;&gt;1,"Unmatched ETF",INDEX(ETFs!$D$6:$D$25,MATCH(B205,ETFs!$A$6:$A$25,0))))</f>
        <v/>
      </c>
      <c r="I205" s="62" t="str">
        <f t="array" ref="I205">IF(OR(A205="",B205=""),"",IF(COUNTIFS(ETFs!$A$6:$A$25,B205,ETFs!$K$6:$K$25,1)&lt;&gt;1,"",INDEX(ETFs!$G$6:$G$25,MATCH(B205,ETFs!$A$6:$A$25,0))))</f>
        <v/>
      </c>
      <c r="J205" s="60" t="str">
        <f t="shared" si="1"/>
        <v/>
      </c>
      <c r="K205" s="60" t="str">
        <f t="array" ref="K205">IF(OR(A205="",B205=""),"",IF(COUNTIFS(ETFs!$A$6:$A$25,B205,ETFs!$K$6:$K$25,1)&lt;&gt;1,0,IF(AND(J205=1,COUNTIFS(Companies!$A$6:$A$55,A205,Companies!$R$6:$R$55,1)=1,ISNUMBER(C205),C205&gt;=0,C205&lt;=1,ISNUMBER(D205),D205&gt;=0,ISNUMBER(I205),ABS(D205-C205*I205)&lt;=0.00000001*MAX(1,I205),ISNUMBER(E205),E205=INDEX(ETFs!$H$6:$H$25,MATCH(B205,ETFs!$A$6:$A$25,0)),G205="Yes",F205&lt;&gt;""),1,0)))</f>
        <v/>
      </c>
      <c r="L205" s="60" t="str">
        <f t="shared" si="2"/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:L205">
    <cfRule type="expression" dxfId="0" priority="1">
      <formula>AND($A6&lt;&gt;"",$B6&lt;&gt;"",$L6&lt;&gt;"Ready")</formula>
    </cfRule>
  </conditionalFormatting>
  <dataValidations>
    <dataValidation type="list" allowBlank="1" sqref="G6:G20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0.0"/>
    <col customWidth="1" min="2" max="2" width="63.0"/>
    <col customWidth="1" min="3" max="3" width="24.0"/>
    <col customWidth="1" min="4" max="4" width="51.0"/>
    <col customWidth="1" min="5" max="5" width="72.0"/>
    <col customWidth="1" min="6" max="6" width="40.0"/>
    <col customWidth="1" min="7" max="26" width="8.63"/>
  </cols>
  <sheetData>
    <row r="1">
      <c r="A1" s="1"/>
      <c r="B1" s="1"/>
      <c r="C1" s="1"/>
      <c r="D1" s="1"/>
      <c r="E1" s="1"/>
      <c r="F1" s="1"/>
    </row>
    <row r="2">
      <c r="A2" s="3" t="s">
        <v>369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8.0" customHeight="1">
      <c r="A5" s="51" t="s">
        <v>370</v>
      </c>
      <c r="B5" s="51" t="s">
        <v>371</v>
      </c>
      <c r="C5" s="51" t="s">
        <v>372</v>
      </c>
      <c r="D5" s="51" t="s">
        <v>373</v>
      </c>
      <c r="E5" s="51" t="s">
        <v>374</v>
      </c>
      <c r="F5" s="51" t="s">
        <v>375</v>
      </c>
    </row>
    <row r="6" ht="67.5" customHeight="1">
      <c r="A6" s="63" t="s">
        <v>376</v>
      </c>
      <c r="B6" s="63" t="s">
        <v>377</v>
      </c>
      <c r="C6" s="63" t="s">
        <v>378</v>
      </c>
      <c r="D6" s="63" t="s">
        <v>379</v>
      </c>
      <c r="E6" s="63" t="s">
        <v>380</v>
      </c>
      <c r="F6" s="63" t="s">
        <v>381</v>
      </c>
    </row>
    <row r="7" ht="67.5" customHeight="1">
      <c r="A7" s="63" t="s">
        <v>382</v>
      </c>
      <c r="B7" s="63" t="s">
        <v>383</v>
      </c>
      <c r="C7" s="63" t="s">
        <v>378</v>
      </c>
      <c r="D7" s="63" t="s">
        <v>384</v>
      </c>
      <c r="E7" s="63" t="s">
        <v>385</v>
      </c>
      <c r="F7" s="63" t="s">
        <v>386</v>
      </c>
    </row>
    <row r="8" ht="67.5" customHeight="1">
      <c r="A8" s="63" t="s">
        <v>145</v>
      </c>
      <c r="B8" s="63" t="s">
        <v>387</v>
      </c>
      <c r="C8" s="63" t="s">
        <v>378</v>
      </c>
      <c r="D8" s="63" t="s">
        <v>388</v>
      </c>
      <c r="E8" s="63" t="s">
        <v>389</v>
      </c>
      <c r="F8" s="63" t="s">
        <v>390</v>
      </c>
    </row>
    <row r="9" ht="67.5" customHeight="1">
      <c r="A9" s="63" t="s">
        <v>147</v>
      </c>
      <c r="B9" s="63" t="s">
        <v>391</v>
      </c>
      <c r="C9" s="63" t="s">
        <v>378</v>
      </c>
      <c r="D9" s="63" t="s">
        <v>392</v>
      </c>
      <c r="E9" s="63" t="s">
        <v>393</v>
      </c>
      <c r="F9" s="63" t="s">
        <v>394</v>
      </c>
    </row>
    <row r="10" ht="67.5" customHeight="1">
      <c r="A10" s="63" t="s">
        <v>149</v>
      </c>
      <c r="B10" s="63" t="s">
        <v>395</v>
      </c>
      <c r="C10" s="63" t="s">
        <v>378</v>
      </c>
      <c r="D10" s="63" t="s">
        <v>396</v>
      </c>
      <c r="E10" s="63" t="s">
        <v>397</v>
      </c>
      <c r="F10" s="63" t="s">
        <v>398</v>
      </c>
    </row>
    <row r="11" ht="67.5" customHeight="1">
      <c r="A11" s="64" t="s">
        <v>399</v>
      </c>
      <c r="B11" s="64" t="s">
        <v>400</v>
      </c>
      <c r="C11" s="64" t="s">
        <v>401</v>
      </c>
      <c r="D11" s="64" t="s">
        <v>402</v>
      </c>
      <c r="E11" s="64" t="s">
        <v>403</v>
      </c>
      <c r="F11" s="64" t="s">
        <v>404</v>
      </c>
    </row>
    <row r="12" ht="67.5" customHeight="1">
      <c r="A12" s="63" t="s">
        <v>405</v>
      </c>
      <c r="B12" s="63" t="s">
        <v>406</v>
      </c>
      <c r="C12" s="63" t="s">
        <v>407</v>
      </c>
      <c r="D12" s="63" t="s">
        <v>408</v>
      </c>
      <c r="E12" s="63" t="s">
        <v>409</v>
      </c>
      <c r="F12" s="63" t="s">
        <v>410</v>
      </c>
    </row>
    <row r="13" ht="67.5" customHeight="1">
      <c r="A13" s="64" t="s">
        <v>411</v>
      </c>
      <c r="B13" s="64" t="s">
        <v>412</v>
      </c>
      <c r="C13" s="64" t="s">
        <v>378</v>
      </c>
      <c r="D13" s="64" t="s">
        <v>413</v>
      </c>
      <c r="E13" s="64" t="s">
        <v>414</v>
      </c>
      <c r="F13" s="64" t="s">
        <v>415</v>
      </c>
    </row>
    <row r="14" ht="67.5" customHeight="1">
      <c r="A14" s="64" t="s">
        <v>416</v>
      </c>
      <c r="B14" s="64" t="s">
        <v>417</v>
      </c>
      <c r="C14" s="64" t="s">
        <v>378</v>
      </c>
      <c r="D14" s="64" t="s">
        <v>418</v>
      </c>
      <c r="E14" s="64" t="s">
        <v>419</v>
      </c>
      <c r="F14" s="64" t="s">
        <v>420</v>
      </c>
    </row>
    <row r="15" ht="67.5" customHeight="1">
      <c r="A15" s="63" t="s">
        <v>421</v>
      </c>
      <c r="B15" s="63" t="s">
        <v>422</v>
      </c>
      <c r="C15" s="63" t="s">
        <v>407</v>
      </c>
      <c r="D15" s="63" t="s">
        <v>423</v>
      </c>
      <c r="E15" s="63" t="s">
        <v>424</v>
      </c>
      <c r="F15" s="63" t="s">
        <v>425</v>
      </c>
    </row>
    <row r="16" ht="67.5" customHeight="1">
      <c r="A16" s="63" t="s">
        <v>426</v>
      </c>
      <c r="B16" s="63" t="s">
        <v>427</v>
      </c>
      <c r="C16" s="63" t="s">
        <v>428</v>
      </c>
      <c r="D16" s="63" t="s">
        <v>429</v>
      </c>
      <c r="E16" s="63" t="s">
        <v>430</v>
      </c>
      <c r="F16" s="63" t="s">
        <v>431</v>
      </c>
    </row>
    <row r="17" ht="67.5" customHeight="1">
      <c r="A17" s="63" t="s">
        <v>432</v>
      </c>
      <c r="B17" s="63" t="s">
        <v>433</v>
      </c>
      <c r="C17" s="63" t="s">
        <v>434</v>
      </c>
      <c r="D17" s="63" t="s">
        <v>435</v>
      </c>
      <c r="E17" s="63" t="s">
        <v>436</v>
      </c>
      <c r="F17" s="63" t="s">
        <v>437</v>
      </c>
    </row>
    <row r="18" ht="67.5" customHeight="1">
      <c r="A18" s="64" t="s">
        <v>438</v>
      </c>
      <c r="B18" s="64" t="s">
        <v>439</v>
      </c>
      <c r="C18" s="64" t="s">
        <v>401</v>
      </c>
      <c r="D18" s="64" t="s">
        <v>440</v>
      </c>
      <c r="E18" s="64" t="s">
        <v>441</v>
      </c>
      <c r="F18" s="64" t="s">
        <v>442</v>
      </c>
    </row>
    <row r="19" ht="67.5" customHeight="1">
      <c r="A19" s="63" t="s">
        <v>443</v>
      </c>
      <c r="B19" s="63" t="s">
        <v>444</v>
      </c>
      <c r="C19" s="63" t="s">
        <v>445</v>
      </c>
      <c r="D19" s="63" t="s">
        <v>446</v>
      </c>
      <c r="E19" s="63" t="s">
        <v>447</v>
      </c>
      <c r="F19" s="63" t="s">
        <v>72</v>
      </c>
    </row>
    <row r="20" ht="67.5" customHeight="1">
      <c r="A20" s="64" t="s">
        <v>448</v>
      </c>
      <c r="B20" s="64" t="s">
        <v>449</v>
      </c>
      <c r="C20" s="64" t="s">
        <v>450</v>
      </c>
      <c r="D20" s="64" t="s">
        <v>451</v>
      </c>
      <c r="E20" s="64" t="s">
        <v>452</v>
      </c>
      <c r="F20" s="64" t="s">
        <v>453</v>
      </c>
    </row>
    <row r="21" ht="67.5" customHeight="1">
      <c r="A21" s="64" t="s">
        <v>454</v>
      </c>
      <c r="B21" s="64" t="s">
        <v>455</v>
      </c>
      <c r="C21" s="64" t="s">
        <v>456</v>
      </c>
      <c r="D21" s="64" t="s">
        <v>457</v>
      </c>
      <c r="E21" s="64" t="s">
        <v>458</v>
      </c>
      <c r="F21" s="64" t="s">
        <v>459</v>
      </c>
    </row>
    <row r="22" ht="67.5" customHeight="1">
      <c r="A22" s="63" t="s">
        <v>460</v>
      </c>
      <c r="B22" s="63" t="s">
        <v>461</v>
      </c>
      <c r="C22" s="63" t="s">
        <v>462</v>
      </c>
      <c r="D22" s="63" t="s">
        <v>463</v>
      </c>
      <c r="E22" s="63" t="s">
        <v>464</v>
      </c>
      <c r="F22" s="63" t="s">
        <v>465</v>
      </c>
    </row>
    <row r="23" ht="67.5" customHeight="1">
      <c r="A23" s="63" t="s">
        <v>72</v>
      </c>
      <c r="B23" s="63" t="s">
        <v>466</v>
      </c>
      <c r="C23" s="63" t="s">
        <v>462</v>
      </c>
      <c r="D23" s="63" t="s">
        <v>467</v>
      </c>
      <c r="E23" s="63" t="s">
        <v>468</v>
      </c>
      <c r="F23" s="63" t="s">
        <v>465</v>
      </c>
    </row>
    <row r="24" ht="67.5" customHeight="1">
      <c r="A24" s="64" t="s">
        <v>469</v>
      </c>
      <c r="B24" s="64" t="s">
        <v>470</v>
      </c>
      <c r="C24" s="64" t="s">
        <v>471</v>
      </c>
      <c r="D24" s="64" t="s">
        <v>472</v>
      </c>
      <c r="E24" s="64" t="s">
        <v>473</v>
      </c>
      <c r="F24" s="64" t="s">
        <v>474</v>
      </c>
    </row>
    <row r="25" ht="15.75" customHeight="1"/>
    <row r="26" ht="15.75" customHeight="1"/>
    <row r="27" ht="15.75" customHeight="1">
      <c r="A27" s="17" t="s">
        <v>475</v>
      </c>
    </row>
    <row r="28" ht="54.75" customHeight="1">
      <c r="A28" s="21" t="s">
        <v>476</v>
      </c>
      <c r="B28" s="21" t="s">
        <v>477</v>
      </c>
      <c r="C28" s="21" t="s">
        <v>478</v>
      </c>
      <c r="D28" s="30" t="s">
        <v>479</v>
      </c>
      <c r="E28" s="30" t="s">
        <v>480</v>
      </c>
      <c r="F28" s="30" t="s">
        <v>481</v>
      </c>
    </row>
    <row r="29" ht="54.75" customHeight="1">
      <c r="A29" s="21" t="s">
        <v>482</v>
      </c>
      <c r="B29" s="21" t="s">
        <v>483</v>
      </c>
      <c r="C29" s="21" t="s">
        <v>478</v>
      </c>
      <c r="D29" s="21" t="s">
        <v>484</v>
      </c>
      <c r="E29" s="21" t="s">
        <v>485</v>
      </c>
      <c r="F29" s="21"/>
    </row>
    <row r="30" ht="54.75" customHeight="1">
      <c r="A30" s="21" t="s">
        <v>486</v>
      </c>
      <c r="B30" s="21" t="s">
        <v>487</v>
      </c>
      <c r="C30" s="21" t="s">
        <v>488</v>
      </c>
      <c r="D30" s="21" t="s">
        <v>489</v>
      </c>
      <c r="E30" s="21" t="s">
        <v>490</v>
      </c>
      <c r="F30" s="21"/>
    </row>
    <row r="31" ht="15.75" customHeight="1"/>
    <row r="32" ht="15.75" customHeight="1"/>
    <row r="33" ht="54.0" customHeight="1">
      <c r="A33" s="14" t="s">
        <v>491</v>
      </c>
      <c r="B33" s="14" t="s">
        <v>492</v>
      </c>
      <c r="C33" s="14" t="s">
        <v>401</v>
      </c>
      <c r="D33" s="14" t="s">
        <v>493</v>
      </c>
      <c r="E33" s="14" t="s">
        <v>494</v>
      </c>
      <c r="F33" s="14" t="s">
        <v>495</v>
      </c>
    </row>
    <row r="34" ht="54.0" customHeight="1">
      <c r="A34" s="14" t="s">
        <v>45</v>
      </c>
      <c r="B34" s="14" t="s">
        <v>496</v>
      </c>
      <c r="C34" s="14" t="s">
        <v>378</v>
      </c>
      <c r="D34" s="14" t="s">
        <v>497</v>
      </c>
      <c r="E34" s="14" t="s">
        <v>498</v>
      </c>
      <c r="F34" s="14" t="s">
        <v>499</v>
      </c>
    </row>
    <row r="35" ht="54.0" customHeight="1">
      <c r="A35" s="14" t="s">
        <v>500</v>
      </c>
      <c r="B35" s="14" t="s">
        <v>501</v>
      </c>
      <c r="C35" s="14" t="s">
        <v>378</v>
      </c>
      <c r="D35" s="14" t="s">
        <v>502</v>
      </c>
      <c r="E35" s="14" t="s">
        <v>503</v>
      </c>
      <c r="F35" s="14" t="s">
        <v>504</v>
      </c>
    </row>
    <row r="36" ht="54.0" customHeight="1">
      <c r="A36" s="14" t="s">
        <v>80</v>
      </c>
      <c r="B36" s="14" t="s">
        <v>505</v>
      </c>
      <c r="C36" s="14" t="s">
        <v>378</v>
      </c>
      <c r="D36" s="14" t="s">
        <v>506</v>
      </c>
      <c r="E36" s="14" t="s">
        <v>507</v>
      </c>
      <c r="F36" s="14" t="s">
        <v>508</v>
      </c>
    </row>
    <row r="37" ht="54.0" customHeight="1">
      <c r="A37" s="14" t="s">
        <v>509</v>
      </c>
      <c r="B37" s="14" t="s">
        <v>510</v>
      </c>
      <c r="C37" s="14" t="s">
        <v>378</v>
      </c>
      <c r="D37" s="14" t="s">
        <v>511</v>
      </c>
      <c r="E37" s="14" t="s">
        <v>512</v>
      </c>
      <c r="F37" s="14" t="s">
        <v>513</v>
      </c>
    </row>
    <row r="38" ht="54.0" customHeight="1">
      <c r="A38" s="14" t="s">
        <v>135</v>
      </c>
      <c r="B38" s="14" t="s">
        <v>514</v>
      </c>
      <c r="C38" s="14" t="s">
        <v>378</v>
      </c>
      <c r="D38" s="14" t="s">
        <v>515</v>
      </c>
      <c r="E38" s="14" t="s">
        <v>516</v>
      </c>
      <c r="F38" s="14" t="s">
        <v>513</v>
      </c>
    </row>
    <row r="39" ht="54.0" customHeight="1">
      <c r="A39" s="14" t="s">
        <v>517</v>
      </c>
      <c r="B39" s="14" t="s">
        <v>518</v>
      </c>
      <c r="C39" s="14" t="s">
        <v>378</v>
      </c>
      <c r="D39" s="14" t="s">
        <v>519</v>
      </c>
      <c r="E39" s="14" t="s">
        <v>520</v>
      </c>
      <c r="F39" s="14" t="s">
        <v>521</v>
      </c>
    </row>
    <row r="40" ht="54.0" customHeight="1">
      <c r="A40" s="14" t="s">
        <v>522</v>
      </c>
      <c r="B40" s="14" t="s">
        <v>523</v>
      </c>
      <c r="C40" s="14" t="s">
        <v>407</v>
      </c>
      <c r="D40" s="14" t="s">
        <v>524</v>
      </c>
      <c r="E40" s="14" t="s">
        <v>525</v>
      </c>
      <c r="F40" s="14" t="s">
        <v>526</v>
      </c>
    </row>
    <row r="41" ht="54.0" customHeight="1">
      <c r="A41" s="14" t="s">
        <v>527</v>
      </c>
      <c r="B41" s="14" t="s">
        <v>528</v>
      </c>
      <c r="C41" s="14" t="s">
        <v>378</v>
      </c>
      <c r="D41" s="14" t="s">
        <v>529</v>
      </c>
      <c r="E41" s="14" t="s">
        <v>530</v>
      </c>
      <c r="F41" s="14" t="s">
        <v>531</v>
      </c>
    </row>
    <row r="42" ht="54.0" customHeight="1">
      <c r="A42" s="14" t="s">
        <v>532</v>
      </c>
      <c r="B42" s="14" t="s">
        <v>533</v>
      </c>
      <c r="C42" s="14" t="s">
        <v>534</v>
      </c>
      <c r="D42" s="14" t="s">
        <v>535</v>
      </c>
      <c r="E42" s="14" t="s">
        <v>536</v>
      </c>
      <c r="F42" s="14" t="s">
        <v>537</v>
      </c>
    </row>
    <row r="43" ht="54.0" customHeight="1">
      <c r="A43" s="14" t="s">
        <v>538</v>
      </c>
      <c r="B43" s="14" t="s">
        <v>539</v>
      </c>
      <c r="C43" s="14" t="s">
        <v>434</v>
      </c>
      <c r="D43" s="14" t="s">
        <v>540</v>
      </c>
      <c r="E43" s="14" t="s">
        <v>541</v>
      </c>
      <c r="F43" s="14" t="s">
        <v>72</v>
      </c>
    </row>
    <row r="44" ht="54.0" customHeight="1">
      <c r="A44" s="14" t="s">
        <v>542</v>
      </c>
      <c r="B44" s="14" t="s">
        <v>543</v>
      </c>
      <c r="C44" s="14" t="s">
        <v>478</v>
      </c>
      <c r="D44" s="14" t="s">
        <v>544</v>
      </c>
      <c r="E44" s="14" t="s">
        <v>545</v>
      </c>
      <c r="F44" s="14" t="s">
        <v>546</v>
      </c>
    </row>
    <row r="45" ht="15.75" customHeight="1"/>
    <row r="46" ht="15.75" customHeight="1"/>
    <row r="47" ht="61.5" customHeight="1">
      <c r="A47" s="14" t="s">
        <v>547</v>
      </c>
      <c r="B47" s="14" t="s">
        <v>548</v>
      </c>
      <c r="C47" s="14" t="s">
        <v>401</v>
      </c>
      <c r="D47" s="14" t="s">
        <v>549</v>
      </c>
      <c r="E47" s="14" t="s">
        <v>550</v>
      </c>
      <c r="F47" s="14" t="s">
        <v>551</v>
      </c>
    </row>
    <row r="48" ht="61.5" customHeight="1">
      <c r="A48" s="14" t="s">
        <v>552</v>
      </c>
      <c r="B48" s="14" t="s">
        <v>553</v>
      </c>
      <c r="C48" s="14" t="s">
        <v>378</v>
      </c>
      <c r="D48" s="14" t="s">
        <v>554</v>
      </c>
      <c r="E48" s="14" t="s">
        <v>555</v>
      </c>
      <c r="F48" s="14" t="s">
        <v>556</v>
      </c>
    </row>
    <row r="49" ht="61.5" customHeight="1">
      <c r="A49" s="14" t="s">
        <v>557</v>
      </c>
      <c r="B49" s="14" t="s">
        <v>558</v>
      </c>
      <c r="C49" s="14" t="s">
        <v>428</v>
      </c>
      <c r="D49" s="14" t="s">
        <v>559</v>
      </c>
      <c r="E49" s="14" t="s">
        <v>560</v>
      </c>
      <c r="F49" s="14" t="s">
        <v>561</v>
      </c>
    </row>
    <row r="50" ht="61.5" customHeight="1">
      <c r="A50" s="14" t="s">
        <v>562</v>
      </c>
      <c r="B50" s="14" t="s">
        <v>563</v>
      </c>
      <c r="C50" s="14" t="s">
        <v>378</v>
      </c>
      <c r="D50" s="14" t="s">
        <v>564</v>
      </c>
      <c r="E50" s="14" t="s">
        <v>565</v>
      </c>
      <c r="F50" s="14" t="s">
        <v>566</v>
      </c>
    </row>
    <row r="51" ht="61.5" customHeight="1">
      <c r="A51" s="14" t="s">
        <v>567</v>
      </c>
      <c r="B51" s="14" t="s">
        <v>568</v>
      </c>
      <c r="C51" s="14" t="s">
        <v>378</v>
      </c>
      <c r="D51" s="14" t="s">
        <v>569</v>
      </c>
      <c r="E51" s="14" t="s">
        <v>570</v>
      </c>
      <c r="F51" s="14" t="s">
        <v>571</v>
      </c>
    </row>
    <row r="52" ht="61.5" customHeight="1">
      <c r="A52" s="14" t="s">
        <v>572</v>
      </c>
      <c r="B52" s="14" t="s">
        <v>573</v>
      </c>
      <c r="C52" s="14" t="s">
        <v>378</v>
      </c>
      <c r="D52" s="14" t="s">
        <v>574</v>
      </c>
      <c r="E52" s="14" t="s">
        <v>575</v>
      </c>
      <c r="F52" s="14" t="s">
        <v>576</v>
      </c>
    </row>
    <row r="53" ht="61.5" customHeight="1">
      <c r="A53" s="14" t="s">
        <v>577</v>
      </c>
      <c r="B53" s="14" t="s">
        <v>578</v>
      </c>
      <c r="C53" s="14" t="s">
        <v>401</v>
      </c>
      <c r="D53" s="14" t="s">
        <v>579</v>
      </c>
      <c r="E53" s="14" t="s">
        <v>580</v>
      </c>
      <c r="F53" s="14" t="s">
        <v>581</v>
      </c>
    </row>
    <row r="54" ht="61.5" customHeight="1">
      <c r="A54" s="14" t="s">
        <v>582</v>
      </c>
      <c r="B54" s="14" t="s">
        <v>583</v>
      </c>
      <c r="C54" s="14" t="s">
        <v>434</v>
      </c>
      <c r="D54" s="14" t="s">
        <v>584</v>
      </c>
      <c r="E54" s="14" t="s">
        <v>585</v>
      </c>
      <c r="F54" s="14" t="s">
        <v>586</v>
      </c>
    </row>
    <row r="55" ht="61.5" customHeight="1">
      <c r="A55" s="14" t="s">
        <v>587</v>
      </c>
      <c r="B55" s="65" t="s">
        <v>588</v>
      </c>
      <c r="C55" s="14" t="s">
        <v>589</v>
      </c>
      <c r="D55" s="14" t="s">
        <v>590</v>
      </c>
      <c r="E55" s="14" t="s">
        <v>591</v>
      </c>
      <c r="F55" s="14" t="s">
        <v>546</v>
      </c>
    </row>
    <row r="56" ht="61.5" customHeight="1">
      <c r="A56" s="14" t="s">
        <v>592</v>
      </c>
      <c r="B56" s="14" t="s">
        <v>593</v>
      </c>
      <c r="C56" s="14" t="s">
        <v>594</v>
      </c>
      <c r="D56" s="14" t="s">
        <v>595</v>
      </c>
      <c r="E56" s="14" t="s">
        <v>596</v>
      </c>
      <c r="F56" s="14" t="s">
        <v>597</v>
      </c>
    </row>
    <row r="57" ht="15.75" customHeight="1"/>
    <row r="58" ht="15.75" customHeight="1"/>
    <row r="59" ht="15.75" customHeight="1">
      <c r="A59" s="27" t="s">
        <v>598</v>
      </c>
      <c r="B59" s="27" t="s">
        <v>599</v>
      </c>
      <c r="C59" s="27" t="s">
        <v>600</v>
      </c>
      <c r="D59" s="27" t="s">
        <v>601</v>
      </c>
      <c r="E59" s="27" t="s">
        <v>602</v>
      </c>
      <c r="F59" s="27" t="s">
        <v>603</v>
      </c>
    </row>
    <row r="60" ht="15.75" customHeight="1">
      <c r="A60" s="27" t="s">
        <v>604</v>
      </c>
      <c r="B60" s="27" t="s">
        <v>605</v>
      </c>
      <c r="C60" s="27" t="s">
        <v>606</v>
      </c>
      <c r="D60" s="27" t="s">
        <v>607</v>
      </c>
      <c r="E60" s="27" t="s">
        <v>608</v>
      </c>
      <c r="F60" s="27" t="s">
        <v>609</v>
      </c>
    </row>
    <row r="61" ht="15.75" customHeight="1">
      <c r="A61" s="27" t="s">
        <v>610</v>
      </c>
      <c r="B61" s="27" t="s">
        <v>611</v>
      </c>
      <c r="C61" s="27" t="s">
        <v>378</v>
      </c>
      <c r="D61" s="27" t="s">
        <v>612</v>
      </c>
      <c r="E61" s="27" t="s">
        <v>613</v>
      </c>
      <c r="F61" s="27" t="s">
        <v>614</v>
      </c>
    </row>
    <row r="62" ht="15.75" customHeight="1">
      <c r="A62" s="27" t="s">
        <v>615</v>
      </c>
      <c r="B62" s="27" t="s">
        <v>616</v>
      </c>
      <c r="C62" s="27" t="s">
        <v>378</v>
      </c>
      <c r="D62" s="27" t="s">
        <v>617</v>
      </c>
      <c r="E62" s="27" t="s">
        <v>618</v>
      </c>
      <c r="F62" s="27" t="s">
        <v>619</v>
      </c>
    </row>
    <row r="63" ht="15.75" customHeight="1">
      <c r="A63" s="27" t="s">
        <v>620</v>
      </c>
      <c r="B63" s="27" t="s">
        <v>621</v>
      </c>
      <c r="C63" s="27" t="s">
        <v>622</v>
      </c>
      <c r="D63" s="27" t="s">
        <v>623</v>
      </c>
      <c r="E63" s="27" t="s">
        <v>624</v>
      </c>
      <c r="F63" s="27" t="s">
        <v>625</v>
      </c>
    </row>
    <row r="64" ht="15.75" customHeight="1">
      <c r="A64" s="27" t="s">
        <v>626</v>
      </c>
      <c r="B64" s="27" t="s">
        <v>627</v>
      </c>
      <c r="C64" s="27" t="s">
        <v>622</v>
      </c>
      <c r="D64" s="27" t="s">
        <v>628</v>
      </c>
      <c r="E64" s="27" t="s">
        <v>629</v>
      </c>
      <c r="F64" s="27" t="s">
        <v>630</v>
      </c>
    </row>
    <row r="65" ht="15.75" customHeight="1">
      <c r="A65" s="27" t="s">
        <v>631</v>
      </c>
      <c r="B65" s="27" t="s">
        <v>632</v>
      </c>
      <c r="C65" s="27" t="s">
        <v>622</v>
      </c>
      <c r="D65" s="27" t="s">
        <v>633</v>
      </c>
      <c r="E65" s="27" t="s">
        <v>634</v>
      </c>
      <c r="F65" s="27" t="s">
        <v>635</v>
      </c>
    </row>
    <row r="66" ht="15.75" customHeight="1">
      <c r="A66" s="27" t="s">
        <v>636</v>
      </c>
      <c r="B66" s="27" t="s">
        <v>637</v>
      </c>
      <c r="C66" s="27" t="s">
        <v>622</v>
      </c>
      <c r="D66" s="27" t="s">
        <v>638</v>
      </c>
      <c r="E66" s="27" t="s">
        <v>639</v>
      </c>
      <c r="F66" s="27" t="s">
        <v>640</v>
      </c>
    </row>
    <row r="67" ht="15.75" customHeight="1">
      <c r="A67" s="27" t="s">
        <v>641</v>
      </c>
      <c r="B67" s="27" t="s">
        <v>642</v>
      </c>
      <c r="C67" s="27" t="s">
        <v>378</v>
      </c>
      <c r="D67" s="27" t="s">
        <v>643</v>
      </c>
      <c r="E67" s="27" t="s">
        <v>644</v>
      </c>
      <c r="F67" s="27" t="s">
        <v>645</v>
      </c>
    </row>
    <row r="68" ht="15.75" customHeight="1">
      <c r="A68" s="27" t="s">
        <v>646</v>
      </c>
      <c r="B68" s="27" t="s">
        <v>647</v>
      </c>
      <c r="C68" s="27" t="s">
        <v>407</v>
      </c>
      <c r="D68" s="27" t="s">
        <v>648</v>
      </c>
      <c r="E68" s="27" t="s">
        <v>649</v>
      </c>
      <c r="F68" s="27" t="s">
        <v>650</v>
      </c>
    </row>
    <row r="69" ht="15.75" customHeight="1">
      <c r="A69" s="27" t="s">
        <v>213</v>
      </c>
      <c r="B69" s="27" t="s">
        <v>651</v>
      </c>
      <c r="C69" s="27" t="s">
        <v>652</v>
      </c>
      <c r="D69" s="27" t="s">
        <v>653</v>
      </c>
      <c r="E69" s="27" t="s">
        <v>654</v>
      </c>
      <c r="F69" s="27" t="s">
        <v>655</v>
      </c>
    </row>
    <row r="70" ht="15.75" customHeight="1"/>
    <row r="71" ht="15.75" customHeight="1"/>
    <row r="72" ht="15.75" customHeight="1"/>
    <row r="73" ht="15.75" customHeight="1">
      <c r="A73" s="27" t="s">
        <v>656</v>
      </c>
      <c r="B73" s="66" t="s">
        <v>657</v>
      </c>
      <c r="C73" s="27" t="s">
        <v>658</v>
      </c>
      <c r="D73" s="27" t="s">
        <v>659</v>
      </c>
      <c r="E73" s="27" t="s">
        <v>660</v>
      </c>
      <c r="F73" s="27" t="s">
        <v>546</v>
      </c>
    </row>
    <row r="74" ht="15.75" customHeight="1">
      <c r="A74" s="27" t="s">
        <v>661</v>
      </c>
      <c r="B74" s="66" t="s">
        <v>662</v>
      </c>
      <c r="C74" s="27" t="s">
        <v>663</v>
      </c>
      <c r="D74" s="27" t="s">
        <v>664</v>
      </c>
      <c r="E74" s="27" t="s">
        <v>665</v>
      </c>
      <c r="F74" s="27" t="s">
        <v>546</v>
      </c>
    </row>
    <row r="75" ht="15.75" customHeight="1">
      <c r="A75" s="27" t="s">
        <v>666</v>
      </c>
      <c r="B75" s="66" t="s">
        <v>667</v>
      </c>
      <c r="C75" s="27" t="s">
        <v>668</v>
      </c>
      <c r="D75" s="27" t="s">
        <v>669</v>
      </c>
      <c r="E75" s="27" t="s">
        <v>670</v>
      </c>
      <c r="F75" s="27" t="s">
        <v>546</v>
      </c>
    </row>
    <row r="76" ht="15.75" customHeight="1">
      <c r="A76" s="27" t="s">
        <v>671</v>
      </c>
      <c r="B76" s="27" t="s">
        <v>672</v>
      </c>
      <c r="C76" s="27" t="s">
        <v>673</v>
      </c>
      <c r="D76" s="27" t="s">
        <v>674</v>
      </c>
      <c r="E76" s="27" t="s">
        <v>675</v>
      </c>
      <c r="F76" s="67" t="s">
        <v>676</v>
      </c>
    </row>
    <row r="77" ht="15.75" customHeight="1">
      <c r="A77" s="27" t="s">
        <v>677</v>
      </c>
      <c r="B77" s="27" t="s">
        <v>678</v>
      </c>
      <c r="C77" s="27" t="s">
        <v>679</v>
      </c>
      <c r="D77" s="27" t="s">
        <v>680</v>
      </c>
      <c r="E77" s="27" t="s">
        <v>681</v>
      </c>
      <c r="F77" s="27" t="s">
        <v>682</v>
      </c>
    </row>
    <row r="78" ht="15.75" customHeight="1">
      <c r="A78" s="27" t="s">
        <v>683</v>
      </c>
      <c r="B78" s="27" t="s">
        <v>684</v>
      </c>
      <c r="C78" s="27" t="s">
        <v>685</v>
      </c>
      <c r="D78" s="27" t="s">
        <v>686</v>
      </c>
      <c r="E78" s="27" t="s">
        <v>687</v>
      </c>
      <c r="F78" s="27" t="s">
        <v>682</v>
      </c>
    </row>
    <row r="79" ht="15.75" customHeight="1">
      <c r="A79" s="27" t="s">
        <v>688</v>
      </c>
      <c r="B79" s="27" t="s">
        <v>689</v>
      </c>
      <c r="C79" s="27" t="s">
        <v>407</v>
      </c>
      <c r="D79" s="27" t="s">
        <v>690</v>
      </c>
      <c r="E79" s="27" t="s">
        <v>691</v>
      </c>
      <c r="F79" s="27" t="s">
        <v>692</v>
      </c>
    </row>
    <row r="80" ht="15.75" customHeight="1">
      <c r="A80" s="27" t="s">
        <v>693</v>
      </c>
      <c r="B80" s="27" t="s">
        <v>694</v>
      </c>
      <c r="C80" s="27" t="s">
        <v>695</v>
      </c>
      <c r="D80" s="27" t="s">
        <v>696</v>
      </c>
      <c r="E80" s="27" t="s">
        <v>697</v>
      </c>
      <c r="F80" s="27" t="s">
        <v>698</v>
      </c>
    </row>
    <row r="81" ht="15.75" customHeight="1">
      <c r="A81" s="27" t="s">
        <v>699</v>
      </c>
      <c r="B81" s="27" t="s">
        <v>700</v>
      </c>
      <c r="C81" s="27" t="s">
        <v>701</v>
      </c>
      <c r="D81" s="27" t="s">
        <v>702</v>
      </c>
      <c r="E81" s="27" t="s">
        <v>703</v>
      </c>
      <c r="F81" s="27" t="s">
        <v>704</v>
      </c>
    </row>
    <row r="82" ht="15.75" customHeight="1">
      <c r="A82" s="27" t="s">
        <v>705</v>
      </c>
      <c r="B82" s="27" t="s">
        <v>706</v>
      </c>
      <c r="C82" s="27" t="s">
        <v>707</v>
      </c>
      <c r="D82" s="27" t="s">
        <v>708</v>
      </c>
      <c r="E82" s="27" t="s">
        <v>709</v>
      </c>
      <c r="F82" s="27" t="s">
        <v>710</v>
      </c>
    </row>
    <row r="83" ht="15.75" customHeight="1">
      <c r="A83" s="27" t="s">
        <v>711</v>
      </c>
      <c r="B83" s="27" t="s">
        <v>712</v>
      </c>
      <c r="C83" s="27" t="s">
        <v>713</v>
      </c>
      <c r="D83" s="27" t="s">
        <v>714</v>
      </c>
      <c r="E83" s="27" t="s">
        <v>715</v>
      </c>
      <c r="F83" s="27" t="s">
        <v>704</v>
      </c>
    </row>
    <row r="84" ht="15.75" customHeight="1">
      <c r="A84" s="27" t="s">
        <v>716</v>
      </c>
      <c r="B84" s="27" t="s">
        <v>717</v>
      </c>
      <c r="C84" s="27" t="s">
        <v>718</v>
      </c>
      <c r="D84" s="27" t="s">
        <v>719</v>
      </c>
      <c r="E84" s="27" t="s">
        <v>720</v>
      </c>
      <c r="F84" s="27" t="s">
        <v>721</v>
      </c>
    </row>
    <row r="85" ht="15.75" customHeight="1">
      <c r="A85" s="27" t="s">
        <v>722</v>
      </c>
      <c r="B85" s="27" t="s">
        <v>723</v>
      </c>
      <c r="C85" s="27" t="s">
        <v>724</v>
      </c>
      <c r="D85" s="27" t="s">
        <v>725</v>
      </c>
      <c r="E85" s="27" t="s">
        <v>726</v>
      </c>
      <c r="F85" s="27" t="s">
        <v>727</v>
      </c>
    </row>
    <row r="86" ht="15.75" customHeight="1">
      <c r="A86" s="27" t="s">
        <v>728</v>
      </c>
      <c r="B86" s="27" t="s">
        <v>729</v>
      </c>
      <c r="C86" s="27" t="s">
        <v>730</v>
      </c>
      <c r="D86" s="27" t="s">
        <v>731</v>
      </c>
      <c r="E86" s="27" t="s">
        <v>732</v>
      </c>
      <c r="F86" s="27" t="s">
        <v>733</v>
      </c>
    </row>
    <row r="87" ht="15.75" customHeight="1">
      <c r="A87" s="27" t="s">
        <v>734</v>
      </c>
      <c r="B87" s="27" t="s">
        <v>735</v>
      </c>
      <c r="C87" s="27" t="s">
        <v>736</v>
      </c>
      <c r="D87" s="27" t="s">
        <v>737</v>
      </c>
      <c r="E87" s="27" t="s">
        <v>738</v>
      </c>
      <c r="F87" s="27" t="s">
        <v>733</v>
      </c>
    </row>
    <row r="88" ht="15.75" customHeight="1">
      <c r="A88" s="27" t="s">
        <v>739</v>
      </c>
      <c r="B88" s="27" t="s">
        <v>740</v>
      </c>
      <c r="C88" s="27" t="s">
        <v>741</v>
      </c>
      <c r="D88" s="27" t="s">
        <v>742</v>
      </c>
      <c r="E88" s="27" t="s">
        <v>743</v>
      </c>
      <c r="F88" s="27" t="s">
        <v>733</v>
      </c>
    </row>
    <row r="89" ht="15.75" customHeight="1">
      <c r="A89" s="27" t="s">
        <v>744</v>
      </c>
      <c r="B89" s="27" t="s">
        <v>745</v>
      </c>
      <c r="C89" s="27" t="s">
        <v>746</v>
      </c>
      <c r="D89" s="27" t="s">
        <v>747</v>
      </c>
      <c r="E89" s="27" t="s">
        <v>748</v>
      </c>
      <c r="F89" s="27" t="s">
        <v>733</v>
      </c>
    </row>
    <row r="90" ht="15.75" customHeight="1">
      <c r="A90" s="27" t="s">
        <v>749</v>
      </c>
      <c r="B90" s="27" t="s">
        <v>750</v>
      </c>
      <c r="C90" s="27" t="s">
        <v>751</v>
      </c>
      <c r="D90" s="27" t="s">
        <v>752</v>
      </c>
      <c r="E90" s="27" t="s">
        <v>753</v>
      </c>
      <c r="F90" s="27" t="s">
        <v>754</v>
      </c>
    </row>
    <row r="91" ht="15.75" customHeight="1">
      <c r="A91" s="27" t="s">
        <v>755</v>
      </c>
      <c r="B91" s="27" t="s">
        <v>756</v>
      </c>
      <c r="C91" s="27" t="s">
        <v>757</v>
      </c>
      <c r="D91" s="27" t="s">
        <v>758</v>
      </c>
      <c r="E91" s="27" t="s">
        <v>759</v>
      </c>
      <c r="F91" s="27" t="s">
        <v>698</v>
      </c>
    </row>
    <row r="92" ht="15.75" customHeight="1">
      <c r="A92" s="27" t="s">
        <v>760</v>
      </c>
      <c r="B92" s="27" t="s">
        <v>761</v>
      </c>
      <c r="C92" s="27" t="s">
        <v>762</v>
      </c>
      <c r="D92" s="27" t="s">
        <v>763</v>
      </c>
      <c r="E92" s="27" t="s">
        <v>764</v>
      </c>
      <c r="F92" s="27" t="s">
        <v>765</v>
      </c>
    </row>
    <row r="93" ht="15.75" customHeight="1">
      <c r="A93" s="27" t="s">
        <v>766</v>
      </c>
      <c r="B93" s="27" t="s">
        <v>767</v>
      </c>
      <c r="C93" s="27" t="s">
        <v>768</v>
      </c>
      <c r="D93" s="27" t="s">
        <v>769</v>
      </c>
      <c r="E93" s="27" t="s">
        <v>770</v>
      </c>
      <c r="F93" s="27" t="s">
        <v>771</v>
      </c>
    </row>
    <row r="94" ht="15.75" customHeight="1">
      <c r="A94" s="27" t="s">
        <v>772</v>
      </c>
      <c r="B94" s="27" t="s">
        <v>773</v>
      </c>
      <c r="C94" s="27" t="s">
        <v>774</v>
      </c>
      <c r="D94" s="27" t="s">
        <v>775</v>
      </c>
      <c r="E94" s="27" t="s">
        <v>776</v>
      </c>
      <c r="F94" s="27" t="s">
        <v>733</v>
      </c>
    </row>
    <row r="95" ht="15.75" customHeight="1">
      <c r="A95" s="27" t="s">
        <v>777</v>
      </c>
      <c r="B95" s="66" t="s">
        <v>778</v>
      </c>
      <c r="C95" s="27" t="s">
        <v>779</v>
      </c>
      <c r="D95" s="27" t="s">
        <v>780</v>
      </c>
      <c r="E95" s="27" t="s">
        <v>781</v>
      </c>
      <c r="F95" s="27" t="s">
        <v>546</v>
      </c>
    </row>
    <row r="96" ht="15.75" customHeight="1">
      <c r="A96" s="27" t="s">
        <v>782</v>
      </c>
      <c r="B96" s="66" t="s">
        <v>783</v>
      </c>
      <c r="C96" s="27" t="s">
        <v>784</v>
      </c>
      <c r="D96" s="27" t="s">
        <v>785</v>
      </c>
      <c r="E96" s="27" t="s">
        <v>786</v>
      </c>
      <c r="F96" s="27" t="s">
        <v>546</v>
      </c>
    </row>
    <row r="97" ht="15.75" customHeight="1"/>
    <row r="98" ht="15.75" customHeight="1"/>
    <row r="99" ht="15.75" customHeight="1">
      <c r="A99" s="27" t="s">
        <v>787</v>
      </c>
      <c r="B99" s="27" t="s">
        <v>788</v>
      </c>
      <c r="C99" s="27" t="s">
        <v>789</v>
      </c>
      <c r="D99" s="27" t="s">
        <v>790</v>
      </c>
      <c r="E99" s="27" t="s">
        <v>791</v>
      </c>
      <c r="F99" s="27" t="s">
        <v>792</v>
      </c>
    </row>
    <row r="100" ht="15.75" customHeight="1">
      <c r="A100" s="27" t="s">
        <v>793</v>
      </c>
      <c r="B100" s="27" t="s">
        <v>794</v>
      </c>
      <c r="C100" s="27" t="s">
        <v>795</v>
      </c>
      <c r="D100" s="27" t="s">
        <v>796</v>
      </c>
      <c r="E100" s="27" t="s">
        <v>797</v>
      </c>
      <c r="F100" s="27" t="s">
        <v>798</v>
      </c>
    </row>
    <row r="101" ht="15.75" customHeight="1">
      <c r="A101" s="27" t="s">
        <v>799</v>
      </c>
      <c r="B101" s="27" t="s">
        <v>800</v>
      </c>
      <c r="C101" s="27" t="s">
        <v>801</v>
      </c>
      <c r="D101" s="68">
        <f>'Pilot scores'!I28</f>
        <v>0.55</v>
      </c>
      <c r="E101" s="68">
        <f>'Pilot scores'!I29</f>
        <v>0.725</v>
      </c>
      <c r="F101" s="68">
        <f>'Pilot scores'!I30</f>
        <v>0.675</v>
      </c>
    </row>
    <row r="102" ht="15.75" customHeight="1">
      <c r="A102" s="27" t="s">
        <v>802</v>
      </c>
      <c r="B102" s="27" t="s">
        <v>803</v>
      </c>
      <c r="C102" s="27" t="s">
        <v>804</v>
      </c>
      <c r="D102" s="68">
        <f>'Pilot scores'!M28</f>
        <v>4</v>
      </c>
      <c r="E102" s="68">
        <f>'Pilot scores'!M29</f>
        <v>5</v>
      </c>
      <c r="F102" s="68">
        <f>'Pilot scores'!M30</f>
        <v>3</v>
      </c>
    </row>
    <row r="103" ht="15.75" customHeight="1">
      <c r="A103" s="27" t="s">
        <v>805</v>
      </c>
      <c r="B103" s="27" t="s">
        <v>806</v>
      </c>
      <c r="C103" s="27" t="s">
        <v>807</v>
      </c>
      <c r="D103" s="27" t="s">
        <v>808</v>
      </c>
      <c r="E103" s="27" t="s">
        <v>809</v>
      </c>
      <c r="F103" s="27" t="s">
        <v>810</v>
      </c>
    </row>
    <row r="104" ht="15.75" customHeight="1">
      <c r="A104" s="27" t="s">
        <v>811</v>
      </c>
      <c r="B104" s="17">
        <f>COUNTIF('Test sources'!AN6:AN15,1)</f>
        <v>0</v>
      </c>
      <c r="C104" s="27" t="s">
        <v>812</v>
      </c>
      <c r="D104" s="27" t="s">
        <v>813</v>
      </c>
      <c r="E104" s="27" t="s">
        <v>814</v>
      </c>
      <c r="F104" s="27" t="s">
        <v>815</v>
      </c>
    </row>
    <row r="105" ht="15.75" customHeight="1">
      <c r="A105" s="27" t="s">
        <v>816</v>
      </c>
      <c r="B105" s="27" t="s">
        <v>817</v>
      </c>
      <c r="C105" s="27" t="s">
        <v>818</v>
      </c>
      <c r="D105" s="27" t="s">
        <v>819</v>
      </c>
      <c r="E105" s="27" t="s">
        <v>820</v>
      </c>
      <c r="F105" s="27" t="s">
        <v>821</v>
      </c>
    </row>
    <row r="106" ht="15.75" customHeight="1">
      <c r="A106" s="27" t="s">
        <v>822</v>
      </c>
      <c r="B106" s="27" t="s">
        <v>823</v>
      </c>
      <c r="C106" s="27" t="s">
        <v>824</v>
      </c>
      <c r="D106" s="27" t="s">
        <v>825</v>
      </c>
      <c r="E106" s="27" t="s">
        <v>826</v>
      </c>
      <c r="F106" s="27" t="s">
        <v>827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5"/>
    <hyperlink r:id="rId2" ref="B73"/>
    <hyperlink r:id="rId3" ref="B74"/>
    <hyperlink r:id="rId4" ref="B75"/>
    <hyperlink r:id="rId5" ref="B95"/>
    <hyperlink r:id="rId6" ref="B96"/>
  </hyperlinks>
  <printOptions/>
  <pageMargins bottom="0.75" footer="0.0" header="0.0" left="0.7" right="0.7" top="0.75"/>
  <pageSetup orientation="landscape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5.13"/>
    <col customWidth="1" min="2" max="2" width="30.75"/>
    <col customWidth="1" min="3" max="18" width="21.38"/>
    <col customWidth="1" min="19" max="21" width="41.38"/>
    <col customWidth="1" min="22" max="27" width="21.38"/>
    <col customWidth="1" min="28" max="28" width="35.75"/>
    <col customWidth="1" min="29" max="29" width="21.38"/>
  </cols>
  <sheetData>
    <row r="1" ht="18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8.75" customHeight="1">
      <c r="A2" s="6" t="s">
        <v>504</v>
      </c>
      <c r="B2" s="6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.75" customHeight="1">
      <c r="A3" s="2" t="s">
        <v>828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8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46.5" customHeight="1">
      <c r="A5" s="69" t="s">
        <v>139</v>
      </c>
      <c r="B5" s="69" t="s">
        <v>141</v>
      </c>
      <c r="C5" s="69" t="s">
        <v>829</v>
      </c>
      <c r="D5" s="69" t="s">
        <v>258</v>
      </c>
      <c r="E5" s="69" t="s">
        <v>830</v>
      </c>
      <c r="F5" s="69" t="s">
        <v>831</v>
      </c>
      <c r="G5" s="69" t="s">
        <v>832</v>
      </c>
      <c r="H5" s="69" t="s">
        <v>833</v>
      </c>
      <c r="I5" s="69" t="s">
        <v>834</v>
      </c>
      <c r="J5" s="69" t="s">
        <v>835</v>
      </c>
      <c r="K5" s="69" t="s">
        <v>836</v>
      </c>
      <c r="L5" s="69" t="s">
        <v>837</v>
      </c>
      <c r="M5" s="69" t="s">
        <v>838</v>
      </c>
      <c r="N5" s="69" t="s">
        <v>839</v>
      </c>
      <c r="O5" s="69" t="s">
        <v>840</v>
      </c>
      <c r="P5" s="69" t="s">
        <v>841</v>
      </c>
      <c r="Q5" s="69" t="s">
        <v>842</v>
      </c>
      <c r="R5" s="69" t="s">
        <v>196</v>
      </c>
      <c r="S5" s="69" t="s">
        <v>843</v>
      </c>
      <c r="T5" s="69" t="s">
        <v>844</v>
      </c>
      <c r="U5" s="69" t="s">
        <v>845</v>
      </c>
      <c r="V5" s="69" t="s">
        <v>846</v>
      </c>
      <c r="W5" s="69" t="s">
        <v>847</v>
      </c>
      <c r="X5" s="69" t="s">
        <v>241</v>
      </c>
      <c r="Y5" s="69" t="s">
        <v>848</v>
      </c>
      <c r="Z5" s="69" t="s">
        <v>849</v>
      </c>
      <c r="AA5" s="69" t="s">
        <v>850</v>
      </c>
      <c r="AB5" s="69" t="s">
        <v>290</v>
      </c>
      <c r="AC5" s="69" t="s">
        <v>851</v>
      </c>
    </row>
    <row r="6" ht="18.75" customHeight="1">
      <c r="A6" s="70"/>
      <c r="B6" s="70" t="str">
        <f t="array" ref="B6">IF(A6="","",IF(AC6&lt;&gt;1,"Unmatched issuer",INDEX(Companies!$C$6:$C$55,MATCH(A6,Companies!$A$6:$A$55,0))))</f>
        <v/>
      </c>
      <c r="C6" s="70" t="str">
        <f t="array" ref="C6">IF(A6="","",IF(AC6&lt;&gt;1,0,IF(AND(INDEX(Companies!$R$6:$R$55,MATCH(A6,Companies!$A$6:$A$55,0))=1,INDEX(Companies!$I$6:$I$55,MATCH(A6,Companies!$A$6:$A$55,0))&gt;=MAX(10,Rules!$B$22)),1,0)))</f>
        <v/>
      </c>
      <c r="D6" s="70" t="str">
        <f t="array" ref="D6">IF(A6="","",IF(AC6&lt;&gt;1,"n.a.",IF(ISNUMBER(INDEX(Companies!$I$6:$I$55,MATCH(A6,Companies!$A$6:$A$55,0))),INDEX(Companies!$I$6:$I$55,MATCH(A6,Companies!$A$6:$A$55,0)),"n.a.")))</f>
        <v/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  <c r="Q6" s="72"/>
      <c r="R6" s="72"/>
      <c r="S6" s="73"/>
      <c r="T6" s="73"/>
      <c r="U6" s="73"/>
      <c r="V6" s="74"/>
      <c r="W6" s="74"/>
      <c r="X6" s="70" t="str">
        <f t="shared" ref="X6:X55" si="1">IF(A6="","",COUNTIFS($A$6:$A$55,A6))</f>
        <v/>
      </c>
      <c r="Y6" s="70" t="str">
        <f t="array" ref="Y6">IF(A6="","",IF(AC6&lt;&gt;1,0,IF(AND(C6=1,X6=1,ISNUMBER(E6),E6&gt;0,ISNUMBER(P6),P6=Rules!$B$6,P6=INDEX(Companies!$J$6:$J$55,MATCH(A6,Companies!$A$6:$A$55,0)),ISNUMBER(Q6),Q6&lt;=Rules!$B$6,Rules!$B$6-Q6&lt;=Rules!$B$11,ISNUMBER(R6),ABS(R6-Valuation!$B$11)&lt;=31,S6&lt;&gt;"",T6&lt;&gt;"",U6&lt;&gt;"",V6="Yes",W6=Valuation!$B$10),1,0)))</f>
        <v/>
      </c>
      <c r="Z6" s="70" t="str">
        <f t="shared" ref="Z6:Z55" si="2">IF(A6="","",IF(OR(Y6&lt;&gt;1,COUNT(K6:O6)&lt;&gt;5,MIN(K6:O6)&lt;0),"n.a.",D6+K6+M6+N6-L6-O6))</f>
        <v/>
      </c>
      <c r="AA6" s="70" t="str">
        <f t="shared" ref="AA6:AA55" si="3">IF(A6="","",IF(AND(Y6=1,ISNUMBER(H6),ISNUMBER(I6),I6&gt;=0),H6-I6,"n.a."))</f>
        <v/>
      </c>
      <c r="AB6" s="70" t="str">
        <f t="shared" ref="AB6:AB55" si="4">IF(A6="","",IF(AC6&lt;&gt;1,"Unmatched/duplicate source issuer",IF(C6&lt;&gt;1,"Outside cap universe",IF(X6&lt;&gt;1,"Duplicate valuation issuer",IF(Y6&lt;&gt;1,"Check dates/sources/basis","Base inputs ready")))))</f>
        <v/>
      </c>
      <c r="AC6" s="70" t="str">
        <f>IF(A6="","",COUNTIFS(Companies!$A$6:$A$55,A6))</f>
        <v/>
      </c>
    </row>
    <row r="7" ht="18.75" customHeight="1">
      <c r="A7" s="70"/>
      <c r="B7" s="70" t="str">
        <f t="array" ref="B7">IF(A7="","",IF(AC7&lt;&gt;1,"Unmatched issuer",INDEX(Companies!$C$6:$C$55,MATCH(A7,Companies!$A$6:$A$55,0))))</f>
        <v/>
      </c>
      <c r="C7" s="70" t="str">
        <f t="array" ref="C7">IF(A7="","",IF(AC7&lt;&gt;1,0,IF(AND(INDEX(Companies!$R$6:$R$55,MATCH(A7,Companies!$A$6:$A$55,0))=1,INDEX(Companies!$I$6:$I$55,MATCH(A7,Companies!$A$6:$A$55,0))&gt;=MAX(10,Rules!$B$22)),1,0)))</f>
        <v/>
      </c>
      <c r="D7" s="70" t="str">
        <f t="array" ref="D7">IF(A7="","",IF(AC7&lt;&gt;1,"n.a.",IF(ISNUMBER(INDEX(Companies!$I$6:$I$55,MATCH(A7,Companies!$A$6:$A$55,0))),INDEX(Companies!$I$6:$I$55,MATCH(A7,Companies!$A$6:$A$55,0)),"n.a.")))</f>
        <v/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2"/>
      <c r="Q7" s="72"/>
      <c r="R7" s="72"/>
      <c r="S7" s="73"/>
      <c r="T7" s="73"/>
      <c r="U7" s="73"/>
      <c r="V7" s="74"/>
      <c r="W7" s="74"/>
      <c r="X7" s="70" t="str">
        <f t="shared" si="1"/>
        <v/>
      </c>
      <c r="Y7" s="70" t="str">
        <f t="array" ref="Y7">IF(A7="","",IF(AC7&lt;&gt;1,0,IF(AND(C7=1,X7=1,ISNUMBER(E7),E7&gt;0,ISNUMBER(P7),P7=Rules!$B$6,P7=INDEX(Companies!$J$6:$J$55,MATCH(A7,Companies!$A$6:$A$55,0)),ISNUMBER(Q7),Q7&lt;=Rules!$B$6,Rules!$B$6-Q7&lt;=Rules!$B$11,ISNUMBER(R7),ABS(R7-Valuation!$B$11)&lt;=31,S7&lt;&gt;"",T7&lt;&gt;"",U7&lt;&gt;"",V7="Yes",W7=Valuation!$B$10),1,0)))</f>
        <v/>
      </c>
      <c r="Z7" s="70" t="str">
        <f t="shared" si="2"/>
        <v/>
      </c>
      <c r="AA7" s="70" t="str">
        <f t="shared" si="3"/>
        <v/>
      </c>
      <c r="AB7" s="70" t="str">
        <f t="shared" si="4"/>
        <v/>
      </c>
      <c r="AC7" s="70" t="str">
        <f>IF(A7="","",COUNTIFS(Companies!$A$6:$A$55,A7))</f>
        <v/>
      </c>
    </row>
    <row r="8" ht="18.75" customHeight="1">
      <c r="A8" s="70"/>
      <c r="B8" s="70" t="str">
        <f t="array" ref="B8">IF(A8="","",IF(AC8&lt;&gt;1,"Unmatched issuer",INDEX(Companies!$C$6:$C$55,MATCH(A8,Companies!$A$6:$A$55,0))))</f>
        <v/>
      </c>
      <c r="C8" s="70" t="str">
        <f t="array" ref="C8">IF(A8="","",IF(AC8&lt;&gt;1,0,IF(AND(INDEX(Companies!$R$6:$R$55,MATCH(A8,Companies!$A$6:$A$55,0))=1,INDEX(Companies!$I$6:$I$55,MATCH(A8,Companies!$A$6:$A$55,0))&gt;=MAX(10,Rules!$B$22)),1,0)))</f>
        <v/>
      </c>
      <c r="D8" s="70" t="str">
        <f t="array" ref="D8">IF(A8="","",IF(AC8&lt;&gt;1,"n.a.",IF(ISNUMBER(INDEX(Companies!$I$6:$I$55,MATCH(A8,Companies!$A$6:$A$55,0))),INDEX(Companies!$I$6:$I$55,MATCH(A8,Companies!$A$6:$A$55,0)),"n.a.")))</f>
        <v/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2"/>
      <c r="R8" s="72"/>
      <c r="S8" s="73"/>
      <c r="T8" s="73"/>
      <c r="U8" s="73"/>
      <c r="V8" s="74"/>
      <c r="W8" s="74"/>
      <c r="X8" s="70" t="str">
        <f t="shared" si="1"/>
        <v/>
      </c>
      <c r="Y8" s="70" t="str">
        <f t="array" ref="Y8">IF(A8="","",IF(AC8&lt;&gt;1,0,IF(AND(C8=1,X8=1,ISNUMBER(E8),E8&gt;0,ISNUMBER(P8),P8=Rules!$B$6,P8=INDEX(Companies!$J$6:$J$55,MATCH(A8,Companies!$A$6:$A$55,0)),ISNUMBER(Q8),Q8&lt;=Rules!$B$6,Rules!$B$6-Q8&lt;=Rules!$B$11,ISNUMBER(R8),ABS(R8-Valuation!$B$11)&lt;=31,S8&lt;&gt;"",T8&lt;&gt;"",U8&lt;&gt;"",V8="Yes",W8=Valuation!$B$10),1,0)))</f>
        <v/>
      </c>
      <c r="Z8" s="70" t="str">
        <f t="shared" si="2"/>
        <v/>
      </c>
      <c r="AA8" s="70" t="str">
        <f t="shared" si="3"/>
        <v/>
      </c>
      <c r="AB8" s="70" t="str">
        <f t="shared" si="4"/>
        <v/>
      </c>
      <c r="AC8" s="70" t="str">
        <f>IF(A8="","",COUNTIFS(Companies!$A$6:$A$55,A8))</f>
        <v/>
      </c>
    </row>
    <row r="9" ht="18.75" customHeight="1">
      <c r="A9" s="70"/>
      <c r="B9" s="70" t="str">
        <f t="array" ref="B9">IF(A9="","",IF(AC9&lt;&gt;1,"Unmatched issuer",INDEX(Companies!$C$6:$C$55,MATCH(A9,Companies!$A$6:$A$55,0))))</f>
        <v/>
      </c>
      <c r="C9" s="70" t="str">
        <f t="array" ref="C9">IF(A9="","",IF(AC9&lt;&gt;1,0,IF(AND(INDEX(Companies!$R$6:$R$55,MATCH(A9,Companies!$A$6:$A$55,0))=1,INDEX(Companies!$I$6:$I$55,MATCH(A9,Companies!$A$6:$A$55,0))&gt;=MAX(10,Rules!$B$22)),1,0)))</f>
        <v/>
      </c>
      <c r="D9" s="70" t="str">
        <f t="array" ref="D9">IF(A9="","",IF(AC9&lt;&gt;1,"n.a.",IF(ISNUMBER(INDEX(Companies!$I$6:$I$55,MATCH(A9,Companies!$A$6:$A$55,0))),INDEX(Companies!$I$6:$I$55,MATCH(A9,Companies!$A$6:$A$55,0)),"n.a.")))</f>
        <v/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2"/>
      <c r="Q9" s="72"/>
      <c r="R9" s="72"/>
      <c r="S9" s="73"/>
      <c r="T9" s="73"/>
      <c r="U9" s="73"/>
      <c r="V9" s="74"/>
      <c r="W9" s="74"/>
      <c r="X9" s="70" t="str">
        <f t="shared" si="1"/>
        <v/>
      </c>
      <c r="Y9" s="70" t="str">
        <f t="array" ref="Y9">IF(A9="","",IF(AC9&lt;&gt;1,0,IF(AND(C9=1,X9=1,ISNUMBER(E9),E9&gt;0,ISNUMBER(P9),P9=Rules!$B$6,P9=INDEX(Companies!$J$6:$J$55,MATCH(A9,Companies!$A$6:$A$55,0)),ISNUMBER(Q9),Q9&lt;=Rules!$B$6,Rules!$B$6-Q9&lt;=Rules!$B$11,ISNUMBER(R9),ABS(R9-Valuation!$B$11)&lt;=31,S9&lt;&gt;"",T9&lt;&gt;"",U9&lt;&gt;"",V9="Yes",W9=Valuation!$B$10),1,0)))</f>
        <v/>
      </c>
      <c r="Z9" s="70" t="str">
        <f t="shared" si="2"/>
        <v/>
      </c>
      <c r="AA9" s="70" t="str">
        <f t="shared" si="3"/>
        <v/>
      </c>
      <c r="AB9" s="70" t="str">
        <f t="shared" si="4"/>
        <v/>
      </c>
      <c r="AC9" s="70" t="str">
        <f>IF(A9="","",COUNTIFS(Companies!$A$6:$A$55,A9))</f>
        <v/>
      </c>
    </row>
    <row r="10" ht="18.75" customHeight="1">
      <c r="A10" s="70"/>
      <c r="B10" s="70" t="str">
        <f t="array" ref="B10">IF(A10="","",IF(AC10&lt;&gt;1,"Unmatched issuer",INDEX(Companies!$C$6:$C$55,MATCH(A10,Companies!$A$6:$A$55,0))))</f>
        <v/>
      </c>
      <c r="C10" s="70" t="str">
        <f t="array" ref="C10">IF(A10="","",IF(AC10&lt;&gt;1,0,IF(AND(INDEX(Companies!$R$6:$R$55,MATCH(A10,Companies!$A$6:$A$55,0))=1,INDEX(Companies!$I$6:$I$55,MATCH(A10,Companies!$A$6:$A$55,0))&gt;=MAX(10,Rules!$B$22)),1,0)))</f>
        <v/>
      </c>
      <c r="D10" s="70" t="str">
        <f t="array" ref="D10">IF(A10="","",IF(AC10&lt;&gt;1,"n.a.",IF(ISNUMBER(INDEX(Companies!$I$6:$I$55,MATCH(A10,Companies!$A$6:$A$55,0))),INDEX(Companies!$I$6:$I$55,MATCH(A10,Companies!$A$6:$A$55,0)),"n.a.")))</f>
        <v/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2"/>
      <c r="Q10" s="72"/>
      <c r="R10" s="72"/>
      <c r="S10" s="73"/>
      <c r="T10" s="73"/>
      <c r="U10" s="73"/>
      <c r="V10" s="74"/>
      <c r="W10" s="74"/>
      <c r="X10" s="70" t="str">
        <f t="shared" si="1"/>
        <v/>
      </c>
      <c r="Y10" s="70" t="str">
        <f t="array" ref="Y10">IF(A10="","",IF(AC10&lt;&gt;1,0,IF(AND(C10=1,X10=1,ISNUMBER(E10),E10&gt;0,ISNUMBER(P10),P10=Rules!$B$6,P10=INDEX(Companies!$J$6:$J$55,MATCH(A10,Companies!$A$6:$A$55,0)),ISNUMBER(Q10),Q10&lt;=Rules!$B$6,Rules!$B$6-Q10&lt;=Rules!$B$11,ISNUMBER(R10),ABS(R10-Valuation!$B$11)&lt;=31,S10&lt;&gt;"",T10&lt;&gt;"",U10&lt;&gt;"",V10="Yes",W10=Valuation!$B$10),1,0)))</f>
        <v/>
      </c>
      <c r="Z10" s="70" t="str">
        <f t="shared" si="2"/>
        <v/>
      </c>
      <c r="AA10" s="70" t="str">
        <f t="shared" si="3"/>
        <v/>
      </c>
      <c r="AB10" s="70" t="str">
        <f t="shared" si="4"/>
        <v/>
      </c>
      <c r="AC10" s="70" t="str">
        <f>IF(A10="","",COUNTIFS(Companies!$A$6:$A$55,A10))</f>
        <v/>
      </c>
    </row>
    <row r="11" ht="18.75" customHeight="1">
      <c r="A11" s="70"/>
      <c r="B11" s="70" t="str">
        <f t="array" ref="B11">IF(A11="","",IF(AC11&lt;&gt;1,"Unmatched issuer",INDEX(Companies!$C$6:$C$55,MATCH(A11,Companies!$A$6:$A$55,0))))</f>
        <v/>
      </c>
      <c r="C11" s="70" t="str">
        <f t="array" ref="C11">IF(A11="","",IF(AC11&lt;&gt;1,0,IF(AND(INDEX(Companies!$R$6:$R$55,MATCH(A11,Companies!$A$6:$A$55,0))=1,INDEX(Companies!$I$6:$I$55,MATCH(A11,Companies!$A$6:$A$55,0))&gt;=MAX(10,Rules!$B$22)),1,0)))</f>
        <v/>
      </c>
      <c r="D11" s="70" t="str">
        <f t="array" ref="D11">IF(A11="","",IF(AC11&lt;&gt;1,"n.a.",IF(ISNUMBER(INDEX(Companies!$I$6:$I$55,MATCH(A11,Companies!$A$6:$A$55,0))),INDEX(Companies!$I$6:$I$55,MATCH(A11,Companies!$A$6:$A$55,0)),"n.a.")))</f>
        <v/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2"/>
      <c r="Q11" s="72"/>
      <c r="R11" s="72"/>
      <c r="S11" s="73"/>
      <c r="T11" s="73"/>
      <c r="U11" s="73"/>
      <c r="V11" s="74"/>
      <c r="W11" s="74"/>
      <c r="X11" s="70" t="str">
        <f t="shared" si="1"/>
        <v/>
      </c>
      <c r="Y11" s="70" t="str">
        <f t="array" ref="Y11">IF(A11="","",IF(AC11&lt;&gt;1,0,IF(AND(C11=1,X11=1,ISNUMBER(E11),E11&gt;0,ISNUMBER(P11),P11=Rules!$B$6,P11=INDEX(Companies!$J$6:$J$55,MATCH(A11,Companies!$A$6:$A$55,0)),ISNUMBER(Q11),Q11&lt;=Rules!$B$6,Rules!$B$6-Q11&lt;=Rules!$B$11,ISNUMBER(R11),ABS(R11-Valuation!$B$11)&lt;=31,S11&lt;&gt;"",T11&lt;&gt;"",U11&lt;&gt;"",V11="Yes",W11=Valuation!$B$10),1,0)))</f>
        <v/>
      </c>
      <c r="Z11" s="70" t="str">
        <f t="shared" si="2"/>
        <v/>
      </c>
      <c r="AA11" s="70" t="str">
        <f t="shared" si="3"/>
        <v/>
      </c>
      <c r="AB11" s="70" t="str">
        <f t="shared" si="4"/>
        <v/>
      </c>
      <c r="AC11" s="70" t="str">
        <f>IF(A11="","",COUNTIFS(Companies!$A$6:$A$55,A11))</f>
        <v/>
      </c>
    </row>
    <row r="12" ht="18.75" customHeight="1">
      <c r="A12" s="70"/>
      <c r="B12" s="70" t="str">
        <f t="array" ref="B12">IF(A12="","",IF(AC12&lt;&gt;1,"Unmatched issuer",INDEX(Companies!$C$6:$C$55,MATCH(A12,Companies!$A$6:$A$55,0))))</f>
        <v/>
      </c>
      <c r="C12" s="70" t="str">
        <f t="array" ref="C12">IF(A12="","",IF(AC12&lt;&gt;1,0,IF(AND(INDEX(Companies!$R$6:$R$55,MATCH(A12,Companies!$A$6:$A$55,0))=1,INDEX(Companies!$I$6:$I$55,MATCH(A12,Companies!$A$6:$A$55,0))&gt;=MAX(10,Rules!$B$22)),1,0)))</f>
        <v/>
      </c>
      <c r="D12" s="70" t="str">
        <f t="array" ref="D12">IF(A12="","",IF(AC12&lt;&gt;1,"n.a.",IF(ISNUMBER(INDEX(Companies!$I$6:$I$55,MATCH(A12,Companies!$A$6:$A$55,0))),INDEX(Companies!$I$6:$I$55,MATCH(A12,Companies!$A$6:$A$55,0)),"n.a.")))</f>
        <v/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2"/>
      <c r="Q12" s="72"/>
      <c r="R12" s="72"/>
      <c r="S12" s="73"/>
      <c r="T12" s="73"/>
      <c r="U12" s="73"/>
      <c r="V12" s="74"/>
      <c r="W12" s="74"/>
      <c r="X12" s="70" t="str">
        <f t="shared" si="1"/>
        <v/>
      </c>
      <c r="Y12" s="70" t="str">
        <f t="array" ref="Y12">IF(A12="","",IF(AC12&lt;&gt;1,0,IF(AND(C12=1,X12=1,ISNUMBER(E12),E12&gt;0,ISNUMBER(P12),P12=Rules!$B$6,P12=INDEX(Companies!$J$6:$J$55,MATCH(A12,Companies!$A$6:$A$55,0)),ISNUMBER(Q12),Q12&lt;=Rules!$B$6,Rules!$B$6-Q12&lt;=Rules!$B$11,ISNUMBER(R12),ABS(R12-Valuation!$B$11)&lt;=31,S12&lt;&gt;"",T12&lt;&gt;"",U12&lt;&gt;"",V12="Yes",W12=Valuation!$B$10),1,0)))</f>
        <v/>
      </c>
      <c r="Z12" s="70" t="str">
        <f t="shared" si="2"/>
        <v/>
      </c>
      <c r="AA12" s="70" t="str">
        <f t="shared" si="3"/>
        <v/>
      </c>
      <c r="AB12" s="70" t="str">
        <f t="shared" si="4"/>
        <v/>
      </c>
      <c r="AC12" s="70" t="str">
        <f>IF(A12="","",COUNTIFS(Companies!$A$6:$A$55,A12))</f>
        <v/>
      </c>
    </row>
    <row r="13" ht="18.75" customHeight="1">
      <c r="A13" s="70"/>
      <c r="B13" s="70" t="str">
        <f t="array" ref="B13">IF(A13="","",IF(AC13&lt;&gt;1,"Unmatched issuer",INDEX(Companies!$C$6:$C$55,MATCH(A13,Companies!$A$6:$A$55,0))))</f>
        <v/>
      </c>
      <c r="C13" s="70" t="str">
        <f t="array" ref="C13">IF(A13="","",IF(AC13&lt;&gt;1,0,IF(AND(INDEX(Companies!$R$6:$R$55,MATCH(A13,Companies!$A$6:$A$55,0))=1,INDEX(Companies!$I$6:$I$55,MATCH(A13,Companies!$A$6:$A$55,0))&gt;=MAX(10,Rules!$B$22)),1,0)))</f>
        <v/>
      </c>
      <c r="D13" s="70" t="str">
        <f t="array" ref="D13">IF(A13="","",IF(AC13&lt;&gt;1,"n.a.",IF(ISNUMBER(INDEX(Companies!$I$6:$I$55,MATCH(A13,Companies!$A$6:$A$55,0))),INDEX(Companies!$I$6:$I$55,MATCH(A13,Companies!$A$6:$A$55,0)),"n.a.")))</f>
        <v/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  <c r="Q13" s="72"/>
      <c r="R13" s="72"/>
      <c r="S13" s="73"/>
      <c r="T13" s="73"/>
      <c r="U13" s="73"/>
      <c r="V13" s="74"/>
      <c r="W13" s="74"/>
      <c r="X13" s="70" t="str">
        <f t="shared" si="1"/>
        <v/>
      </c>
      <c r="Y13" s="70" t="str">
        <f t="array" ref="Y13">IF(A13="","",IF(AC13&lt;&gt;1,0,IF(AND(C13=1,X13=1,ISNUMBER(E13),E13&gt;0,ISNUMBER(P13),P13=Rules!$B$6,P13=INDEX(Companies!$J$6:$J$55,MATCH(A13,Companies!$A$6:$A$55,0)),ISNUMBER(Q13),Q13&lt;=Rules!$B$6,Rules!$B$6-Q13&lt;=Rules!$B$11,ISNUMBER(R13),ABS(R13-Valuation!$B$11)&lt;=31,S13&lt;&gt;"",T13&lt;&gt;"",U13&lt;&gt;"",V13="Yes",W13=Valuation!$B$10),1,0)))</f>
        <v/>
      </c>
      <c r="Z13" s="70" t="str">
        <f t="shared" si="2"/>
        <v/>
      </c>
      <c r="AA13" s="70" t="str">
        <f t="shared" si="3"/>
        <v/>
      </c>
      <c r="AB13" s="70" t="str">
        <f t="shared" si="4"/>
        <v/>
      </c>
      <c r="AC13" s="70" t="str">
        <f>IF(A13="","",COUNTIFS(Companies!$A$6:$A$55,A13))</f>
        <v/>
      </c>
    </row>
    <row r="14" ht="18.75" customHeight="1">
      <c r="A14" s="70"/>
      <c r="B14" s="70" t="str">
        <f t="array" ref="B14">IF(A14="","",IF(AC14&lt;&gt;1,"Unmatched issuer",INDEX(Companies!$C$6:$C$55,MATCH(A14,Companies!$A$6:$A$55,0))))</f>
        <v/>
      </c>
      <c r="C14" s="70" t="str">
        <f t="array" ref="C14">IF(A14="","",IF(AC14&lt;&gt;1,0,IF(AND(INDEX(Companies!$R$6:$R$55,MATCH(A14,Companies!$A$6:$A$55,0))=1,INDEX(Companies!$I$6:$I$55,MATCH(A14,Companies!$A$6:$A$55,0))&gt;=MAX(10,Rules!$B$22)),1,0)))</f>
        <v/>
      </c>
      <c r="D14" s="70" t="str">
        <f t="array" ref="D14">IF(A14="","",IF(AC14&lt;&gt;1,"n.a.",IF(ISNUMBER(INDEX(Companies!$I$6:$I$55,MATCH(A14,Companies!$A$6:$A$55,0))),INDEX(Companies!$I$6:$I$55,MATCH(A14,Companies!$A$6:$A$55,0)),"n.a.")))</f>
        <v/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2"/>
      <c r="Q14" s="72"/>
      <c r="R14" s="72"/>
      <c r="S14" s="73"/>
      <c r="T14" s="73"/>
      <c r="U14" s="73"/>
      <c r="V14" s="74"/>
      <c r="W14" s="74"/>
      <c r="X14" s="70" t="str">
        <f t="shared" si="1"/>
        <v/>
      </c>
      <c r="Y14" s="70" t="str">
        <f t="array" ref="Y14">IF(A14="","",IF(AC14&lt;&gt;1,0,IF(AND(C14=1,X14=1,ISNUMBER(E14),E14&gt;0,ISNUMBER(P14),P14=Rules!$B$6,P14=INDEX(Companies!$J$6:$J$55,MATCH(A14,Companies!$A$6:$A$55,0)),ISNUMBER(Q14),Q14&lt;=Rules!$B$6,Rules!$B$6-Q14&lt;=Rules!$B$11,ISNUMBER(R14),ABS(R14-Valuation!$B$11)&lt;=31,S14&lt;&gt;"",T14&lt;&gt;"",U14&lt;&gt;"",V14="Yes",W14=Valuation!$B$10),1,0)))</f>
        <v/>
      </c>
      <c r="Z14" s="70" t="str">
        <f t="shared" si="2"/>
        <v/>
      </c>
      <c r="AA14" s="70" t="str">
        <f t="shared" si="3"/>
        <v/>
      </c>
      <c r="AB14" s="70" t="str">
        <f t="shared" si="4"/>
        <v/>
      </c>
      <c r="AC14" s="70" t="str">
        <f>IF(A14="","",COUNTIFS(Companies!$A$6:$A$55,A14))</f>
        <v/>
      </c>
    </row>
    <row r="15" ht="18.75" customHeight="1">
      <c r="A15" s="70"/>
      <c r="B15" s="70" t="str">
        <f t="array" ref="B15">IF(A15="","",IF(AC15&lt;&gt;1,"Unmatched issuer",INDEX(Companies!$C$6:$C$55,MATCH(A15,Companies!$A$6:$A$55,0))))</f>
        <v/>
      </c>
      <c r="C15" s="70" t="str">
        <f t="array" ref="C15">IF(A15="","",IF(AC15&lt;&gt;1,0,IF(AND(INDEX(Companies!$R$6:$R$55,MATCH(A15,Companies!$A$6:$A$55,0))=1,INDEX(Companies!$I$6:$I$55,MATCH(A15,Companies!$A$6:$A$55,0))&gt;=MAX(10,Rules!$B$22)),1,0)))</f>
        <v/>
      </c>
      <c r="D15" s="70" t="str">
        <f t="array" ref="D15">IF(A15="","",IF(AC15&lt;&gt;1,"n.a.",IF(ISNUMBER(INDEX(Companies!$I$6:$I$55,MATCH(A15,Companies!$A$6:$A$55,0))),INDEX(Companies!$I$6:$I$55,MATCH(A15,Companies!$A$6:$A$55,0)),"n.a.")))</f>
        <v/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2"/>
      <c r="Q15" s="72"/>
      <c r="R15" s="72"/>
      <c r="S15" s="73"/>
      <c r="T15" s="73"/>
      <c r="U15" s="73"/>
      <c r="V15" s="74"/>
      <c r="W15" s="74"/>
      <c r="X15" s="70" t="str">
        <f t="shared" si="1"/>
        <v/>
      </c>
      <c r="Y15" s="70" t="str">
        <f t="array" ref="Y15">IF(A15="","",IF(AC15&lt;&gt;1,0,IF(AND(C15=1,X15=1,ISNUMBER(E15),E15&gt;0,ISNUMBER(P15),P15=Rules!$B$6,P15=INDEX(Companies!$J$6:$J$55,MATCH(A15,Companies!$A$6:$A$55,0)),ISNUMBER(Q15),Q15&lt;=Rules!$B$6,Rules!$B$6-Q15&lt;=Rules!$B$11,ISNUMBER(R15),ABS(R15-Valuation!$B$11)&lt;=31,S15&lt;&gt;"",T15&lt;&gt;"",U15&lt;&gt;"",V15="Yes",W15=Valuation!$B$10),1,0)))</f>
        <v/>
      </c>
      <c r="Z15" s="70" t="str">
        <f t="shared" si="2"/>
        <v/>
      </c>
      <c r="AA15" s="70" t="str">
        <f t="shared" si="3"/>
        <v/>
      </c>
      <c r="AB15" s="70" t="str">
        <f t="shared" si="4"/>
        <v/>
      </c>
      <c r="AC15" s="70" t="str">
        <f>IF(A15="","",COUNTIFS(Companies!$A$6:$A$55,A15))</f>
        <v/>
      </c>
    </row>
    <row r="16" ht="18.75" customHeight="1">
      <c r="A16" s="70"/>
      <c r="B16" s="70" t="str">
        <f t="array" ref="B16">IF(A16="","",IF(AC16&lt;&gt;1,"Unmatched issuer",INDEX(Companies!$C$6:$C$55,MATCH(A16,Companies!$A$6:$A$55,0))))</f>
        <v/>
      </c>
      <c r="C16" s="70" t="str">
        <f t="array" ref="C16">IF(A16="","",IF(AC16&lt;&gt;1,0,IF(AND(INDEX(Companies!$R$6:$R$55,MATCH(A16,Companies!$A$6:$A$55,0))=1,INDEX(Companies!$I$6:$I$55,MATCH(A16,Companies!$A$6:$A$55,0))&gt;=MAX(10,Rules!$B$22)),1,0)))</f>
        <v/>
      </c>
      <c r="D16" s="70" t="str">
        <f t="array" ref="D16">IF(A16="","",IF(AC16&lt;&gt;1,"n.a.",IF(ISNUMBER(INDEX(Companies!$I$6:$I$55,MATCH(A16,Companies!$A$6:$A$55,0))),INDEX(Companies!$I$6:$I$55,MATCH(A16,Companies!$A$6:$A$55,0)),"n.a.")))</f>
        <v/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2"/>
      <c r="Q16" s="72"/>
      <c r="R16" s="72"/>
      <c r="S16" s="73"/>
      <c r="T16" s="73"/>
      <c r="U16" s="73"/>
      <c r="V16" s="74"/>
      <c r="W16" s="74"/>
      <c r="X16" s="70" t="str">
        <f t="shared" si="1"/>
        <v/>
      </c>
      <c r="Y16" s="70" t="str">
        <f t="array" ref="Y16">IF(A16="","",IF(AC16&lt;&gt;1,0,IF(AND(C16=1,X16=1,ISNUMBER(E16),E16&gt;0,ISNUMBER(P16),P16=Rules!$B$6,P16=INDEX(Companies!$J$6:$J$55,MATCH(A16,Companies!$A$6:$A$55,0)),ISNUMBER(Q16),Q16&lt;=Rules!$B$6,Rules!$B$6-Q16&lt;=Rules!$B$11,ISNUMBER(R16),ABS(R16-Valuation!$B$11)&lt;=31,S16&lt;&gt;"",T16&lt;&gt;"",U16&lt;&gt;"",V16="Yes",W16=Valuation!$B$10),1,0)))</f>
        <v/>
      </c>
      <c r="Z16" s="70" t="str">
        <f t="shared" si="2"/>
        <v/>
      </c>
      <c r="AA16" s="70" t="str">
        <f t="shared" si="3"/>
        <v/>
      </c>
      <c r="AB16" s="70" t="str">
        <f t="shared" si="4"/>
        <v/>
      </c>
      <c r="AC16" s="70" t="str">
        <f>IF(A16="","",COUNTIFS(Companies!$A$6:$A$55,A16))</f>
        <v/>
      </c>
    </row>
    <row r="17" ht="18.75" customHeight="1">
      <c r="A17" s="70"/>
      <c r="B17" s="70" t="str">
        <f t="array" ref="B17">IF(A17="","",IF(AC17&lt;&gt;1,"Unmatched issuer",INDEX(Companies!$C$6:$C$55,MATCH(A17,Companies!$A$6:$A$55,0))))</f>
        <v/>
      </c>
      <c r="C17" s="70" t="str">
        <f t="array" ref="C17">IF(A17="","",IF(AC17&lt;&gt;1,0,IF(AND(INDEX(Companies!$R$6:$R$55,MATCH(A17,Companies!$A$6:$A$55,0))=1,INDEX(Companies!$I$6:$I$55,MATCH(A17,Companies!$A$6:$A$55,0))&gt;=MAX(10,Rules!$B$22)),1,0)))</f>
        <v/>
      </c>
      <c r="D17" s="70" t="str">
        <f t="array" ref="D17">IF(A17="","",IF(AC17&lt;&gt;1,"n.a.",IF(ISNUMBER(INDEX(Companies!$I$6:$I$55,MATCH(A17,Companies!$A$6:$A$55,0))),INDEX(Companies!$I$6:$I$55,MATCH(A17,Companies!$A$6:$A$55,0)),"n.a.")))</f>
        <v/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2"/>
      <c r="Q17" s="72"/>
      <c r="R17" s="72"/>
      <c r="S17" s="73"/>
      <c r="T17" s="73"/>
      <c r="U17" s="73"/>
      <c r="V17" s="74"/>
      <c r="W17" s="74"/>
      <c r="X17" s="70" t="str">
        <f t="shared" si="1"/>
        <v/>
      </c>
      <c r="Y17" s="70" t="str">
        <f t="array" ref="Y17">IF(A17="","",IF(AC17&lt;&gt;1,0,IF(AND(C17=1,X17=1,ISNUMBER(E17),E17&gt;0,ISNUMBER(P17),P17=Rules!$B$6,P17=INDEX(Companies!$J$6:$J$55,MATCH(A17,Companies!$A$6:$A$55,0)),ISNUMBER(Q17),Q17&lt;=Rules!$B$6,Rules!$B$6-Q17&lt;=Rules!$B$11,ISNUMBER(R17),ABS(R17-Valuation!$B$11)&lt;=31,S17&lt;&gt;"",T17&lt;&gt;"",U17&lt;&gt;"",V17="Yes",W17=Valuation!$B$10),1,0)))</f>
        <v/>
      </c>
      <c r="Z17" s="70" t="str">
        <f t="shared" si="2"/>
        <v/>
      </c>
      <c r="AA17" s="70" t="str">
        <f t="shared" si="3"/>
        <v/>
      </c>
      <c r="AB17" s="70" t="str">
        <f t="shared" si="4"/>
        <v/>
      </c>
      <c r="AC17" s="70" t="str">
        <f>IF(A17="","",COUNTIFS(Companies!$A$6:$A$55,A17))</f>
        <v/>
      </c>
    </row>
    <row r="18" ht="18.75" customHeight="1">
      <c r="A18" s="70"/>
      <c r="B18" s="70" t="str">
        <f t="array" ref="B18">IF(A18="","",IF(AC18&lt;&gt;1,"Unmatched issuer",INDEX(Companies!$C$6:$C$55,MATCH(A18,Companies!$A$6:$A$55,0))))</f>
        <v/>
      </c>
      <c r="C18" s="70" t="str">
        <f t="array" ref="C18">IF(A18="","",IF(AC18&lt;&gt;1,0,IF(AND(INDEX(Companies!$R$6:$R$55,MATCH(A18,Companies!$A$6:$A$55,0))=1,INDEX(Companies!$I$6:$I$55,MATCH(A18,Companies!$A$6:$A$55,0))&gt;=MAX(10,Rules!$B$22)),1,0)))</f>
        <v/>
      </c>
      <c r="D18" s="70" t="str">
        <f t="array" ref="D18">IF(A18="","",IF(AC18&lt;&gt;1,"n.a.",IF(ISNUMBER(INDEX(Companies!$I$6:$I$55,MATCH(A18,Companies!$A$6:$A$55,0))),INDEX(Companies!$I$6:$I$55,MATCH(A18,Companies!$A$6:$A$55,0)),"n.a.")))</f>
        <v/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2"/>
      <c r="Q18" s="72"/>
      <c r="R18" s="72"/>
      <c r="S18" s="73"/>
      <c r="T18" s="73"/>
      <c r="U18" s="73"/>
      <c r="V18" s="74"/>
      <c r="W18" s="74"/>
      <c r="X18" s="70" t="str">
        <f t="shared" si="1"/>
        <v/>
      </c>
      <c r="Y18" s="70" t="str">
        <f t="array" ref="Y18">IF(A18="","",IF(AC18&lt;&gt;1,0,IF(AND(C18=1,X18=1,ISNUMBER(E18),E18&gt;0,ISNUMBER(P18),P18=Rules!$B$6,P18=INDEX(Companies!$J$6:$J$55,MATCH(A18,Companies!$A$6:$A$55,0)),ISNUMBER(Q18),Q18&lt;=Rules!$B$6,Rules!$B$6-Q18&lt;=Rules!$B$11,ISNUMBER(R18),ABS(R18-Valuation!$B$11)&lt;=31,S18&lt;&gt;"",T18&lt;&gt;"",U18&lt;&gt;"",V18="Yes",W18=Valuation!$B$10),1,0)))</f>
        <v/>
      </c>
      <c r="Z18" s="70" t="str">
        <f t="shared" si="2"/>
        <v/>
      </c>
      <c r="AA18" s="70" t="str">
        <f t="shared" si="3"/>
        <v/>
      </c>
      <c r="AB18" s="70" t="str">
        <f t="shared" si="4"/>
        <v/>
      </c>
      <c r="AC18" s="70" t="str">
        <f>IF(A18="","",COUNTIFS(Companies!$A$6:$A$55,A18))</f>
        <v/>
      </c>
    </row>
    <row r="19" ht="18.75" customHeight="1">
      <c r="A19" s="70"/>
      <c r="B19" s="70" t="str">
        <f t="array" ref="B19">IF(A19="","",IF(AC19&lt;&gt;1,"Unmatched issuer",INDEX(Companies!$C$6:$C$55,MATCH(A19,Companies!$A$6:$A$55,0))))</f>
        <v/>
      </c>
      <c r="C19" s="70" t="str">
        <f t="array" ref="C19">IF(A19="","",IF(AC19&lt;&gt;1,0,IF(AND(INDEX(Companies!$R$6:$R$55,MATCH(A19,Companies!$A$6:$A$55,0))=1,INDEX(Companies!$I$6:$I$55,MATCH(A19,Companies!$A$6:$A$55,0))&gt;=MAX(10,Rules!$B$22)),1,0)))</f>
        <v/>
      </c>
      <c r="D19" s="70" t="str">
        <f t="array" ref="D19">IF(A19="","",IF(AC19&lt;&gt;1,"n.a.",IF(ISNUMBER(INDEX(Companies!$I$6:$I$55,MATCH(A19,Companies!$A$6:$A$55,0))),INDEX(Companies!$I$6:$I$55,MATCH(A19,Companies!$A$6:$A$55,0)),"n.a.")))</f>
        <v/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2"/>
      <c r="Q19" s="72"/>
      <c r="R19" s="72"/>
      <c r="S19" s="73"/>
      <c r="T19" s="73"/>
      <c r="U19" s="73"/>
      <c r="V19" s="74"/>
      <c r="W19" s="74"/>
      <c r="X19" s="70" t="str">
        <f t="shared" si="1"/>
        <v/>
      </c>
      <c r="Y19" s="70" t="str">
        <f t="array" ref="Y19">IF(A19="","",IF(AC19&lt;&gt;1,0,IF(AND(C19=1,X19=1,ISNUMBER(E19),E19&gt;0,ISNUMBER(P19),P19=Rules!$B$6,P19=INDEX(Companies!$J$6:$J$55,MATCH(A19,Companies!$A$6:$A$55,0)),ISNUMBER(Q19),Q19&lt;=Rules!$B$6,Rules!$B$6-Q19&lt;=Rules!$B$11,ISNUMBER(R19),ABS(R19-Valuation!$B$11)&lt;=31,S19&lt;&gt;"",T19&lt;&gt;"",U19&lt;&gt;"",V19="Yes",W19=Valuation!$B$10),1,0)))</f>
        <v/>
      </c>
      <c r="Z19" s="70" t="str">
        <f t="shared" si="2"/>
        <v/>
      </c>
      <c r="AA19" s="70" t="str">
        <f t="shared" si="3"/>
        <v/>
      </c>
      <c r="AB19" s="70" t="str">
        <f t="shared" si="4"/>
        <v/>
      </c>
      <c r="AC19" s="70" t="str">
        <f>IF(A19="","",COUNTIFS(Companies!$A$6:$A$55,A19))</f>
        <v/>
      </c>
    </row>
    <row r="20" ht="18.75" customHeight="1">
      <c r="A20" s="70"/>
      <c r="B20" s="70" t="str">
        <f t="array" ref="B20">IF(A20="","",IF(AC20&lt;&gt;1,"Unmatched issuer",INDEX(Companies!$C$6:$C$55,MATCH(A20,Companies!$A$6:$A$55,0))))</f>
        <v/>
      </c>
      <c r="C20" s="70" t="str">
        <f t="array" ref="C20">IF(A20="","",IF(AC20&lt;&gt;1,0,IF(AND(INDEX(Companies!$R$6:$R$55,MATCH(A20,Companies!$A$6:$A$55,0))=1,INDEX(Companies!$I$6:$I$55,MATCH(A20,Companies!$A$6:$A$55,0))&gt;=MAX(10,Rules!$B$22)),1,0)))</f>
        <v/>
      </c>
      <c r="D20" s="70" t="str">
        <f t="array" ref="D20">IF(A20="","",IF(AC20&lt;&gt;1,"n.a.",IF(ISNUMBER(INDEX(Companies!$I$6:$I$55,MATCH(A20,Companies!$A$6:$A$55,0))),INDEX(Companies!$I$6:$I$55,MATCH(A20,Companies!$A$6:$A$55,0)),"n.a.")))</f>
        <v/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2"/>
      <c r="Q20" s="72"/>
      <c r="R20" s="72"/>
      <c r="S20" s="73"/>
      <c r="T20" s="73"/>
      <c r="U20" s="73"/>
      <c r="V20" s="74"/>
      <c r="W20" s="74"/>
      <c r="X20" s="70" t="str">
        <f t="shared" si="1"/>
        <v/>
      </c>
      <c r="Y20" s="70" t="str">
        <f t="array" ref="Y20">IF(A20="","",IF(AC20&lt;&gt;1,0,IF(AND(C20=1,X20=1,ISNUMBER(E20),E20&gt;0,ISNUMBER(P20),P20=Rules!$B$6,P20=INDEX(Companies!$J$6:$J$55,MATCH(A20,Companies!$A$6:$A$55,0)),ISNUMBER(Q20),Q20&lt;=Rules!$B$6,Rules!$B$6-Q20&lt;=Rules!$B$11,ISNUMBER(R20),ABS(R20-Valuation!$B$11)&lt;=31,S20&lt;&gt;"",T20&lt;&gt;"",U20&lt;&gt;"",V20="Yes",W20=Valuation!$B$10),1,0)))</f>
        <v/>
      </c>
      <c r="Z20" s="70" t="str">
        <f t="shared" si="2"/>
        <v/>
      </c>
      <c r="AA20" s="70" t="str">
        <f t="shared" si="3"/>
        <v/>
      </c>
      <c r="AB20" s="70" t="str">
        <f t="shared" si="4"/>
        <v/>
      </c>
      <c r="AC20" s="70" t="str">
        <f>IF(A20="","",COUNTIFS(Companies!$A$6:$A$55,A20))</f>
        <v/>
      </c>
    </row>
    <row r="21" ht="18.75" customHeight="1">
      <c r="A21" s="70"/>
      <c r="B21" s="70" t="str">
        <f t="array" ref="B21">IF(A21="","",IF(AC21&lt;&gt;1,"Unmatched issuer",INDEX(Companies!$C$6:$C$55,MATCH(A21,Companies!$A$6:$A$55,0))))</f>
        <v/>
      </c>
      <c r="C21" s="70" t="str">
        <f t="array" ref="C21">IF(A21="","",IF(AC21&lt;&gt;1,0,IF(AND(INDEX(Companies!$R$6:$R$55,MATCH(A21,Companies!$A$6:$A$55,0))=1,INDEX(Companies!$I$6:$I$55,MATCH(A21,Companies!$A$6:$A$55,0))&gt;=MAX(10,Rules!$B$22)),1,0)))</f>
        <v/>
      </c>
      <c r="D21" s="70" t="str">
        <f t="array" ref="D21">IF(A21="","",IF(AC21&lt;&gt;1,"n.a.",IF(ISNUMBER(INDEX(Companies!$I$6:$I$55,MATCH(A21,Companies!$A$6:$A$55,0))),INDEX(Companies!$I$6:$I$55,MATCH(A21,Companies!$A$6:$A$55,0)),"n.a.")))</f>
        <v/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2"/>
      <c r="Q21" s="72"/>
      <c r="R21" s="72"/>
      <c r="S21" s="73"/>
      <c r="T21" s="73"/>
      <c r="U21" s="73"/>
      <c r="V21" s="74"/>
      <c r="W21" s="74"/>
      <c r="X21" s="70" t="str">
        <f t="shared" si="1"/>
        <v/>
      </c>
      <c r="Y21" s="70" t="str">
        <f t="array" ref="Y21">IF(A21="","",IF(AC21&lt;&gt;1,0,IF(AND(C21=1,X21=1,ISNUMBER(E21),E21&gt;0,ISNUMBER(P21),P21=Rules!$B$6,P21=INDEX(Companies!$J$6:$J$55,MATCH(A21,Companies!$A$6:$A$55,0)),ISNUMBER(Q21),Q21&lt;=Rules!$B$6,Rules!$B$6-Q21&lt;=Rules!$B$11,ISNUMBER(R21),ABS(R21-Valuation!$B$11)&lt;=31,S21&lt;&gt;"",T21&lt;&gt;"",U21&lt;&gt;"",V21="Yes",W21=Valuation!$B$10),1,0)))</f>
        <v/>
      </c>
      <c r="Z21" s="70" t="str">
        <f t="shared" si="2"/>
        <v/>
      </c>
      <c r="AA21" s="70" t="str">
        <f t="shared" si="3"/>
        <v/>
      </c>
      <c r="AB21" s="70" t="str">
        <f t="shared" si="4"/>
        <v/>
      </c>
      <c r="AC21" s="70" t="str">
        <f>IF(A21="","",COUNTIFS(Companies!$A$6:$A$55,A21))</f>
        <v/>
      </c>
    </row>
    <row r="22" ht="18.75" customHeight="1">
      <c r="A22" s="70"/>
      <c r="B22" s="70" t="str">
        <f t="array" ref="B22">IF(A22="","",IF(AC22&lt;&gt;1,"Unmatched issuer",INDEX(Companies!$C$6:$C$55,MATCH(A22,Companies!$A$6:$A$55,0))))</f>
        <v/>
      </c>
      <c r="C22" s="70" t="str">
        <f t="array" ref="C22">IF(A22="","",IF(AC22&lt;&gt;1,0,IF(AND(INDEX(Companies!$R$6:$R$55,MATCH(A22,Companies!$A$6:$A$55,0))=1,INDEX(Companies!$I$6:$I$55,MATCH(A22,Companies!$A$6:$A$55,0))&gt;=MAX(10,Rules!$B$22)),1,0)))</f>
        <v/>
      </c>
      <c r="D22" s="70" t="str">
        <f t="array" ref="D22">IF(A22="","",IF(AC22&lt;&gt;1,"n.a.",IF(ISNUMBER(INDEX(Companies!$I$6:$I$55,MATCH(A22,Companies!$A$6:$A$55,0))),INDEX(Companies!$I$6:$I$55,MATCH(A22,Companies!$A$6:$A$55,0)),"n.a.")))</f>
        <v/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2"/>
      <c r="Q22" s="72"/>
      <c r="R22" s="72"/>
      <c r="S22" s="73"/>
      <c r="T22" s="73"/>
      <c r="U22" s="73"/>
      <c r="V22" s="74"/>
      <c r="W22" s="74"/>
      <c r="X22" s="70" t="str">
        <f t="shared" si="1"/>
        <v/>
      </c>
      <c r="Y22" s="70" t="str">
        <f t="array" ref="Y22">IF(A22="","",IF(AC22&lt;&gt;1,0,IF(AND(C22=1,X22=1,ISNUMBER(E22),E22&gt;0,ISNUMBER(P22),P22=Rules!$B$6,P22=INDEX(Companies!$J$6:$J$55,MATCH(A22,Companies!$A$6:$A$55,0)),ISNUMBER(Q22),Q22&lt;=Rules!$B$6,Rules!$B$6-Q22&lt;=Rules!$B$11,ISNUMBER(R22),ABS(R22-Valuation!$B$11)&lt;=31,S22&lt;&gt;"",T22&lt;&gt;"",U22&lt;&gt;"",V22="Yes",W22=Valuation!$B$10),1,0)))</f>
        <v/>
      </c>
      <c r="Z22" s="70" t="str">
        <f t="shared" si="2"/>
        <v/>
      </c>
      <c r="AA22" s="70" t="str">
        <f t="shared" si="3"/>
        <v/>
      </c>
      <c r="AB22" s="70" t="str">
        <f t="shared" si="4"/>
        <v/>
      </c>
      <c r="AC22" s="70" t="str">
        <f>IF(A22="","",COUNTIFS(Companies!$A$6:$A$55,A22))</f>
        <v/>
      </c>
    </row>
    <row r="23" ht="18.75" customHeight="1">
      <c r="A23" s="70"/>
      <c r="B23" s="70" t="str">
        <f t="array" ref="B23">IF(A23="","",IF(AC23&lt;&gt;1,"Unmatched issuer",INDEX(Companies!$C$6:$C$55,MATCH(A23,Companies!$A$6:$A$55,0))))</f>
        <v/>
      </c>
      <c r="C23" s="70" t="str">
        <f t="array" ref="C23">IF(A23="","",IF(AC23&lt;&gt;1,0,IF(AND(INDEX(Companies!$R$6:$R$55,MATCH(A23,Companies!$A$6:$A$55,0))=1,INDEX(Companies!$I$6:$I$55,MATCH(A23,Companies!$A$6:$A$55,0))&gt;=MAX(10,Rules!$B$22)),1,0)))</f>
        <v/>
      </c>
      <c r="D23" s="70" t="str">
        <f t="array" ref="D23">IF(A23="","",IF(AC23&lt;&gt;1,"n.a.",IF(ISNUMBER(INDEX(Companies!$I$6:$I$55,MATCH(A23,Companies!$A$6:$A$55,0))),INDEX(Companies!$I$6:$I$55,MATCH(A23,Companies!$A$6:$A$55,0)),"n.a.")))</f>
        <v/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72"/>
      <c r="R23" s="72"/>
      <c r="S23" s="73"/>
      <c r="T23" s="73"/>
      <c r="U23" s="73"/>
      <c r="V23" s="74"/>
      <c r="W23" s="74"/>
      <c r="X23" s="70" t="str">
        <f t="shared" si="1"/>
        <v/>
      </c>
      <c r="Y23" s="70" t="str">
        <f t="array" ref="Y23">IF(A23="","",IF(AC23&lt;&gt;1,0,IF(AND(C23=1,X23=1,ISNUMBER(E23),E23&gt;0,ISNUMBER(P23),P23=Rules!$B$6,P23=INDEX(Companies!$J$6:$J$55,MATCH(A23,Companies!$A$6:$A$55,0)),ISNUMBER(Q23),Q23&lt;=Rules!$B$6,Rules!$B$6-Q23&lt;=Rules!$B$11,ISNUMBER(R23),ABS(R23-Valuation!$B$11)&lt;=31,S23&lt;&gt;"",T23&lt;&gt;"",U23&lt;&gt;"",V23="Yes",W23=Valuation!$B$10),1,0)))</f>
        <v/>
      </c>
      <c r="Z23" s="70" t="str">
        <f t="shared" si="2"/>
        <v/>
      </c>
      <c r="AA23" s="70" t="str">
        <f t="shared" si="3"/>
        <v/>
      </c>
      <c r="AB23" s="70" t="str">
        <f t="shared" si="4"/>
        <v/>
      </c>
      <c r="AC23" s="70" t="str">
        <f>IF(A23="","",COUNTIFS(Companies!$A$6:$A$55,A23))</f>
        <v/>
      </c>
    </row>
    <row r="24" ht="18.75" customHeight="1">
      <c r="A24" s="70"/>
      <c r="B24" s="70" t="str">
        <f t="array" ref="B24">IF(A24="","",IF(AC24&lt;&gt;1,"Unmatched issuer",INDEX(Companies!$C$6:$C$55,MATCH(A24,Companies!$A$6:$A$55,0))))</f>
        <v/>
      </c>
      <c r="C24" s="70" t="str">
        <f t="array" ref="C24">IF(A24="","",IF(AC24&lt;&gt;1,0,IF(AND(INDEX(Companies!$R$6:$R$55,MATCH(A24,Companies!$A$6:$A$55,0))=1,INDEX(Companies!$I$6:$I$55,MATCH(A24,Companies!$A$6:$A$55,0))&gt;=MAX(10,Rules!$B$22)),1,0)))</f>
        <v/>
      </c>
      <c r="D24" s="70" t="str">
        <f t="array" ref="D24">IF(A24="","",IF(AC24&lt;&gt;1,"n.a.",IF(ISNUMBER(INDEX(Companies!$I$6:$I$55,MATCH(A24,Companies!$A$6:$A$55,0))),INDEX(Companies!$I$6:$I$55,MATCH(A24,Companies!$A$6:$A$55,0)),"n.a.")))</f>
        <v/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2"/>
      <c r="Q24" s="72"/>
      <c r="R24" s="72"/>
      <c r="S24" s="73"/>
      <c r="T24" s="73"/>
      <c r="U24" s="73"/>
      <c r="V24" s="74"/>
      <c r="W24" s="74"/>
      <c r="X24" s="70" t="str">
        <f t="shared" si="1"/>
        <v/>
      </c>
      <c r="Y24" s="70" t="str">
        <f t="array" ref="Y24">IF(A24="","",IF(AC24&lt;&gt;1,0,IF(AND(C24=1,X24=1,ISNUMBER(E24),E24&gt;0,ISNUMBER(P24),P24=Rules!$B$6,P24=INDEX(Companies!$J$6:$J$55,MATCH(A24,Companies!$A$6:$A$55,0)),ISNUMBER(Q24),Q24&lt;=Rules!$B$6,Rules!$B$6-Q24&lt;=Rules!$B$11,ISNUMBER(R24),ABS(R24-Valuation!$B$11)&lt;=31,S24&lt;&gt;"",T24&lt;&gt;"",U24&lt;&gt;"",V24="Yes",W24=Valuation!$B$10),1,0)))</f>
        <v/>
      </c>
      <c r="Z24" s="70" t="str">
        <f t="shared" si="2"/>
        <v/>
      </c>
      <c r="AA24" s="70" t="str">
        <f t="shared" si="3"/>
        <v/>
      </c>
      <c r="AB24" s="70" t="str">
        <f t="shared" si="4"/>
        <v/>
      </c>
      <c r="AC24" s="70" t="str">
        <f>IF(A24="","",COUNTIFS(Companies!$A$6:$A$55,A24))</f>
        <v/>
      </c>
    </row>
    <row r="25" ht="18.75" customHeight="1">
      <c r="A25" s="70"/>
      <c r="B25" s="70" t="str">
        <f t="array" ref="B25">IF(A25="","",IF(AC25&lt;&gt;1,"Unmatched issuer",INDEX(Companies!$C$6:$C$55,MATCH(A25,Companies!$A$6:$A$55,0))))</f>
        <v/>
      </c>
      <c r="C25" s="70" t="str">
        <f t="array" ref="C25">IF(A25="","",IF(AC25&lt;&gt;1,0,IF(AND(INDEX(Companies!$R$6:$R$55,MATCH(A25,Companies!$A$6:$A$55,0))=1,INDEX(Companies!$I$6:$I$55,MATCH(A25,Companies!$A$6:$A$55,0))&gt;=MAX(10,Rules!$B$22)),1,0)))</f>
        <v/>
      </c>
      <c r="D25" s="70" t="str">
        <f t="array" ref="D25">IF(A25="","",IF(AC25&lt;&gt;1,"n.a.",IF(ISNUMBER(INDEX(Companies!$I$6:$I$55,MATCH(A25,Companies!$A$6:$A$55,0))),INDEX(Companies!$I$6:$I$55,MATCH(A25,Companies!$A$6:$A$55,0)),"n.a.")))</f>
        <v/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72"/>
      <c r="R25" s="72"/>
      <c r="S25" s="73"/>
      <c r="T25" s="73"/>
      <c r="U25" s="73"/>
      <c r="V25" s="74"/>
      <c r="W25" s="74"/>
      <c r="X25" s="70" t="str">
        <f t="shared" si="1"/>
        <v/>
      </c>
      <c r="Y25" s="70" t="str">
        <f t="array" ref="Y25">IF(A25="","",IF(AC25&lt;&gt;1,0,IF(AND(C25=1,X25=1,ISNUMBER(E25),E25&gt;0,ISNUMBER(P25),P25=Rules!$B$6,P25=INDEX(Companies!$J$6:$J$55,MATCH(A25,Companies!$A$6:$A$55,0)),ISNUMBER(Q25),Q25&lt;=Rules!$B$6,Rules!$B$6-Q25&lt;=Rules!$B$11,ISNUMBER(R25),ABS(R25-Valuation!$B$11)&lt;=31,S25&lt;&gt;"",T25&lt;&gt;"",U25&lt;&gt;"",V25="Yes",W25=Valuation!$B$10),1,0)))</f>
        <v/>
      </c>
      <c r="Z25" s="70" t="str">
        <f t="shared" si="2"/>
        <v/>
      </c>
      <c r="AA25" s="70" t="str">
        <f t="shared" si="3"/>
        <v/>
      </c>
      <c r="AB25" s="70" t="str">
        <f t="shared" si="4"/>
        <v/>
      </c>
      <c r="AC25" s="70" t="str">
        <f>IF(A25="","",COUNTIFS(Companies!$A$6:$A$55,A25))</f>
        <v/>
      </c>
    </row>
    <row r="26" ht="18.75" customHeight="1">
      <c r="A26" s="70"/>
      <c r="B26" s="70" t="str">
        <f t="array" ref="B26">IF(A26="","",IF(AC26&lt;&gt;1,"Unmatched issuer",INDEX(Companies!$C$6:$C$55,MATCH(A26,Companies!$A$6:$A$55,0))))</f>
        <v/>
      </c>
      <c r="C26" s="70" t="str">
        <f t="array" ref="C26">IF(A26="","",IF(AC26&lt;&gt;1,0,IF(AND(INDEX(Companies!$R$6:$R$55,MATCH(A26,Companies!$A$6:$A$55,0))=1,INDEX(Companies!$I$6:$I$55,MATCH(A26,Companies!$A$6:$A$55,0))&gt;=MAX(10,Rules!$B$22)),1,0)))</f>
        <v/>
      </c>
      <c r="D26" s="70" t="str">
        <f t="array" ref="D26">IF(A26="","",IF(AC26&lt;&gt;1,"n.a.",IF(ISNUMBER(INDEX(Companies!$I$6:$I$55,MATCH(A26,Companies!$A$6:$A$55,0))),INDEX(Companies!$I$6:$I$55,MATCH(A26,Companies!$A$6:$A$55,0)),"n.a.")))</f>
        <v/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2"/>
      <c r="Q26" s="72"/>
      <c r="R26" s="72"/>
      <c r="S26" s="73"/>
      <c r="T26" s="73"/>
      <c r="U26" s="73"/>
      <c r="V26" s="74"/>
      <c r="W26" s="74"/>
      <c r="X26" s="70" t="str">
        <f t="shared" si="1"/>
        <v/>
      </c>
      <c r="Y26" s="70" t="str">
        <f t="array" ref="Y26">IF(A26="","",IF(AC26&lt;&gt;1,0,IF(AND(C26=1,X26=1,ISNUMBER(E26),E26&gt;0,ISNUMBER(P26),P26=Rules!$B$6,P26=INDEX(Companies!$J$6:$J$55,MATCH(A26,Companies!$A$6:$A$55,0)),ISNUMBER(Q26),Q26&lt;=Rules!$B$6,Rules!$B$6-Q26&lt;=Rules!$B$11,ISNUMBER(R26),ABS(R26-Valuation!$B$11)&lt;=31,S26&lt;&gt;"",T26&lt;&gt;"",U26&lt;&gt;"",V26="Yes",W26=Valuation!$B$10),1,0)))</f>
        <v/>
      </c>
      <c r="Z26" s="70" t="str">
        <f t="shared" si="2"/>
        <v/>
      </c>
      <c r="AA26" s="70" t="str">
        <f t="shared" si="3"/>
        <v/>
      </c>
      <c r="AB26" s="70" t="str">
        <f t="shared" si="4"/>
        <v/>
      </c>
      <c r="AC26" s="70" t="str">
        <f>IF(A26="","",COUNTIFS(Companies!$A$6:$A$55,A26))</f>
        <v/>
      </c>
    </row>
    <row r="27" ht="18.75" customHeight="1">
      <c r="A27" s="70"/>
      <c r="B27" s="70" t="str">
        <f t="array" ref="B27">IF(A27="","",IF(AC27&lt;&gt;1,"Unmatched issuer",INDEX(Companies!$C$6:$C$55,MATCH(A27,Companies!$A$6:$A$55,0))))</f>
        <v/>
      </c>
      <c r="C27" s="70" t="str">
        <f t="array" ref="C27">IF(A27="","",IF(AC27&lt;&gt;1,0,IF(AND(INDEX(Companies!$R$6:$R$55,MATCH(A27,Companies!$A$6:$A$55,0))=1,INDEX(Companies!$I$6:$I$55,MATCH(A27,Companies!$A$6:$A$55,0))&gt;=MAX(10,Rules!$B$22)),1,0)))</f>
        <v/>
      </c>
      <c r="D27" s="70" t="str">
        <f t="array" ref="D27">IF(A27="","",IF(AC27&lt;&gt;1,"n.a.",IF(ISNUMBER(INDEX(Companies!$I$6:$I$55,MATCH(A27,Companies!$A$6:$A$55,0))),INDEX(Companies!$I$6:$I$55,MATCH(A27,Companies!$A$6:$A$55,0)),"n.a.")))</f>
        <v/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2"/>
      <c r="Q27" s="72"/>
      <c r="R27" s="72"/>
      <c r="S27" s="73"/>
      <c r="T27" s="73"/>
      <c r="U27" s="73"/>
      <c r="V27" s="74"/>
      <c r="W27" s="74"/>
      <c r="X27" s="70" t="str">
        <f t="shared" si="1"/>
        <v/>
      </c>
      <c r="Y27" s="70" t="str">
        <f t="array" ref="Y27">IF(A27="","",IF(AC27&lt;&gt;1,0,IF(AND(C27=1,X27=1,ISNUMBER(E27),E27&gt;0,ISNUMBER(P27),P27=Rules!$B$6,P27=INDEX(Companies!$J$6:$J$55,MATCH(A27,Companies!$A$6:$A$55,0)),ISNUMBER(Q27),Q27&lt;=Rules!$B$6,Rules!$B$6-Q27&lt;=Rules!$B$11,ISNUMBER(R27),ABS(R27-Valuation!$B$11)&lt;=31,S27&lt;&gt;"",T27&lt;&gt;"",U27&lt;&gt;"",V27="Yes",W27=Valuation!$B$10),1,0)))</f>
        <v/>
      </c>
      <c r="Z27" s="70" t="str">
        <f t="shared" si="2"/>
        <v/>
      </c>
      <c r="AA27" s="70" t="str">
        <f t="shared" si="3"/>
        <v/>
      </c>
      <c r="AB27" s="70" t="str">
        <f t="shared" si="4"/>
        <v/>
      </c>
      <c r="AC27" s="70" t="str">
        <f>IF(A27="","",COUNTIFS(Companies!$A$6:$A$55,A27))</f>
        <v/>
      </c>
    </row>
    <row r="28" ht="18.75" customHeight="1">
      <c r="A28" s="70"/>
      <c r="B28" s="70" t="str">
        <f t="array" ref="B28">IF(A28="","",IF(AC28&lt;&gt;1,"Unmatched issuer",INDEX(Companies!$C$6:$C$55,MATCH(A28,Companies!$A$6:$A$55,0))))</f>
        <v/>
      </c>
      <c r="C28" s="70" t="str">
        <f t="array" ref="C28">IF(A28="","",IF(AC28&lt;&gt;1,0,IF(AND(INDEX(Companies!$R$6:$R$55,MATCH(A28,Companies!$A$6:$A$55,0))=1,INDEX(Companies!$I$6:$I$55,MATCH(A28,Companies!$A$6:$A$55,0))&gt;=MAX(10,Rules!$B$22)),1,0)))</f>
        <v/>
      </c>
      <c r="D28" s="70" t="str">
        <f t="array" ref="D28">IF(A28="","",IF(AC28&lt;&gt;1,"n.a.",IF(ISNUMBER(INDEX(Companies!$I$6:$I$55,MATCH(A28,Companies!$A$6:$A$55,0))),INDEX(Companies!$I$6:$I$55,MATCH(A28,Companies!$A$6:$A$55,0)),"n.a.")))</f>
        <v/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2"/>
      <c r="Q28" s="72"/>
      <c r="R28" s="72"/>
      <c r="S28" s="73"/>
      <c r="T28" s="73"/>
      <c r="U28" s="73"/>
      <c r="V28" s="74"/>
      <c r="W28" s="74"/>
      <c r="X28" s="70" t="str">
        <f t="shared" si="1"/>
        <v/>
      </c>
      <c r="Y28" s="70" t="str">
        <f t="array" ref="Y28">IF(A28="","",IF(AC28&lt;&gt;1,0,IF(AND(C28=1,X28=1,ISNUMBER(E28),E28&gt;0,ISNUMBER(P28),P28=Rules!$B$6,P28=INDEX(Companies!$J$6:$J$55,MATCH(A28,Companies!$A$6:$A$55,0)),ISNUMBER(Q28),Q28&lt;=Rules!$B$6,Rules!$B$6-Q28&lt;=Rules!$B$11,ISNUMBER(R28),ABS(R28-Valuation!$B$11)&lt;=31,S28&lt;&gt;"",T28&lt;&gt;"",U28&lt;&gt;"",V28="Yes",W28=Valuation!$B$10),1,0)))</f>
        <v/>
      </c>
      <c r="Z28" s="70" t="str">
        <f t="shared" si="2"/>
        <v/>
      </c>
      <c r="AA28" s="70" t="str">
        <f t="shared" si="3"/>
        <v/>
      </c>
      <c r="AB28" s="70" t="str">
        <f t="shared" si="4"/>
        <v/>
      </c>
      <c r="AC28" s="70" t="str">
        <f>IF(A28="","",COUNTIFS(Companies!$A$6:$A$55,A28))</f>
        <v/>
      </c>
    </row>
    <row r="29" ht="18.75" customHeight="1">
      <c r="A29" s="70"/>
      <c r="B29" s="70" t="str">
        <f t="array" ref="B29">IF(A29="","",IF(AC29&lt;&gt;1,"Unmatched issuer",INDEX(Companies!$C$6:$C$55,MATCH(A29,Companies!$A$6:$A$55,0))))</f>
        <v/>
      </c>
      <c r="C29" s="70" t="str">
        <f t="array" ref="C29">IF(A29="","",IF(AC29&lt;&gt;1,0,IF(AND(INDEX(Companies!$R$6:$R$55,MATCH(A29,Companies!$A$6:$A$55,0))=1,INDEX(Companies!$I$6:$I$55,MATCH(A29,Companies!$A$6:$A$55,0))&gt;=MAX(10,Rules!$B$22)),1,0)))</f>
        <v/>
      </c>
      <c r="D29" s="70" t="str">
        <f t="array" ref="D29">IF(A29="","",IF(AC29&lt;&gt;1,"n.a.",IF(ISNUMBER(INDEX(Companies!$I$6:$I$55,MATCH(A29,Companies!$A$6:$A$55,0))),INDEX(Companies!$I$6:$I$55,MATCH(A29,Companies!$A$6:$A$55,0)),"n.a.")))</f>
        <v/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2"/>
      <c r="Q29" s="72"/>
      <c r="R29" s="72"/>
      <c r="S29" s="73"/>
      <c r="T29" s="73"/>
      <c r="U29" s="73"/>
      <c r="V29" s="74"/>
      <c r="W29" s="74"/>
      <c r="X29" s="70" t="str">
        <f t="shared" si="1"/>
        <v/>
      </c>
      <c r="Y29" s="70" t="str">
        <f t="array" ref="Y29">IF(A29="","",IF(AC29&lt;&gt;1,0,IF(AND(C29=1,X29=1,ISNUMBER(E29),E29&gt;0,ISNUMBER(P29),P29=Rules!$B$6,P29=INDEX(Companies!$J$6:$J$55,MATCH(A29,Companies!$A$6:$A$55,0)),ISNUMBER(Q29),Q29&lt;=Rules!$B$6,Rules!$B$6-Q29&lt;=Rules!$B$11,ISNUMBER(R29),ABS(R29-Valuation!$B$11)&lt;=31,S29&lt;&gt;"",T29&lt;&gt;"",U29&lt;&gt;"",V29="Yes",W29=Valuation!$B$10),1,0)))</f>
        <v/>
      </c>
      <c r="Z29" s="70" t="str">
        <f t="shared" si="2"/>
        <v/>
      </c>
      <c r="AA29" s="70" t="str">
        <f t="shared" si="3"/>
        <v/>
      </c>
      <c r="AB29" s="70" t="str">
        <f t="shared" si="4"/>
        <v/>
      </c>
      <c r="AC29" s="70" t="str">
        <f>IF(A29="","",COUNTIFS(Companies!$A$6:$A$55,A29))</f>
        <v/>
      </c>
    </row>
    <row r="30" ht="18.75" customHeight="1">
      <c r="A30" s="70"/>
      <c r="B30" s="70" t="str">
        <f t="array" ref="B30">IF(A30="","",IF(AC30&lt;&gt;1,"Unmatched issuer",INDEX(Companies!$C$6:$C$55,MATCH(A30,Companies!$A$6:$A$55,0))))</f>
        <v/>
      </c>
      <c r="C30" s="70" t="str">
        <f t="array" ref="C30">IF(A30="","",IF(AC30&lt;&gt;1,0,IF(AND(INDEX(Companies!$R$6:$R$55,MATCH(A30,Companies!$A$6:$A$55,0))=1,INDEX(Companies!$I$6:$I$55,MATCH(A30,Companies!$A$6:$A$55,0))&gt;=MAX(10,Rules!$B$22)),1,0)))</f>
        <v/>
      </c>
      <c r="D30" s="70" t="str">
        <f t="array" ref="D30">IF(A30="","",IF(AC30&lt;&gt;1,"n.a.",IF(ISNUMBER(INDEX(Companies!$I$6:$I$55,MATCH(A30,Companies!$A$6:$A$55,0))),INDEX(Companies!$I$6:$I$55,MATCH(A30,Companies!$A$6:$A$55,0)),"n.a.")))</f>
        <v/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2"/>
      <c r="Q30" s="72"/>
      <c r="R30" s="72"/>
      <c r="S30" s="73"/>
      <c r="T30" s="73"/>
      <c r="U30" s="73"/>
      <c r="V30" s="74"/>
      <c r="W30" s="74"/>
      <c r="X30" s="70" t="str">
        <f t="shared" si="1"/>
        <v/>
      </c>
      <c r="Y30" s="70" t="str">
        <f t="array" ref="Y30">IF(A30="","",IF(AC30&lt;&gt;1,0,IF(AND(C30=1,X30=1,ISNUMBER(E30),E30&gt;0,ISNUMBER(P30),P30=Rules!$B$6,P30=INDEX(Companies!$J$6:$J$55,MATCH(A30,Companies!$A$6:$A$55,0)),ISNUMBER(Q30),Q30&lt;=Rules!$B$6,Rules!$B$6-Q30&lt;=Rules!$B$11,ISNUMBER(R30),ABS(R30-Valuation!$B$11)&lt;=31,S30&lt;&gt;"",T30&lt;&gt;"",U30&lt;&gt;"",V30="Yes",W30=Valuation!$B$10),1,0)))</f>
        <v/>
      </c>
      <c r="Z30" s="70" t="str">
        <f t="shared" si="2"/>
        <v/>
      </c>
      <c r="AA30" s="70" t="str">
        <f t="shared" si="3"/>
        <v/>
      </c>
      <c r="AB30" s="70" t="str">
        <f t="shared" si="4"/>
        <v/>
      </c>
      <c r="AC30" s="70" t="str">
        <f>IF(A30="","",COUNTIFS(Companies!$A$6:$A$55,A30))</f>
        <v/>
      </c>
    </row>
    <row r="31" ht="18.75" customHeight="1">
      <c r="A31" s="70"/>
      <c r="B31" s="70" t="str">
        <f t="array" ref="B31">IF(A31="","",IF(AC31&lt;&gt;1,"Unmatched issuer",INDEX(Companies!$C$6:$C$55,MATCH(A31,Companies!$A$6:$A$55,0))))</f>
        <v/>
      </c>
      <c r="C31" s="70" t="str">
        <f t="array" ref="C31">IF(A31="","",IF(AC31&lt;&gt;1,0,IF(AND(INDEX(Companies!$R$6:$R$55,MATCH(A31,Companies!$A$6:$A$55,0))=1,INDEX(Companies!$I$6:$I$55,MATCH(A31,Companies!$A$6:$A$55,0))&gt;=MAX(10,Rules!$B$22)),1,0)))</f>
        <v/>
      </c>
      <c r="D31" s="70" t="str">
        <f t="array" ref="D31">IF(A31="","",IF(AC31&lt;&gt;1,"n.a.",IF(ISNUMBER(INDEX(Companies!$I$6:$I$55,MATCH(A31,Companies!$A$6:$A$55,0))),INDEX(Companies!$I$6:$I$55,MATCH(A31,Companies!$A$6:$A$55,0)),"n.a.")))</f>
        <v/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2"/>
      <c r="Q31" s="72"/>
      <c r="R31" s="72"/>
      <c r="S31" s="73"/>
      <c r="T31" s="73"/>
      <c r="U31" s="73"/>
      <c r="V31" s="74"/>
      <c r="W31" s="74"/>
      <c r="X31" s="70" t="str">
        <f t="shared" si="1"/>
        <v/>
      </c>
      <c r="Y31" s="70" t="str">
        <f t="array" ref="Y31">IF(A31="","",IF(AC31&lt;&gt;1,0,IF(AND(C31=1,X31=1,ISNUMBER(E31),E31&gt;0,ISNUMBER(P31),P31=Rules!$B$6,P31=INDEX(Companies!$J$6:$J$55,MATCH(A31,Companies!$A$6:$A$55,0)),ISNUMBER(Q31),Q31&lt;=Rules!$B$6,Rules!$B$6-Q31&lt;=Rules!$B$11,ISNUMBER(R31),ABS(R31-Valuation!$B$11)&lt;=31,S31&lt;&gt;"",T31&lt;&gt;"",U31&lt;&gt;"",V31="Yes",W31=Valuation!$B$10),1,0)))</f>
        <v/>
      </c>
      <c r="Z31" s="70" t="str">
        <f t="shared" si="2"/>
        <v/>
      </c>
      <c r="AA31" s="70" t="str">
        <f t="shared" si="3"/>
        <v/>
      </c>
      <c r="AB31" s="70" t="str">
        <f t="shared" si="4"/>
        <v/>
      </c>
      <c r="AC31" s="70" t="str">
        <f>IF(A31="","",COUNTIFS(Companies!$A$6:$A$55,A31))</f>
        <v/>
      </c>
    </row>
    <row r="32" ht="18.75" customHeight="1">
      <c r="A32" s="70"/>
      <c r="B32" s="70" t="str">
        <f t="array" ref="B32">IF(A32="","",IF(AC32&lt;&gt;1,"Unmatched issuer",INDEX(Companies!$C$6:$C$55,MATCH(A32,Companies!$A$6:$A$55,0))))</f>
        <v/>
      </c>
      <c r="C32" s="70" t="str">
        <f t="array" ref="C32">IF(A32="","",IF(AC32&lt;&gt;1,0,IF(AND(INDEX(Companies!$R$6:$R$55,MATCH(A32,Companies!$A$6:$A$55,0))=1,INDEX(Companies!$I$6:$I$55,MATCH(A32,Companies!$A$6:$A$55,0))&gt;=MAX(10,Rules!$B$22)),1,0)))</f>
        <v/>
      </c>
      <c r="D32" s="70" t="str">
        <f t="array" ref="D32">IF(A32="","",IF(AC32&lt;&gt;1,"n.a.",IF(ISNUMBER(INDEX(Companies!$I$6:$I$55,MATCH(A32,Companies!$A$6:$A$55,0))),INDEX(Companies!$I$6:$I$55,MATCH(A32,Companies!$A$6:$A$55,0)),"n.a.")))</f>
        <v/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2"/>
      <c r="Q32" s="72"/>
      <c r="R32" s="72"/>
      <c r="S32" s="73"/>
      <c r="T32" s="73"/>
      <c r="U32" s="73"/>
      <c r="V32" s="74"/>
      <c r="W32" s="74"/>
      <c r="X32" s="70" t="str">
        <f t="shared" si="1"/>
        <v/>
      </c>
      <c r="Y32" s="70" t="str">
        <f t="array" ref="Y32">IF(A32="","",IF(AC32&lt;&gt;1,0,IF(AND(C32=1,X32=1,ISNUMBER(E32),E32&gt;0,ISNUMBER(P32),P32=Rules!$B$6,P32=INDEX(Companies!$J$6:$J$55,MATCH(A32,Companies!$A$6:$A$55,0)),ISNUMBER(Q32),Q32&lt;=Rules!$B$6,Rules!$B$6-Q32&lt;=Rules!$B$11,ISNUMBER(R32),ABS(R32-Valuation!$B$11)&lt;=31,S32&lt;&gt;"",T32&lt;&gt;"",U32&lt;&gt;"",V32="Yes",W32=Valuation!$B$10),1,0)))</f>
        <v/>
      </c>
      <c r="Z32" s="70" t="str">
        <f t="shared" si="2"/>
        <v/>
      </c>
      <c r="AA32" s="70" t="str">
        <f t="shared" si="3"/>
        <v/>
      </c>
      <c r="AB32" s="70" t="str">
        <f t="shared" si="4"/>
        <v/>
      </c>
      <c r="AC32" s="70" t="str">
        <f>IF(A32="","",COUNTIFS(Companies!$A$6:$A$55,A32))</f>
        <v/>
      </c>
    </row>
    <row r="33" ht="18.75" customHeight="1">
      <c r="A33" s="70"/>
      <c r="B33" s="70" t="str">
        <f t="array" ref="B33">IF(A33="","",IF(AC33&lt;&gt;1,"Unmatched issuer",INDEX(Companies!$C$6:$C$55,MATCH(A33,Companies!$A$6:$A$55,0))))</f>
        <v/>
      </c>
      <c r="C33" s="70" t="str">
        <f t="array" ref="C33">IF(A33="","",IF(AC33&lt;&gt;1,0,IF(AND(INDEX(Companies!$R$6:$R$55,MATCH(A33,Companies!$A$6:$A$55,0))=1,INDEX(Companies!$I$6:$I$55,MATCH(A33,Companies!$A$6:$A$55,0))&gt;=MAX(10,Rules!$B$22)),1,0)))</f>
        <v/>
      </c>
      <c r="D33" s="70" t="str">
        <f t="array" ref="D33">IF(A33="","",IF(AC33&lt;&gt;1,"n.a.",IF(ISNUMBER(INDEX(Companies!$I$6:$I$55,MATCH(A33,Companies!$A$6:$A$55,0))),INDEX(Companies!$I$6:$I$55,MATCH(A33,Companies!$A$6:$A$55,0)),"n.a.")))</f>
        <v/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2"/>
      <c r="Q33" s="72"/>
      <c r="R33" s="72"/>
      <c r="S33" s="73"/>
      <c r="T33" s="73"/>
      <c r="U33" s="73"/>
      <c r="V33" s="74"/>
      <c r="W33" s="74"/>
      <c r="X33" s="70" t="str">
        <f t="shared" si="1"/>
        <v/>
      </c>
      <c r="Y33" s="70" t="str">
        <f t="array" ref="Y33">IF(A33="","",IF(AC33&lt;&gt;1,0,IF(AND(C33=1,X33=1,ISNUMBER(E33),E33&gt;0,ISNUMBER(P33),P33=Rules!$B$6,P33=INDEX(Companies!$J$6:$J$55,MATCH(A33,Companies!$A$6:$A$55,0)),ISNUMBER(Q33),Q33&lt;=Rules!$B$6,Rules!$B$6-Q33&lt;=Rules!$B$11,ISNUMBER(R33),ABS(R33-Valuation!$B$11)&lt;=31,S33&lt;&gt;"",T33&lt;&gt;"",U33&lt;&gt;"",V33="Yes",W33=Valuation!$B$10),1,0)))</f>
        <v/>
      </c>
      <c r="Z33" s="70" t="str">
        <f t="shared" si="2"/>
        <v/>
      </c>
      <c r="AA33" s="70" t="str">
        <f t="shared" si="3"/>
        <v/>
      </c>
      <c r="AB33" s="70" t="str">
        <f t="shared" si="4"/>
        <v/>
      </c>
      <c r="AC33" s="70" t="str">
        <f>IF(A33="","",COUNTIFS(Companies!$A$6:$A$55,A33))</f>
        <v/>
      </c>
    </row>
    <row r="34" ht="18.75" customHeight="1">
      <c r="A34" s="70"/>
      <c r="B34" s="70" t="str">
        <f t="array" ref="B34">IF(A34="","",IF(AC34&lt;&gt;1,"Unmatched issuer",INDEX(Companies!$C$6:$C$55,MATCH(A34,Companies!$A$6:$A$55,0))))</f>
        <v/>
      </c>
      <c r="C34" s="70" t="str">
        <f t="array" ref="C34">IF(A34="","",IF(AC34&lt;&gt;1,0,IF(AND(INDEX(Companies!$R$6:$R$55,MATCH(A34,Companies!$A$6:$A$55,0))=1,INDEX(Companies!$I$6:$I$55,MATCH(A34,Companies!$A$6:$A$55,0))&gt;=MAX(10,Rules!$B$22)),1,0)))</f>
        <v/>
      </c>
      <c r="D34" s="70" t="str">
        <f t="array" ref="D34">IF(A34="","",IF(AC34&lt;&gt;1,"n.a.",IF(ISNUMBER(INDEX(Companies!$I$6:$I$55,MATCH(A34,Companies!$A$6:$A$55,0))),INDEX(Companies!$I$6:$I$55,MATCH(A34,Companies!$A$6:$A$55,0)),"n.a.")))</f>
        <v/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2"/>
      <c r="Q34" s="72"/>
      <c r="R34" s="72"/>
      <c r="S34" s="73"/>
      <c r="T34" s="73"/>
      <c r="U34" s="73"/>
      <c r="V34" s="74"/>
      <c r="W34" s="74"/>
      <c r="X34" s="70" t="str">
        <f t="shared" si="1"/>
        <v/>
      </c>
      <c r="Y34" s="70" t="str">
        <f t="array" ref="Y34">IF(A34="","",IF(AC34&lt;&gt;1,0,IF(AND(C34=1,X34=1,ISNUMBER(E34),E34&gt;0,ISNUMBER(P34),P34=Rules!$B$6,P34=INDEX(Companies!$J$6:$J$55,MATCH(A34,Companies!$A$6:$A$55,0)),ISNUMBER(Q34),Q34&lt;=Rules!$B$6,Rules!$B$6-Q34&lt;=Rules!$B$11,ISNUMBER(R34),ABS(R34-Valuation!$B$11)&lt;=31,S34&lt;&gt;"",T34&lt;&gt;"",U34&lt;&gt;"",V34="Yes",W34=Valuation!$B$10),1,0)))</f>
        <v/>
      </c>
      <c r="Z34" s="70" t="str">
        <f t="shared" si="2"/>
        <v/>
      </c>
      <c r="AA34" s="70" t="str">
        <f t="shared" si="3"/>
        <v/>
      </c>
      <c r="AB34" s="70" t="str">
        <f t="shared" si="4"/>
        <v/>
      </c>
      <c r="AC34" s="70" t="str">
        <f>IF(A34="","",COUNTIFS(Companies!$A$6:$A$55,A34))</f>
        <v/>
      </c>
    </row>
    <row r="35" ht="18.75" customHeight="1">
      <c r="A35" s="70"/>
      <c r="B35" s="70" t="str">
        <f t="array" ref="B35">IF(A35="","",IF(AC35&lt;&gt;1,"Unmatched issuer",INDEX(Companies!$C$6:$C$55,MATCH(A35,Companies!$A$6:$A$55,0))))</f>
        <v/>
      </c>
      <c r="C35" s="70" t="str">
        <f t="array" ref="C35">IF(A35="","",IF(AC35&lt;&gt;1,0,IF(AND(INDEX(Companies!$R$6:$R$55,MATCH(A35,Companies!$A$6:$A$55,0))=1,INDEX(Companies!$I$6:$I$55,MATCH(A35,Companies!$A$6:$A$55,0))&gt;=MAX(10,Rules!$B$22)),1,0)))</f>
        <v/>
      </c>
      <c r="D35" s="70" t="str">
        <f t="array" ref="D35">IF(A35="","",IF(AC35&lt;&gt;1,"n.a.",IF(ISNUMBER(INDEX(Companies!$I$6:$I$55,MATCH(A35,Companies!$A$6:$A$55,0))),INDEX(Companies!$I$6:$I$55,MATCH(A35,Companies!$A$6:$A$55,0)),"n.a.")))</f>
        <v/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2"/>
      <c r="Q35" s="72"/>
      <c r="R35" s="72"/>
      <c r="S35" s="73"/>
      <c r="T35" s="73"/>
      <c r="U35" s="73"/>
      <c r="V35" s="74"/>
      <c r="W35" s="74"/>
      <c r="X35" s="70" t="str">
        <f t="shared" si="1"/>
        <v/>
      </c>
      <c r="Y35" s="70" t="str">
        <f t="array" ref="Y35">IF(A35="","",IF(AC35&lt;&gt;1,0,IF(AND(C35=1,X35=1,ISNUMBER(E35),E35&gt;0,ISNUMBER(P35),P35=Rules!$B$6,P35=INDEX(Companies!$J$6:$J$55,MATCH(A35,Companies!$A$6:$A$55,0)),ISNUMBER(Q35),Q35&lt;=Rules!$B$6,Rules!$B$6-Q35&lt;=Rules!$B$11,ISNUMBER(R35),ABS(R35-Valuation!$B$11)&lt;=31,S35&lt;&gt;"",T35&lt;&gt;"",U35&lt;&gt;"",V35="Yes",W35=Valuation!$B$10),1,0)))</f>
        <v/>
      </c>
      <c r="Z35" s="70" t="str">
        <f t="shared" si="2"/>
        <v/>
      </c>
      <c r="AA35" s="70" t="str">
        <f t="shared" si="3"/>
        <v/>
      </c>
      <c r="AB35" s="70" t="str">
        <f t="shared" si="4"/>
        <v/>
      </c>
      <c r="AC35" s="70" t="str">
        <f>IF(A35="","",COUNTIFS(Companies!$A$6:$A$55,A35))</f>
        <v/>
      </c>
    </row>
    <row r="36" ht="18.75" customHeight="1">
      <c r="A36" s="70"/>
      <c r="B36" s="70" t="str">
        <f t="array" ref="B36">IF(A36="","",IF(AC36&lt;&gt;1,"Unmatched issuer",INDEX(Companies!$C$6:$C$55,MATCH(A36,Companies!$A$6:$A$55,0))))</f>
        <v/>
      </c>
      <c r="C36" s="70" t="str">
        <f t="array" ref="C36">IF(A36="","",IF(AC36&lt;&gt;1,0,IF(AND(INDEX(Companies!$R$6:$R$55,MATCH(A36,Companies!$A$6:$A$55,0))=1,INDEX(Companies!$I$6:$I$55,MATCH(A36,Companies!$A$6:$A$55,0))&gt;=MAX(10,Rules!$B$22)),1,0)))</f>
        <v/>
      </c>
      <c r="D36" s="70" t="str">
        <f t="array" ref="D36">IF(A36="","",IF(AC36&lt;&gt;1,"n.a.",IF(ISNUMBER(INDEX(Companies!$I$6:$I$55,MATCH(A36,Companies!$A$6:$A$55,0))),INDEX(Companies!$I$6:$I$55,MATCH(A36,Companies!$A$6:$A$55,0)),"n.a.")))</f>
        <v/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2"/>
      <c r="Q36" s="72"/>
      <c r="R36" s="72"/>
      <c r="S36" s="73"/>
      <c r="T36" s="73"/>
      <c r="U36" s="73"/>
      <c r="V36" s="74"/>
      <c r="W36" s="74"/>
      <c r="X36" s="70" t="str">
        <f t="shared" si="1"/>
        <v/>
      </c>
      <c r="Y36" s="70" t="str">
        <f t="array" ref="Y36">IF(A36="","",IF(AC36&lt;&gt;1,0,IF(AND(C36=1,X36=1,ISNUMBER(E36),E36&gt;0,ISNUMBER(P36),P36=Rules!$B$6,P36=INDEX(Companies!$J$6:$J$55,MATCH(A36,Companies!$A$6:$A$55,0)),ISNUMBER(Q36),Q36&lt;=Rules!$B$6,Rules!$B$6-Q36&lt;=Rules!$B$11,ISNUMBER(R36),ABS(R36-Valuation!$B$11)&lt;=31,S36&lt;&gt;"",T36&lt;&gt;"",U36&lt;&gt;"",V36="Yes",W36=Valuation!$B$10),1,0)))</f>
        <v/>
      </c>
      <c r="Z36" s="70" t="str">
        <f t="shared" si="2"/>
        <v/>
      </c>
      <c r="AA36" s="70" t="str">
        <f t="shared" si="3"/>
        <v/>
      </c>
      <c r="AB36" s="70" t="str">
        <f t="shared" si="4"/>
        <v/>
      </c>
      <c r="AC36" s="70" t="str">
        <f>IF(A36="","",COUNTIFS(Companies!$A$6:$A$55,A36))</f>
        <v/>
      </c>
    </row>
    <row r="37" ht="18.75" customHeight="1">
      <c r="A37" s="70"/>
      <c r="B37" s="70" t="str">
        <f t="array" ref="B37">IF(A37="","",IF(AC37&lt;&gt;1,"Unmatched issuer",INDEX(Companies!$C$6:$C$55,MATCH(A37,Companies!$A$6:$A$55,0))))</f>
        <v/>
      </c>
      <c r="C37" s="70" t="str">
        <f t="array" ref="C37">IF(A37="","",IF(AC37&lt;&gt;1,0,IF(AND(INDEX(Companies!$R$6:$R$55,MATCH(A37,Companies!$A$6:$A$55,0))=1,INDEX(Companies!$I$6:$I$55,MATCH(A37,Companies!$A$6:$A$55,0))&gt;=MAX(10,Rules!$B$22)),1,0)))</f>
        <v/>
      </c>
      <c r="D37" s="70" t="str">
        <f t="array" ref="D37">IF(A37="","",IF(AC37&lt;&gt;1,"n.a.",IF(ISNUMBER(INDEX(Companies!$I$6:$I$55,MATCH(A37,Companies!$A$6:$A$55,0))),INDEX(Companies!$I$6:$I$55,MATCH(A37,Companies!$A$6:$A$55,0)),"n.a.")))</f>
        <v/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2"/>
      <c r="Q37" s="72"/>
      <c r="R37" s="72"/>
      <c r="S37" s="73"/>
      <c r="T37" s="73"/>
      <c r="U37" s="73"/>
      <c r="V37" s="74"/>
      <c r="W37" s="74"/>
      <c r="X37" s="70" t="str">
        <f t="shared" si="1"/>
        <v/>
      </c>
      <c r="Y37" s="70" t="str">
        <f t="array" ref="Y37">IF(A37="","",IF(AC37&lt;&gt;1,0,IF(AND(C37=1,X37=1,ISNUMBER(E37),E37&gt;0,ISNUMBER(P37),P37=Rules!$B$6,P37=INDEX(Companies!$J$6:$J$55,MATCH(A37,Companies!$A$6:$A$55,0)),ISNUMBER(Q37),Q37&lt;=Rules!$B$6,Rules!$B$6-Q37&lt;=Rules!$B$11,ISNUMBER(R37),ABS(R37-Valuation!$B$11)&lt;=31,S37&lt;&gt;"",T37&lt;&gt;"",U37&lt;&gt;"",V37="Yes",W37=Valuation!$B$10),1,0)))</f>
        <v/>
      </c>
      <c r="Z37" s="70" t="str">
        <f t="shared" si="2"/>
        <v/>
      </c>
      <c r="AA37" s="70" t="str">
        <f t="shared" si="3"/>
        <v/>
      </c>
      <c r="AB37" s="70" t="str">
        <f t="shared" si="4"/>
        <v/>
      </c>
      <c r="AC37" s="70" t="str">
        <f>IF(A37="","",COUNTIFS(Companies!$A$6:$A$55,A37))</f>
        <v/>
      </c>
    </row>
    <row r="38" ht="18.75" customHeight="1">
      <c r="A38" s="70"/>
      <c r="B38" s="70" t="str">
        <f t="array" ref="B38">IF(A38="","",IF(AC38&lt;&gt;1,"Unmatched issuer",INDEX(Companies!$C$6:$C$55,MATCH(A38,Companies!$A$6:$A$55,0))))</f>
        <v/>
      </c>
      <c r="C38" s="70" t="str">
        <f t="array" ref="C38">IF(A38="","",IF(AC38&lt;&gt;1,0,IF(AND(INDEX(Companies!$R$6:$R$55,MATCH(A38,Companies!$A$6:$A$55,0))=1,INDEX(Companies!$I$6:$I$55,MATCH(A38,Companies!$A$6:$A$55,0))&gt;=MAX(10,Rules!$B$22)),1,0)))</f>
        <v/>
      </c>
      <c r="D38" s="70" t="str">
        <f t="array" ref="D38">IF(A38="","",IF(AC38&lt;&gt;1,"n.a.",IF(ISNUMBER(INDEX(Companies!$I$6:$I$55,MATCH(A38,Companies!$A$6:$A$55,0))),INDEX(Companies!$I$6:$I$55,MATCH(A38,Companies!$A$6:$A$55,0)),"n.a.")))</f>
        <v/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2"/>
      <c r="Q38" s="72"/>
      <c r="R38" s="72"/>
      <c r="S38" s="73"/>
      <c r="T38" s="73"/>
      <c r="U38" s="73"/>
      <c r="V38" s="74"/>
      <c r="W38" s="74"/>
      <c r="X38" s="70" t="str">
        <f t="shared" si="1"/>
        <v/>
      </c>
      <c r="Y38" s="70" t="str">
        <f t="array" ref="Y38">IF(A38="","",IF(AC38&lt;&gt;1,0,IF(AND(C38=1,X38=1,ISNUMBER(E38),E38&gt;0,ISNUMBER(P38),P38=Rules!$B$6,P38=INDEX(Companies!$J$6:$J$55,MATCH(A38,Companies!$A$6:$A$55,0)),ISNUMBER(Q38),Q38&lt;=Rules!$B$6,Rules!$B$6-Q38&lt;=Rules!$B$11,ISNUMBER(R38),ABS(R38-Valuation!$B$11)&lt;=31,S38&lt;&gt;"",T38&lt;&gt;"",U38&lt;&gt;"",V38="Yes",W38=Valuation!$B$10),1,0)))</f>
        <v/>
      </c>
      <c r="Z38" s="70" t="str">
        <f t="shared" si="2"/>
        <v/>
      </c>
      <c r="AA38" s="70" t="str">
        <f t="shared" si="3"/>
        <v/>
      </c>
      <c r="AB38" s="70" t="str">
        <f t="shared" si="4"/>
        <v/>
      </c>
      <c r="AC38" s="70" t="str">
        <f>IF(A38="","",COUNTIFS(Companies!$A$6:$A$55,A38))</f>
        <v/>
      </c>
    </row>
    <row r="39" ht="18.75" customHeight="1">
      <c r="A39" s="70"/>
      <c r="B39" s="70" t="str">
        <f t="array" ref="B39">IF(A39="","",IF(AC39&lt;&gt;1,"Unmatched issuer",INDEX(Companies!$C$6:$C$55,MATCH(A39,Companies!$A$6:$A$55,0))))</f>
        <v/>
      </c>
      <c r="C39" s="70" t="str">
        <f t="array" ref="C39">IF(A39="","",IF(AC39&lt;&gt;1,0,IF(AND(INDEX(Companies!$R$6:$R$55,MATCH(A39,Companies!$A$6:$A$55,0))=1,INDEX(Companies!$I$6:$I$55,MATCH(A39,Companies!$A$6:$A$55,0))&gt;=MAX(10,Rules!$B$22)),1,0)))</f>
        <v/>
      </c>
      <c r="D39" s="70" t="str">
        <f t="array" ref="D39">IF(A39="","",IF(AC39&lt;&gt;1,"n.a.",IF(ISNUMBER(INDEX(Companies!$I$6:$I$55,MATCH(A39,Companies!$A$6:$A$55,0))),INDEX(Companies!$I$6:$I$55,MATCH(A39,Companies!$A$6:$A$55,0)),"n.a.")))</f>
        <v/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2"/>
      <c r="Q39" s="72"/>
      <c r="R39" s="72"/>
      <c r="S39" s="73"/>
      <c r="T39" s="73"/>
      <c r="U39" s="73"/>
      <c r="V39" s="74"/>
      <c r="W39" s="74"/>
      <c r="X39" s="70" t="str">
        <f t="shared" si="1"/>
        <v/>
      </c>
      <c r="Y39" s="70" t="str">
        <f t="array" ref="Y39">IF(A39="","",IF(AC39&lt;&gt;1,0,IF(AND(C39=1,X39=1,ISNUMBER(E39),E39&gt;0,ISNUMBER(P39),P39=Rules!$B$6,P39=INDEX(Companies!$J$6:$J$55,MATCH(A39,Companies!$A$6:$A$55,0)),ISNUMBER(Q39),Q39&lt;=Rules!$B$6,Rules!$B$6-Q39&lt;=Rules!$B$11,ISNUMBER(R39),ABS(R39-Valuation!$B$11)&lt;=31,S39&lt;&gt;"",T39&lt;&gt;"",U39&lt;&gt;"",V39="Yes",W39=Valuation!$B$10),1,0)))</f>
        <v/>
      </c>
      <c r="Z39" s="70" t="str">
        <f t="shared" si="2"/>
        <v/>
      </c>
      <c r="AA39" s="70" t="str">
        <f t="shared" si="3"/>
        <v/>
      </c>
      <c r="AB39" s="70" t="str">
        <f t="shared" si="4"/>
        <v/>
      </c>
      <c r="AC39" s="70" t="str">
        <f>IF(A39="","",COUNTIFS(Companies!$A$6:$A$55,A39))</f>
        <v/>
      </c>
    </row>
    <row r="40" ht="18.75" customHeight="1">
      <c r="A40" s="70"/>
      <c r="B40" s="70" t="str">
        <f t="array" ref="B40">IF(A40="","",IF(AC40&lt;&gt;1,"Unmatched issuer",INDEX(Companies!$C$6:$C$55,MATCH(A40,Companies!$A$6:$A$55,0))))</f>
        <v/>
      </c>
      <c r="C40" s="70" t="str">
        <f t="array" ref="C40">IF(A40="","",IF(AC40&lt;&gt;1,0,IF(AND(INDEX(Companies!$R$6:$R$55,MATCH(A40,Companies!$A$6:$A$55,0))=1,INDEX(Companies!$I$6:$I$55,MATCH(A40,Companies!$A$6:$A$55,0))&gt;=MAX(10,Rules!$B$22)),1,0)))</f>
        <v/>
      </c>
      <c r="D40" s="70" t="str">
        <f t="array" ref="D40">IF(A40="","",IF(AC40&lt;&gt;1,"n.a.",IF(ISNUMBER(INDEX(Companies!$I$6:$I$55,MATCH(A40,Companies!$A$6:$A$55,0))),INDEX(Companies!$I$6:$I$55,MATCH(A40,Companies!$A$6:$A$55,0)),"n.a.")))</f>
        <v/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2"/>
      <c r="Q40" s="72"/>
      <c r="R40" s="72"/>
      <c r="S40" s="73"/>
      <c r="T40" s="73"/>
      <c r="U40" s="73"/>
      <c r="V40" s="74"/>
      <c r="W40" s="74"/>
      <c r="X40" s="70" t="str">
        <f t="shared" si="1"/>
        <v/>
      </c>
      <c r="Y40" s="70" t="str">
        <f t="array" ref="Y40">IF(A40="","",IF(AC40&lt;&gt;1,0,IF(AND(C40=1,X40=1,ISNUMBER(E40),E40&gt;0,ISNUMBER(P40),P40=Rules!$B$6,P40=INDEX(Companies!$J$6:$J$55,MATCH(A40,Companies!$A$6:$A$55,0)),ISNUMBER(Q40),Q40&lt;=Rules!$B$6,Rules!$B$6-Q40&lt;=Rules!$B$11,ISNUMBER(R40),ABS(R40-Valuation!$B$11)&lt;=31,S40&lt;&gt;"",T40&lt;&gt;"",U40&lt;&gt;"",V40="Yes",W40=Valuation!$B$10),1,0)))</f>
        <v/>
      </c>
      <c r="Z40" s="70" t="str">
        <f t="shared" si="2"/>
        <v/>
      </c>
      <c r="AA40" s="70" t="str">
        <f t="shared" si="3"/>
        <v/>
      </c>
      <c r="AB40" s="70" t="str">
        <f t="shared" si="4"/>
        <v/>
      </c>
      <c r="AC40" s="70" t="str">
        <f>IF(A40="","",COUNTIFS(Companies!$A$6:$A$55,A40))</f>
        <v/>
      </c>
    </row>
    <row r="41" ht="18.75" customHeight="1">
      <c r="A41" s="70"/>
      <c r="B41" s="70" t="str">
        <f t="array" ref="B41">IF(A41="","",IF(AC41&lt;&gt;1,"Unmatched issuer",INDEX(Companies!$C$6:$C$55,MATCH(A41,Companies!$A$6:$A$55,0))))</f>
        <v/>
      </c>
      <c r="C41" s="70" t="str">
        <f t="array" ref="C41">IF(A41="","",IF(AC41&lt;&gt;1,0,IF(AND(INDEX(Companies!$R$6:$R$55,MATCH(A41,Companies!$A$6:$A$55,0))=1,INDEX(Companies!$I$6:$I$55,MATCH(A41,Companies!$A$6:$A$55,0))&gt;=MAX(10,Rules!$B$22)),1,0)))</f>
        <v/>
      </c>
      <c r="D41" s="70" t="str">
        <f t="array" ref="D41">IF(A41="","",IF(AC41&lt;&gt;1,"n.a.",IF(ISNUMBER(INDEX(Companies!$I$6:$I$55,MATCH(A41,Companies!$A$6:$A$55,0))),INDEX(Companies!$I$6:$I$55,MATCH(A41,Companies!$A$6:$A$55,0)),"n.a.")))</f>
        <v/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2"/>
      <c r="Q41" s="72"/>
      <c r="R41" s="72"/>
      <c r="S41" s="73"/>
      <c r="T41" s="73"/>
      <c r="U41" s="73"/>
      <c r="V41" s="74"/>
      <c r="W41" s="74"/>
      <c r="X41" s="70" t="str">
        <f t="shared" si="1"/>
        <v/>
      </c>
      <c r="Y41" s="70" t="str">
        <f t="array" ref="Y41">IF(A41="","",IF(AC41&lt;&gt;1,0,IF(AND(C41=1,X41=1,ISNUMBER(E41),E41&gt;0,ISNUMBER(P41),P41=Rules!$B$6,P41=INDEX(Companies!$J$6:$J$55,MATCH(A41,Companies!$A$6:$A$55,0)),ISNUMBER(Q41),Q41&lt;=Rules!$B$6,Rules!$B$6-Q41&lt;=Rules!$B$11,ISNUMBER(R41),ABS(R41-Valuation!$B$11)&lt;=31,S41&lt;&gt;"",T41&lt;&gt;"",U41&lt;&gt;"",V41="Yes",W41=Valuation!$B$10),1,0)))</f>
        <v/>
      </c>
      <c r="Z41" s="70" t="str">
        <f t="shared" si="2"/>
        <v/>
      </c>
      <c r="AA41" s="70" t="str">
        <f t="shared" si="3"/>
        <v/>
      </c>
      <c r="AB41" s="70" t="str">
        <f t="shared" si="4"/>
        <v/>
      </c>
      <c r="AC41" s="70" t="str">
        <f>IF(A41="","",COUNTIFS(Companies!$A$6:$A$55,A41))</f>
        <v/>
      </c>
    </row>
    <row r="42" ht="18.75" customHeight="1">
      <c r="A42" s="70"/>
      <c r="B42" s="70" t="str">
        <f t="array" ref="B42">IF(A42="","",IF(AC42&lt;&gt;1,"Unmatched issuer",INDEX(Companies!$C$6:$C$55,MATCH(A42,Companies!$A$6:$A$55,0))))</f>
        <v/>
      </c>
      <c r="C42" s="70" t="str">
        <f t="array" ref="C42">IF(A42="","",IF(AC42&lt;&gt;1,0,IF(AND(INDEX(Companies!$R$6:$R$55,MATCH(A42,Companies!$A$6:$A$55,0))=1,INDEX(Companies!$I$6:$I$55,MATCH(A42,Companies!$A$6:$A$55,0))&gt;=MAX(10,Rules!$B$22)),1,0)))</f>
        <v/>
      </c>
      <c r="D42" s="70" t="str">
        <f t="array" ref="D42">IF(A42="","",IF(AC42&lt;&gt;1,"n.a.",IF(ISNUMBER(INDEX(Companies!$I$6:$I$55,MATCH(A42,Companies!$A$6:$A$55,0))),INDEX(Companies!$I$6:$I$55,MATCH(A42,Companies!$A$6:$A$55,0)),"n.a.")))</f>
        <v/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2"/>
      <c r="Q42" s="72"/>
      <c r="R42" s="72"/>
      <c r="S42" s="73"/>
      <c r="T42" s="73"/>
      <c r="U42" s="73"/>
      <c r="V42" s="74"/>
      <c r="W42" s="74"/>
      <c r="X42" s="70" t="str">
        <f t="shared" si="1"/>
        <v/>
      </c>
      <c r="Y42" s="70" t="str">
        <f t="array" ref="Y42">IF(A42="","",IF(AC42&lt;&gt;1,0,IF(AND(C42=1,X42=1,ISNUMBER(E42),E42&gt;0,ISNUMBER(P42),P42=Rules!$B$6,P42=INDEX(Companies!$J$6:$J$55,MATCH(A42,Companies!$A$6:$A$55,0)),ISNUMBER(Q42),Q42&lt;=Rules!$B$6,Rules!$B$6-Q42&lt;=Rules!$B$11,ISNUMBER(R42),ABS(R42-Valuation!$B$11)&lt;=31,S42&lt;&gt;"",T42&lt;&gt;"",U42&lt;&gt;"",V42="Yes",W42=Valuation!$B$10),1,0)))</f>
        <v/>
      </c>
      <c r="Z42" s="70" t="str">
        <f t="shared" si="2"/>
        <v/>
      </c>
      <c r="AA42" s="70" t="str">
        <f t="shared" si="3"/>
        <v/>
      </c>
      <c r="AB42" s="70" t="str">
        <f t="shared" si="4"/>
        <v/>
      </c>
      <c r="AC42" s="70" t="str">
        <f>IF(A42="","",COUNTIFS(Companies!$A$6:$A$55,A42))</f>
        <v/>
      </c>
    </row>
    <row r="43" ht="18.75" customHeight="1">
      <c r="A43" s="70"/>
      <c r="B43" s="70" t="str">
        <f t="array" ref="B43">IF(A43="","",IF(AC43&lt;&gt;1,"Unmatched issuer",INDEX(Companies!$C$6:$C$55,MATCH(A43,Companies!$A$6:$A$55,0))))</f>
        <v/>
      </c>
      <c r="C43" s="70" t="str">
        <f t="array" ref="C43">IF(A43="","",IF(AC43&lt;&gt;1,0,IF(AND(INDEX(Companies!$R$6:$R$55,MATCH(A43,Companies!$A$6:$A$55,0))=1,INDEX(Companies!$I$6:$I$55,MATCH(A43,Companies!$A$6:$A$55,0))&gt;=MAX(10,Rules!$B$22)),1,0)))</f>
        <v/>
      </c>
      <c r="D43" s="70" t="str">
        <f t="array" ref="D43">IF(A43="","",IF(AC43&lt;&gt;1,"n.a.",IF(ISNUMBER(INDEX(Companies!$I$6:$I$55,MATCH(A43,Companies!$A$6:$A$55,0))),INDEX(Companies!$I$6:$I$55,MATCH(A43,Companies!$A$6:$A$55,0)),"n.a.")))</f>
        <v/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2"/>
      <c r="Q43" s="72"/>
      <c r="R43" s="72"/>
      <c r="S43" s="73"/>
      <c r="T43" s="73"/>
      <c r="U43" s="73"/>
      <c r="V43" s="74"/>
      <c r="W43" s="74"/>
      <c r="X43" s="70" t="str">
        <f t="shared" si="1"/>
        <v/>
      </c>
      <c r="Y43" s="70" t="str">
        <f t="array" ref="Y43">IF(A43="","",IF(AC43&lt;&gt;1,0,IF(AND(C43=1,X43=1,ISNUMBER(E43),E43&gt;0,ISNUMBER(P43),P43=Rules!$B$6,P43=INDEX(Companies!$J$6:$J$55,MATCH(A43,Companies!$A$6:$A$55,0)),ISNUMBER(Q43),Q43&lt;=Rules!$B$6,Rules!$B$6-Q43&lt;=Rules!$B$11,ISNUMBER(R43),ABS(R43-Valuation!$B$11)&lt;=31,S43&lt;&gt;"",T43&lt;&gt;"",U43&lt;&gt;"",V43="Yes",W43=Valuation!$B$10),1,0)))</f>
        <v/>
      </c>
      <c r="Z43" s="70" t="str">
        <f t="shared" si="2"/>
        <v/>
      </c>
      <c r="AA43" s="70" t="str">
        <f t="shared" si="3"/>
        <v/>
      </c>
      <c r="AB43" s="70" t="str">
        <f t="shared" si="4"/>
        <v/>
      </c>
      <c r="AC43" s="70" t="str">
        <f>IF(A43="","",COUNTIFS(Companies!$A$6:$A$55,A43))</f>
        <v/>
      </c>
    </row>
    <row r="44" ht="18.75" customHeight="1">
      <c r="A44" s="70"/>
      <c r="B44" s="70" t="str">
        <f t="array" ref="B44">IF(A44="","",IF(AC44&lt;&gt;1,"Unmatched issuer",INDEX(Companies!$C$6:$C$55,MATCH(A44,Companies!$A$6:$A$55,0))))</f>
        <v/>
      </c>
      <c r="C44" s="70" t="str">
        <f t="array" ref="C44">IF(A44="","",IF(AC44&lt;&gt;1,0,IF(AND(INDEX(Companies!$R$6:$R$55,MATCH(A44,Companies!$A$6:$A$55,0))=1,INDEX(Companies!$I$6:$I$55,MATCH(A44,Companies!$A$6:$A$55,0))&gt;=MAX(10,Rules!$B$22)),1,0)))</f>
        <v/>
      </c>
      <c r="D44" s="70" t="str">
        <f t="array" ref="D44">IF(A44="","",IF(AC44&lt;&gt;1,"n.a.",IF(ISNUMBER(INDEX(Companies!$I$6:$I$55,MATCH(A44,Companies!$A$6:$A$55,0))),INDEX(Companies!$I$6:$I$55,MATCH(A44,Companies!$A$6:$A$55,0)),"n.a.")))</f>
        <v/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2"/>
      <c r="Q44" s="72"/>
      <c r="R44" s="72"/>
      <c r="S44" s="73"/>
      <c r="T44" s="73"/>
      <c r="U44" s="73"/>
      <c r="V44" s="74"/>
      <c r="W44" s="74"/>
      <c r="X44" s="70" t="str">
        <f t="shared" si="1"/>
        <v/>
      </c>
      <c r="Y44" s="70" t="str">
        <f t="array" ref="Y44">IF(A44="","",IF(AC44&lt;&gt;1,0,IF(AND(C44=1,X44=1,ISNUMBER(E44),E44&gt;0,ISNUMBER(P44),P44=Rules!$B$6,P44=INDEX(Companies!$J$6:$J$55,MATCH(A44,Companies!$A$6:$A$55,0)),ISNUMBER(Q44),Q44&lt;=Rules!$B$6,Rules!$B$6-Q44&lt;=Rules!$B$11,ISNUMBER(R44),ABS(R44-Valuation!$B$11)&lt;=31,S44&lt;&gt;"",T44&lt;&gt;"",U44&lt;&gt;"",V44="Yes",W44=Valuation!$B$10),1,0)))</f>
        <v/>
      </c>
      <c r="Z44" s="70" t="str">
        <f t="shared" si="2"/>
        <v/>
      </c>
      <c r="AA44" s="70" t="str">
        <f t="shared" si="3"/>
        <v/>
      </c>
      <c r="AB44" s="70" t="str">
        <f t="shared" si="4"/>
        <v/>
      </c>
      <c r="AC44" s="70" t="str">
        <f>IF(A44="","",COUNTIFS(Companies!$A$6:$A$55,A44))</f>
        <v/>
      </c>
    </row>
    <row r="45" ht="18.75" customHeight="1">
      <c r="A45" s="70"/>
      <c r="B45" s="70" t="str">
        <f t="array" ref="B45">IF(A45="","",IF(AC45&lt;&gt;1,"Unmatched issuer",INDEX(Companies!$C$6:$C$55,MATCH(A45,Companies!$A$6:$A$55,0))))</f>
        <v/>
      </c>
      <c r="C45" s="70" t="str">
        <f t="array" ref="C45">IF(A45="","",IF(AC45&lt;&gt;1,0,IF(AND(INDEX(Companies!$R$6:$R$55,MATCH(A45,Companies!$A$6:$A$55,0))=1,INDEX(Companies!$I$6:$I$55,MATCH(A45,Companies!$A$6:$A$55,0))&gt;=MAX(10,Rules!$B$22)),1,0)))</f>
        <v/>
      </c>
      <c r="D45" s="70" t="str">
        <f t="array" ref="D45">IF(A45="","",IF(AC45&lt;&gt;1,"n.a.",IF(ISNUMBER(INDEX(Companies!$I$6:$I$55,MATCH(A45,Companies!$A$6:$A$55,0))),INDEX(Companies!$I$6:$I$55,MATCH(A45,Companies!$A$6:$A$55,0)),"n.a.")))</f>
        <v/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2"/>
      <c r="Q45" s="72"/>
      <c r="R45" s="72"/>
      <c r="S45" s="73"/>
      <c r="T45" s="73"/>
      <c r="U45" s="73"/>
      <c r="V45" s="74"/>
      <c r="W45" s="74"/>
      <c r="X45" s="70" t="str">
        <f t="shared" si="1"/>
        <v/>
      </c>
      <c r="Y45" s="70" t="str">
        <f t="array" ref="Y45">IF(A45="","",IF(AC45&lt;&gt;1,0,IF(AND(C45=1,X45=1,ISNUMBER(E45),E45&gt;0,ISNUMBER(P45),P45=Rules!$B$6,P45=INDEX(Companies!$J$6:$J$55,MATCH(A45,Companies!$A$6:$A$55,0)),ISNUMBER(Q45),Q45&lt;=Rules!$B$6,Rules!$B$6-Q45&lt;=Rules!$B$11,ISNUMBER(R45),ABS(R45-Valuation!$B$11)&lt;=31,S45&lt;&gt;"",T45&lt;&gt;"",U45&lt;&gt;"",V45="Yes",W45=Valuation!$B$10),1,0)))</f>
        <v/>
      </c>
      <c r="Z45" s="70" t="str">
        <f t="shared" si="2"/>
        <v/>
      </c>
      <c r="AA45" s="70" t="str">
        <f t="shared" si="3"/>
        <v/>
      </c>
      <c r="AB45" s="70" t="str">
        <f t="shared" si="4"/>
        <v/>
      </c>
      <c r="AC45" s="70" t="str">
        <f>IF(A45="","",COUNTIFS(Companies!$A$6:$A$55,A45))</f>
        <v/>
      </c>
    </row>
    <row r="46" ht="18.75" customHeight="1">
      <c r="A46" s="70"/>
      <c r="B46" s="70" t="str">
        <f t="array" ref="B46">IF(A46="","",IF(AC46&lt;&gt;1,"Unmatched issuer",INDEX(Companies!$C$6:$C$55,MATCH(A46,Companies!$A$6:$A$55,0))))</f>
        <v/>
      </c>
      <c r="C46" s="70" t="str">
        <f t="array" ref="C46">IF(A46="","",IF(AC46&lt;&gt;1,0,IF(AND(INDEX(Companies!$R$6:$R$55,MATCH(A46,Companies!$A$6:$A$55,0))=1,INDEX(Companies!$I$6:$I$55,MATCH(A46,Companies!$A$6:$A$55,0))&gt;=MAX(10,Rules!$B$22)),1,0)))</f>
        <v/>
      </c>
      <c r="D46" s="70" t="str">
        <f t="array" ref="D46">IF(A46="","",IF(AC46&lt;&gt;1,"n.a.",IF(ISNUMBER(INDEX(Companies!$I$6:$I$55,MATCH(A46,Companies!$A$6:$A$55,0))),INDEX(Companies!$I$6:$I$55,MATCH(A46,Companies!$A$6:$A$55,0)),"n.a.")))</f>
        <v/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2"/>
      <c r="Q46" s="72"/>
      <c r="R46" s="72"/>
      <c r="S46" s="73"/>
      <c r="T46" s="73"/>
      <c r="U46" s="73"/>
      <c r="V46" s="74"/>
      <c r="W46" s="74"/>
      <c r="X46" s="70" t="str">
        <f t="shared" si="1"/>
        <v/>
      </c>
      <c r="Y46" s="70" t="str">
        <f t="array" ref="Y46">IF(A46="","",IF(AC46&lt;&gt;1,0,IF(AND(C46=1,X46=1,ISNUMBER(E46),E46&gt;0,ISNUMBER(P46),P46=Rules!$B$6,P46=INDEX(Companies!$J$6:$J$55,MATCH(A46,Companies!$A$6:$A$55,0)),ISNUMBER(Q46),Q46&lt;=Rules!$B$6,Rules!$B$6-Q46&lt;=Rules!$B$11,ISNUMBER(R46),ABS(R46-Valuation!$B$11)&lt;=31,S46&lt;&gt;"",T46&lt;&gt;"",U46&lt;&gt;"",V46="Yes",W46=Valuation!$B$10),1,0)))</f>
        <v/>
      </c>
      <c r="Z46" s="70" t="str">
        <f t="shared" si="2"/>
        <v/>
      </c>
      <c r="AA46" s="70" t="str">
        <f t="shared" si="3"/>
        <v/>
      </c>
      <c r="AB46" s="70" t="str">
        <f t="shared" si="4"/>
        <v/>
      </c>
      <c r="AC46" s="70" t="str">
        <f>IF(A46="","",COUNTIFS(Companies!$A$6:$A$55,A46))</f>
        <v/>
      </c>
    </row>
    <row r="47" ht="18.75" customHeight="1">
      <c r="A47" s="70"/>
      <c r="B47" s="70" t="str">
        <f t="array" ref="B47">IF(A47="","",IF(AC47&lt;&gt;1,"Unmatched issuer",INDEX(Companies!$C$6:$C$55,MATCH(A47,Companies!$A$6:$A$55,0))))</f>
        <v/>
      </c>
      <c r="C47" s="70" t="str">
        <f t="array" ref="C47">IF(A47="","",IF(AC47&lt;&gt;1,0,IF(AND(INDEX(Companies!$R$6:$R$55,MATCH(A47,Companies!$A$6:$A$55,0))=1,INDEX(Companies!$I$6:$I$55,MATCH(A47,Companies!$A$6:$A$55,0))&gt;=MAX(10,Rules!$B$22)),1,0)))</f>
        <v/>
      </c>
      <c r="D47" s="70" t="str">
        <f t="array" ref="D47">IF(A47="","",IF(AC47&lt;&gt;1,"n.a.",IF(ISNUMBER(INDEX(Companies!$I$6:$I$55,MATCH(A47,Companies!$A$6:$A$55,0))),INDEX(Companies!$I$6:$I$55,MATCH(A47,Companies!$A$6:$A$55,0)),"n.a.")))</f>
        <v/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2"/>
      <c r="Q47" s="72"/>
      <c r="R47" s="72"/>
      <c r="S47" s="73"/>
      <c r="T47" s="73"/>
      <c r="U47" s="73"/>
      <c r="V47" s="74"/>
      <c r="W47" s="74"/>
      <c r="X47" s="70" t="str">
        <f t="shared" si="1"/>
        <v/>
      </c>
      <c r="Y47" s="70" t="str">
        <f t="array" ref="Y47">IF(A47="","",IF(AC47&lt;&gt;1,0,IF(AND(C47=1,X47=1,ISNUMBER(E47),E47&gt;0,ISNUMBER(P47),P47=Rules!$B$6,P47=INDEX(Companies!$J$6:$J$55,MATCH(A47,Companies!$A$6:$A$55,0)),ISNUMBER(Q47),Q47&lt;=Rules!$B$6,Rules!$B$6-Q47&lt;=Rules!$B$11,ISNUMBER(R47),ABS(R47-Valuation!$B$11)&lt;=31,S47&lt;&gt;"",T47&lt;&gt;"",U47&lt;&gt;"",V47="Yes",W47=Valuation!$B$10),1,0)))</f>
        <v/>
      </c>
      <c r="Z47" s="70" t="str">
        <f t="shared" si="2"/>
        <v/>
      </c>
      <c r="AA47" s="70" t="str">
        <f t="shared" si="3"/>
        <v/>
      </c>
      <c r="AB47" s="70" t="str">
        <f t="shared" si="4"/>
        <v/>
      </c>
      <c r="AC47" s="70" t="str">
        <f>IF(A47="","",COUNTIFS(Companies!$A$6:$A$55,A47))</f>
        <v/>
      </c>
    </row>
    <row r="48" ht="18.75" customHeight="1">
      <c r="A48" s="70"/>
      <c r="B48" s="70" t="str">
        <f t="array" ref="B48">IF(A48="","",IF(AC48&lt;&gt;1,"Unmatched issuer",INDEX(Companies!$C$6:$C$55,MATCH(A48,Companies!$A$6:$A$55,0))))</f>
        <v/>
      </c>
      <c r="C48" s="70" t="str">
        <f t="array" ref="C48">IF(A48="","",IF(AC48&lt;&gt;1,0,IF(AND(INDEX(Companies!$R$6:$R$55,MATCH(A48,Companies!$A$6:$A$55,0))=1,INDEX(Companies!$I$6:$I$55,MATCH(A48,Companies!$A$6:$A$55,0))&gt;=MAX(10,Rules!$B$22)),1,0)))</f>
        <v/>
      </c>
      <c r="D48" s="70" t="str">
        <f t="array" ref="D48">IF(A48="","",IF(AC48&lt;&gt;1,"n.a.",IF(ISNUMBER(INDEX(Companies!$I$6:$I$55,MATCH(A48,Companies!$A$6:$A$55,0))),INDEX(Companies!$I$6:$I$55,MATCH(A48,Companies!$A$6:$A$55,0)),"n.a.")))</f>
        <v/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2"/>
      <c r="Q48" s="72"/>
      <c r="R48" s="72"/>
      <c r="S48" s="73"/>
      <c r="T48" s="73"/>
      <c r="U48" s="73"/>
      <c r="V48" s="74"/>
      <c r="W48" s="74"/>
      <c r="X48" s="70" t="str">
        <f t="shared" si="1"/>
        <v/>
      </c>
      <c r="Y48" s="70" t="str">
        <f t="array" ref="Y48">IF(A48="","",IF(AC48&lt;&gt;1,0,IF(AND(C48=1,X48=1,ISNUMBER(E48),E48&gt;0,ISNUMBER(P48),P48=Rules!$B$6,P48=INDEX(Companies!$J$6:$J$55,MATCH(A48,Companies!$A$6:$A$55,0)),ISNUMBER(Q48),Q48&lt;=Rules!$B$6,Rules!$B$6-Q48&lt;=Rules!$B$11,ISNUMBER(R48),ABS(R48-Valuation!$B$11)&lt;=31,S48&lt;&gt;"",T48&lt;&gt;"",U48&lt;&gt;"",V48="Yes",W48=Valuation!$B$10),1,0)))</f>
        <v/>
      </c>
      <c r="Z48" s="70" t="str">
        <f t="shared" si="2"/>
        <v/>
      </c>
      <c r="AA48" s="70" t="str">
        <f t="shared" si="3"/>
        <v/>
      </c>
      <c r="AB48" s="70" t="str">
        <f t="shared" si="4"/>
        <v/>
      </c>
      <c r="AC48" s="70" t="str">
        <f>IF(A48="","",COUNTIFS(Companies!$A$6:$A$55,A48))</f>
        <v/>
      </c>
    </row>
    <row r="49" ht="18.75" customHeight="1">
      <c r="A49" s="70"/>
      <c r="B49" s="70" t="str">
        <f t="array" ref="B49">IF(A49="","",IF(AC49&lt;&gt;1,"Unmatched issuer",INDEX(Companies!$C$6:$C$55,MATCH(A49,Companies!$A$6:$A$55,0))))</f>
        <v/>
      </c>
      <c r="C49" s="70" t="str">
        <f t="array" ref="C49">IF(A49="","",IF(AC49&lt;&gt;1,0,IF(AND(INDEX(Companies!$R$6:$R$55,MATCH(A49,Companies!$A$6:$A$55,0))=1,INDEX(Companies!$I$6:$I$55,MATCH(A49,Companies!$A$6:$A$55,0))&gt;=MAX(10,Rules!$B$22)),1,0)))</f>
        <v/>
      </c>
      <c r="D49" s="70" t="str">
        <f t="array" ref="D49">IF(A49="","",IF(AC49&lt;&gt;1,"n.a.",IF(ISNUMBER(INDEX(Companies!$I$6:$I$55,MATCH(A49,Companies!$A$6:$A$55,0))),INDEX(Companies!$I$6:$I$55,MATCH(A49,Companies!$A$6:$A$55,0)),"n.a.")))</f>
        <v/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2"/>
      <c r="Q49" s="72"/>
      <c r="R49" s="72"/>
      <c r="S49" s="73"/>
      <c r="T49" s="73"/>
      <c r="U49" s="73"/>
      <c r="V49" s="74"/>
      <c r="W49" s="74"/>
      <c r="X49" s="70" t="str">
        <f t="shared" si="1"/>
        <v/>
      </c>
      <c r="Y49" s="70" t="str">
        <f t="array" ref="Y49">IF(A49="","",IF(AC49&lt;&gt;1,0,IF(AND(C49=1,X49=1,ISNUMBER(E49),E49&gt;0,ISNUMBER(P49),P49=Rules!$B$6,P49=INDEX(Companies!$J$6:$J$55,MATCH(A49,Companies!$A$6:$A$55,0)),ISNUMBER(Q49),Q49&lt;=Rules!$B$6,Rules!$B$6-Q49&lt;=Rules!$B$11,ISNUMBER(R49),ABS(R49-Valuation!$B$11)&lt;=31,S49&lt;&gt;"",T49&lt;&gt;"",U49&lt;&gt;"",V49="Yes",W49=Valuation!$B$10),1,0)))</f>
        <v/>
      </c>
      <c r="Z49" s="70" t="str">
        <f t="shared" si="2"/>
        <v/>
      </c>
      <c r="AA49" s="70" t="str">
        <f t="shared" si="3"/>
        <v/>
      </c>
      <c r="AB49" s="70" t="str">
        <f t="shared" si="4"/>
        <v/>
      </c>
      <c r="AC49" s="70" t="str">
        <f>IF(A49="","",COUNTIFS(Companies!$A$6:$A$55,A49))</f>
        <v/>
      </c>
    </row>
    <row r="50" ht="18.75" customHeight="1">
      <c r="A50" s="70"/>
      <c r="B50" s="70" t="str">
        <f t="array" ref="B50">IF(A50="","",IF(AC50&lt;&gt;1,"Unmatched issuer",INDEX(Companies!$C$6:$C$55,MATCH(A50,Companies!$A$6:$A$55,0))))</f>
        <v/>
      </c>
      <c r="C50" s="70" t="str">
        <f t="array" ref="C50">IF(A50="","",IF(AC50&lt;&gt;1,0,IF(AND(INDEX(Companies!$R$6:$R$55,MATCH(A50,Companies!$A$6:$A$55,0))=1,INDEX(Companies!$I$6:$I$55,MATCH(A50,Companies!$A$6:$A$55,0))&gt;=MAX(10,Rules!$B$22)),1,0)))</f>
        <v/>
      </c>
      <c r="D50" s="70" t="str">
        <f t="array" ref="D50">IF(A50="","",IF(AC50&lt;&gt;1,"n.a.",IF(ISNUMBER(INDEX(Companies!$I$6:$I$55,MATCH(A50,Companies!$A$6:$A$55,0))),INDEX(Companies!$I$6:$I$55,MATCH(A50,Companies!$A$6:$A$55,0)),"n.a.")))</f>
        <v/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2"/>
      <c r="Q50" s="72"/>
      <c r="R50" s="72"/>
      <c r="S50" s="73"/>
      <c r="T50" s="73"/>
      <c r="U50" s="73"/>
      <c r="V50" s="74"/>
      <c r="W50" s="74"/>
      <c r="X50" s="70" t="str">
        <f t="shared" si="1"/>
        <v/>
      </c>
      <c r="Y50" s="70" t="str">
        <f t="array" ref="Y50">IF(A50="","",IF(AC50&lt;&gt;1,0,IF(AND(C50=1,X50=1,ISNUMBER(E50),E50&gt;0,ISNUMBER(P50),P50=Rules!$B$6,P50=INDEX(Companies!$J$6:$J$55,MATCH(A50,Companies!$A$6:$A$55,0)),ISNUMBER(Q50),Q50&lt;=Rules!$B$6,Rules!$B$6-Q50&lt;=Rules!$B$11,ISNUMBER(R50),ABS(R50-Valuation!$B$11)&lt;=31,S50&lt;&gt;"",T50&lt;&gt;"",U50&lt;&gt;"",V50="Yes",W50=Valuation!$B$10),1,0)))</f>
        <v/>
      </c>
      <c r="Z50" s="70" t="str">
        <f t="shared" si="2"/>
        <v/>
      </c>
      <c r="AA50" s="70" t="str">
        <f t="shared" si="3"/>
        <v/>
      </c>
      <c r="AB50" s="70" t="str">
        <f t="shared" si="4"/>
        <v/>
      </c>
      <c r="AC50" s="70" t="str">
        <f>IF(A50="","",COUNTIFS(Companies!$A$6:$A$55,A50))</f>
        <v/>
      </c>
    </row>
    <row r="51" ht="18.75" customHeight="1">
      <c r="A51" s="70"/>
      <c r="B51" s="70" t="str">
        <f t="array" ref="B51">IF(A51="","",IF(AC51&lt;&gt;1,"Unmatched issuer",INDEX(Companies!$C$6:$C$55,MATCH(A51,Companies!$A$6:$A$55,0))))</f>
        <v/>
      </c>
      <c r="C51" s="70" t="str">
        <f t="array" ref="C51">IF(A51="","",IF(AC51&lt;&gt;1,0,IF(AND(INDEX(Companies!$R$6:$R$55,MATCH(A51,Companies!$A$6:$A$55,0))=1,INDEX(Companies!$I$6:$I$55,MATCH(A51,Companies!$A$6:$A$55,0))&gt;=MAX(10,Rules!$B$22)),1,0)))</f>
        <v/>
      </c>
      <c r="D51" s="70" t="str">
        <f t="array" ref="D51">IF(A51="","",IF(AC51&lt;&gt;1,"n.a.",IF(ISNUMBER(INDEX(Companies!$I$6:$I$55,MATCH(A51,Companies!$A$6:$A$55,0))),INDEX(Companies!$I$6:$I$55,MATCH(A51,Companies!$A$6:$A$55,0)),"n.a.")))</f>
        <v/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2"/>
      <c r="Q51" s="72"/>
      <c r="R51" s="72"/>
      <c r="S51" s="73"/>
      <c r="T51" s="73"/>
      <c r="U51" s="73"/>
      <c r="V51" s="74"/>
      <c r="W51" s="74"/>
      <c r="X51" s="70" t="str">
        <f t="shared" si="1"/>
        <v/>
      </c>
      <c r="Y51" s="70" t="str">
        <f t="array" ref="Y51">IF(A51="","",IF(AC51&lt;&gt;1,0,IF(AND(C51=1,X51=1,ISNUMBER(E51),E51&gt;0,ISNUMBER(P51),P51=Rules!$B$6,P51=INDEX(Companies!$J$6:$J$55,MATCH(A51,Companies!$A$6:$A$55,0)),ISNUMBER(Q51),Q51&lt;=Rules!$B$6,Rules!$B$6-Q51&lt;=Rules!$B$11,ISNUMBER(R51),ABS(R51-Valuation!$B$11)&lt;=31,S51&lt;&gt;"",T51&lt;&gt;"",U51&lt;&gt;"",V51="Yes",W51=Valuation!$B$10),1,0)))</f>
        <v/>
      </c>
      <c r="Z51" s="70" t="str">
        <f t="shared" si="2"/>
        <v/>
      </c>
      <c r="AA51" s="70" t="str">
        <f t="shared" si="3"/>
        <v/>
      </c>
      <c r="AB51" s="70" t="str">
        <f t="shared" si="4"/>
        <v/>
      </c>
      <c r="AC51" s="70" t="str">
        <f>IF(A51="","",COUNTIFS(Companies!$A$6:$A$55,A51))</f>
        <v/>
      </c>
    </row>
    <row r="52" ht="18.75" customHeight="1">
      <c r="A52" s="70"/>
      <c r="B52" s="70" t="str">
        <f t="array" ref="B52">IF(A52="","",IF(AC52&lt;&gt;1,"Unmatched issuer",INDEX(Companies!$C$6:$C$55,MATCH(A52,Companies!$A$6:$A$55,0))))</f>
        <v/>
      </c>
      <c r="C52" s="70" t="str">
        <f t="array" ref="C52">IF(A52="","",IF(AC52&lt;&gt;1,0,IF(AND(INDEX(Companies!$R$6:$R$55,MATCH(A52,Companies!$A$6:$A$55,0))=1,INDEX(Companies!$I$6:$I$55,MATCH(A52,Companies!$A$6:$A$55,0))&gt;=MAX(10,Rules!$B$22)),1,0)))</f>
        <v/>
      </c>
      <c r="D52" s="70" t="str">
        <f t="array" ref="D52">IF(A52="","",IF(AC52&lt;&gt;1,"n.a.",IF(ISNUMBER(INDEX(Companies!$I$6:$I$55,MATCH(A52,Companies!$A$6:$A$55,0))),INDEX(Companies!$I$6:$I$55,MATCH(A52,Companies!$A$6:$A$55,0)),"n.a.")))</f>
        <v/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2"/>
      <c r="Q52" s="72"/>
      <c r="R52" s="72"/>
      <c r="S52" s="73"/>
      <c r="T52" s="73"/>
      <c r="U52" s="73"/>
      <c r="V52" s="74"/>
      <c r="W52" s="74"/>
      <c r="X52" s="70" t="str">
        <f t="shared" si="1"/>
        <v/>
      </c>
      <c r="Y52" s="70" t="str">
        <f t="array" ref="Y52">IF(A52="","",IF(AC52&lt;&gt;1,0,IF(AND(C52=1,X52=1,ISNUMBER(E52),E52&gt;0,ISNUMBER(P52),P52=Rules!$B$6,P52=INDEX(Companies!$J$6:$J$55,MATCH(A52,Companies!$A$6:$A$55,0)),ISNUMBER(Q52),Q52&lt;=Rules!$B$6,Rules!$B$6-Q52&lt;=Rules!$B$11,ISNUMBER(R52),ABS(R52-Valuation!$B$11)&lt;=31,S52&lt;&gt;"",T52&lt;&gt;"",U52&lt;&gt;"",V52="Yes",W52=Valuation!$B$10),1,0)))</f>
        <v/>
      </c>
      <c r="Z52" s="70" t="str">
        <f t="shared" si="2"/>
        <v/>
      </c>
      <c r="AA52" s="70" t="str">
        <f t="shared" si="3"/>
        <v/>
      </c>
      <c r="AB52" s="70" t="str">
        <f t="shared" si="4"/>
        <v/>
      </c>
      <c r="AC52" s="70" t="str">
        <f>IF(A52="","",COUNTIFS(Companies!$A$6:$A$55,A52))</f>
        <v/>
      </c>
    </row>
    <row r="53" ht="18.75" customHeight="1">
      <c r="A53" s="70"/>
      <c r="B53" s="70" t="str">
        <f t="array" ref="B53">IF(A53="","",IF(AC53&lt;&gt;1,"Unmatched issuer",INDEX(Companies!$C$6:$C$55,MATCH(A53,Companies!$A$6:$A$55,0))))</f>
        <v/>
      </c>
      <c r="C53" s="70" t="str">
        <f t="array" ref="C53">IF(A53="","",IF(AC53&lt;&gt;1,0,IF(AND(INDEX(Companies!$R$6:$R$55,MATCH(A53,Companies!$A$6:$A$55,0))=1,INDEX(Companies!$I$6:$I$55,MATCH(A53,Companies!$A$6:$A$55,0))&gt;=MAX(10,Rules!$B$22)),1,0)))</f>
        <v/>
      </c>
      <c r="D53" s="70" t="str">
        <f t="array" ref="D53">IF(A53="","",IF(AC53&lt;&gt;1,"n.a.",IF(ISNUMBER(INDEX(Companies!$I$6:$I$55,MATCH(A53,Companies!$A$6:$A$55,0))),INDEX(Companies!$I$6:$I$55,MATCH(A53,Companies!$A$6:$A$55,0)),"n.a.")))</f>
        <v/>
      </c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2"/>
      <c r="Q53" s="72"/>
      <c r="R53" s="72"/>
      <c r="S53" s="73"/>
      <c r="T53" s="73"/>
      <c r="U53" s="73"/>
      <c r="V53" s="74"/>
      <c r="W53" s="74"/>
      <c r="X53" s="70" t="str">
        <f t="shared" si="1"/>
        <v/>
      </c>
      <c r="Y53" s="70" t="str">
        <f t="array" ref="Y53">IF(A53="","",IF(AC53&lt;&gt;1,0,IF(AND(C53=1,X53=1,ISNUMBER(E53),E53&gt;0,ISNUMBER(P53),P53=Rules!$B$6,P53=INDEX(Companies!$J$6:$J$55,MATCH(A53,Companies!$A$6:$A$55,0)),ISNUMBER(Q53),Q53&lt;=Rules!$B$6,Rules!$B$6-Q53&lt;=Rules!$B$11,ISNUMBER(R53),ABS(R53-Valuation!$B$11)&lt;=31,S53&lt;&gt;"",T53&lt;&gt;"",U53&lt;&gt;"",V53="Yes",W53=Valuation!$B$10),1,0)))</f>
        <v/>
      </c>
      <c r="Z53" s="70" t="str">
        <f t="shared" si="2"/>
        <v/>
      </c>
      <c r="AA53" s="70" t="str">
        <f t="shared" si="3"/>
        <v/>
      </c>
      <c r="AB53" s="70" t="str">
        <f t="shared" si="4"/>
        <v/>
      </c>
      <c r="AC53" s="70" t="str">
        <f>IF(A53="","",COUNTIFS(Companies!$A$6:$A$55,A53))</f>
        <v/>
      </c>
    </row>
    <row r="54" ht="18.75" customHeight="1">
      <c r="A54" s="70"/>
      <c r="B54" s="70" t="str">
        <f t="array" ref="B54">IF(A54="","",IF(AC54&lt;&gt;1,"Unmatched issuer",INDEX(Companies!$C$6:$C$55,MATCH(A54,Companies!$A$6:$A$55,0))))</f>
        <v/>
      </c>
      <c r="C54" s="70" t="str">
        <f t="array" ref="C54">IF(A54="","",IF(AC54&lt;&gt;1,0,IF(AND(INDEX(Companies!$R$6:$R$55,MATCH(A54,Companies!$A$6:$A$55,0))=1,INDEX(Companies!$I$6:$I$55,MATCH(A54,Companies!$A$6:$A$55,0))&gt;=MAX(10,Rules!$B$22)),1,0)))</f>
        <v/>
      </c>
      <c r="D54" s="70" t="str">
        <f t="array" ref="D54">IF(A54="","",IF(AC54&lt;&gt;1,"n.a.",IF(ISNUMBER(INDEX(Companies!$I$6:$I$55,MATCH(A54,Companies!$A$6:$A$55,0))),INDEX(Companies!$I$6:$I$55,MATCH(A54,Companies!$A$6:$A$55,0)),"n.a.")))</f>
        <v/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2"/>
      <c r="Q54" s="72"/>
      <c r="R54" s="72"/>
      <c r="S54" s="73"/>
      <c r="T54" s="73"/>
      <c r="U54" s="73"/>
      <c r="V54" s="74"/>
      <c r="W54" s="74"/>
      <c r="X54" s="70" t="str">
        <f t="shared" si="1"/>
        <v/>
      </c>
      <c r="Y54" s="70" t="str">
        <f t="array" ref="Y54">IF(A54="","",IF(AC54&lt;&gt;1,0,IF(AND(C54=1,X54=1,ISNUMBER(E54),E54&gt;0,ISNUMBER(P54),P54=Rules!$B$6,P54=INDEX(Companies!$J$6:$J$55,MATCH(A54,Companies!$A$6:$A$55,0)),ISNUMBER(Q54),Q54&lt;=Rules!$B$6,Rules!$B$6-Q54&lt;=Rules!$B$11,ISNUMBER(R54),ABS(R54-Valuation!$B$11)&lt;=31,S54&lt;&gt;"",T54&lt;&gt;"",U54&lt;&gt;"",V54="Yes",W54=Valuation!$B$10),1,0)))</f>
        <v/>
      </c>
      <c r="Z54" s="70" t="str">
        <f t="shared" si="2"/>
        <v/>
      </c>
      <c r="AA54" s="70" t="str">
        <f t="shared" si="3"/>
        <v/>
      </c>
      <c r="AB54" s="70" t="str">
        <f t="shared" si="4"/>
        <v/>
      </c>
      <c r="AC54" s="70" t="str">
        <f>IF(A54="","",COUNTIFS(Companies!$A$6:$A$55,A54))</f>
        <v/>
      </c>
    </row>
    <row r="55" ht="18.75" customHeight="1">
      <c r="A55" s="70"/>
      <c r="B55" s="70" t="str">
        <f t="array" ref="B55">IF(A55="","",IF(AC55&lt;&gt;1,"Unmatched issuer",INDEX(Companies!$C$6:$C$55,MATCH(A55,Companies!$A$6:$A$55,0))))</f>
        <v/>
      </c>
      <c r="C55" s="70" t="str">
        <f t="array" ref="C55">IF(A55="","",IF(AC55&lt;&gt;1,0,IF(AND(INDEX(Companies!$R$6:$R$55,MATCH(A55,Companies!$A$6:$A$55,0))=1,INDEX(Companies!$I$6:$I$55,MATCH(A55,Companies!$A$6:$A$55,0))&gt;=MAX(10,Rules!$B$22)),1,0)))</f>
        <v/>
      </c>
      <c r="D55" s="70" t="str">
        <f t="array" ref="D55">IF(A55="","",IF(AC55&lt;&gt;1,"n.a.",IF(ISNUMBER(INDEX(Companies!$I$6:$I$55,MATCH(A55,Companies!$A$6:$A$55,0))),INDEX(Companies!$I$6:$I$55,MATCH(A55,Companies!$A$6:$A$55,0)),"n.a.")))</f>
        <v/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2"/>
      <c r="Q55" s="72"/>
      <c r="R55" s="72"/>
      <c r="S55" s="73"/>
      <c r="T55" s="73"/>
      <c r="U55" s="73"/>
      <c r="V55" s="74"/>
      <c r="W55" s="74"/>
      <c r="X55" s="70" t="str">
        <f t="shared" si="1"/>
        <v/>
      </c>
      <c r="Y55" s="70" t="str">
        <f t="array" ref="Y55">IF(A55="","",IF(AC55&lt;&gt;1,0,IF(AND(C55=1,X55=1,ISNUMBER(E55),E55&gt;0,ISNUMBER(P55),P55=Rules!$B$6,P55=INDEX(Companies!$J$6:$J$55,MATCH(A55,Companies!$A$6:$A$55,0)),ISNUMBER(Q55),Q55&lt;=Rules!$B$6,Rules!$B$6-Q55&lt;=Rules!$B$11,ISNUMBER(R55),ABS(R55-Valuation!$B$11)&lt;=31,S55&lt;&gt;"",T55&lt;&gt;"",U55&lt;&gt;"",V55="Yes",W55=Valuation!$B$10),1,0)))</f>
        <v/>
      </c>
      <c r="Z55" s="70" t="str">
        <f t="shared" si="2"/>
        <v/>
      </c>
      <c r="AA55" s="70" t="str">
        <f t="shared" si="3"/>
        <v/>
      </c>
      <c r="AB55" s="70" t="str">
        <f t="shared" si="4"/>
        <v/>
      </c>
      <c r="AC55" s="70" t="str">
        <f>IF(A55="","",COUNTIFS(Companies!$A$6:$A$55,A55))</f>
        <v/>
      </c>
    </row>
  </sheetData>
  <dataValidations>
    <dataValidation type="list" allowBlank="1" showErrorMessage="1" sqref="V6:V55">
      <formula1>"Yes,No"</formula1>
    </dataValidation>
    <dataValidation type="list" allowBlank="1" showErrorMessage="1" sqref="W6:W55">
      <formula1>"Adjusted,Reported,Normalized"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0.13"/>
    <col customWidth="1" min="2" max="2" width="12.63"/>
    <col customWidth="1" min="3" max="3" width="30.13"/>
    <col customWidth="1" min="4" max="4" width="21.38"/>
    <col customWidth="1" min="5" max="6" width="18.88"/>
    <col customWidth="1" min="7" max="7" width="22.63"/>
    <col customWidth="1" min="8" max="8" width="15.75"/>
    <col customWidth="1" min="9" max="9" width="42.63"/>
    <col customWidth="1" min="10" max="10" width="13.88"/>
    <col customWidth="1" hidden="1" min="11" max="13" width="18.25"/>
    <col customWidth="1" min="14" max="14" width="32.63"/>
  </cols>
  <sheetData>
    <row r="2">
      <c r="A2" s="4" t="s">
        <v>852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.5" customHeight="1">
      <c r="A3" s="7" t="s">
        <v>853</v>
      </c>
      <c r="C3" s="10"/>
      <c r="D3" s="10"/>
      <c r="E3" s="10"/>
      <c r="F3" s="10"/>
      <c r="G3" s="10"/>
      <c r="H3" s="10"/>
      <c r="I3" s="10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51.0" customHeight="1">
      <c r="A5" s="43" t="s">
        <v>854</v>
      </c>
      <c r="B5" s="43" t="s">
        <v>277</v>
      </c>
      <c r="C5" s="43" t="s">
        <v>855</v>
      </c>
      <c r="D5" s="43" t="s">
        <v>33</v>
      </c>
      <c r="E5" s="43" t="s">
        <v>278</v>
      </c>
      <c r="F5" s="43" t="s">
        <v>279</v>
      </c>
      <c r="G5" s="43" t="s">
        <v>258</v>
      </c>
      <c r="H5" s="43" t="s">
        <v>280</v>
      </c>
      <c r="I5" s="43" t="s">
        <v>284</v>
      </c>
      <c r="J5" s="43" t="s">
        <v>286</v>
      </c>
      <c r="K5" s="43" t="s">
        <v>241</v>
      </c>
      <c r="L5" s="43" t="s">
        <v>856</v>
      </c>
      <c r="M5" s="43" t="s">
        <v>288</v>
      </c>
      <c r="N5" s="43" t="s">
        <v>290</v>
      </c>
    </row>
    <row r="6" ht="21.0" customHeight="1">
      <c r="A6" s="44"/>
      <c r="B6" s="44"/>
      <c r="C6" s="44"/>
      <c r="D6" s="44"/>
      <c r="E6" s="44"/>
      <c r="F6" s="44"/>
      <c r="G6" s="75"/>
      <c r="H6" s="48"/>
      <c r="I6" s="44"/>
      <c r="J6" s="44"/>
      <c r="K6" s="2" t="str">
        <f t="shared" ref="K6:K80" si="1">IF(A6="","",COUNTIF($A$6:$A$80,A6))</f>
        <v/>
      </c>
      <c r="L6" s="2">
        <f>IF(A6="",0,IF(AND(K6=1,E6="Yes",F6="Yes",J6="Yes",ISNUMBER(G6),G6&gt;0,ISNUMBER(H6),H6&lt;=Rules!$B$6,Rules!$B$6-H6&lt;=Rules!$B$10,I6&lt;&gt;""),1,0))</f>
        <v>0</v>
      </c>
      <c r="M6" s="2">
        <f>IF(A6="",0,IF(AND(L6=1,G6&gt;=MAX(10,Rules!$B$22)),1,0))</f>
        <v>0</v>
      </c>
      <c r="N6" s="2" t="str">
        <f t="shared" ref="N6:N80" si="2">IF(COUNTA(A6:J6)=0,"",IF(A6="","Missing ID",IF(K6&lt;&gt;1,"Duplicate ID",IF(J6="No","Excluded",IF(OR(E6="No",F6="No"),"Not public operating equity",IF(L6&lt;&gt;1,"Check cap/source/date",IF(M6=0,"Below cap floor","Ready")))))))</f>
        <v/>
      </c>
    </row>
    <row r="7" ht="21.0" customHeight="1">
      <c r="A7" s="44"/>
      <c r="B7" s="44"/>
      <c r="C7" s="44"/>
      <c r="D7" s="44"/>
      <c r="E7" s="44"/>
      <c r="F7" s="44"/>
      <c r="G7" s="75"/>
      <c r="H7" s="48"/>
      <c r="I7" s="44"/>
      <c r="J7" s="44"/>
      <c r="K7" s="2" t="str">
        <f t="shared" si="1"/>
        <v/>
      </c>
      <c r="L7" s="2">
        <f>IF(A7="",0,IF(AND(K7=1,E7="Yes",F7="Yes",J7="Yes",ISNUMBER(G7),G7&gt;0,ISNUMBER(H7),H7&lt;=Rules!$B$6,Rules!$B$6-H7&lt;=Rules!$B$10,I7&lt;&gt;""),1,0))</f>
        <v>0</v>
      </c>
      <c r="M7" s="2">
        <f>IF(A7="",0,IF(AND(L7=1,G7&gt;=MAX(10,Rules!$B$22)),1,0))</f>
        <v>0</v>
      </c>
      <c r="N7" s="2" t="str">
        <f t="shared" si="2"/>
        <v/>
      </c>
    </row>
    <row r="8" ht="21.0" customHeight="1">
      <c r="A8" s="44"/>
      <c r="B8" s="44"/>
      <c r="C8" s="44"/>
      <c r="D8" s="44"/>
      <c r="E8" s="44"/>
      <c r="F8" s="44"/>
      <c r="G8" s="75"/>
      <c r="H8" s="48"/>
      <c r="I8" s="44"/>
      <c r="J8" s="44"/>
      <c r="K8" s="2" t="str">
        <f t="shared" si="1"/>
        <v/>
      </c>
      <c r="L8" s="2">
        <f>IF(A8="",0,IF(AND(K8=1,E8="Yes",F8="Yes",J8="Yes",ISNUMBER(G8),G8&gt;0,ISNUMBER(H8),H8&lt;=Rules!$B$6,Rules!$B$6-H8&lt;=Rules!$B$10,I8&lt;&gt;""),1,0))</f>
        <v>0</v>
      </c>
      <c r="M8" s="2">
        <f>IF(A8="",0,IF(AND(L8=1,G8&gt;=MAX(10,Rules!$B$22)),1,0))</f>
        <v>0</v>
      </c>
      <c r="N8" s="2" t="str">
        <f t="shared" si="2"/>
        <v/>
      </c>
    </row>
    <row r="9" ht="21.0" customHeight="1">
      <c r="A9" s="44"/>
      <c r="B9" s="44"/>
      <c r="C9" s="44"/>
      <c r="D9" s="44"/>
      <c r="E9" s="44"/>
      <c r="F9" s="44"/>
      <c r="G9" s="75"/>
      <c r="H9" s="48"/>
      <c r="I9" s="44"/>
      <c r="J9" s="44"/>
      <c r="K9" s="2" t="str">
        <f t="shared" si="1"/>
        <v/>
      </c>
      <c r="L9" s="2">
        <f>IF(A9="",0,IF(AND(K9=1,E9="Yes",F9="Yes",J9="Yes",ISNUMBER(G9),G9&gt;0,ISNUMBER(H9),H9&lt;=Rules!$B$6,Rules!$B$6-H9&lt;=Rules!$B$10,I9&lt;&gt;""),1,0))</f>
        <v>0</v>
      </c>
      <c r="M9" s="2">
        <f>IF(A9="",0,IF(AND(L9=1,G9&gt;=MAX(10,Rules!$B$22)),1,0))</f>
        <v>0</v>
      </c>
      <c r="N9" s="2" t="str">
        <f t="shared" si="2"/>
        <v/>
      </c>
    </row>
    <row r="10" ht="21.0" customHeight="1">
      <c r="A10" s="44"/>
      <c r="B10" s="44"/>
      <c r="C10" s="44"/>
      <c r="D10" s="44"/>
      <c r="E10" s="44"/>
      <c r="F10" s="44"/>
      <c r="G10" s="75"/>
      <c r="H10" s="48"/>
      <c r="I10" s="44"/>
      <c r="J10" s="44"/>
      <c r="K10" s="2" t="str">
        <f t="shared" si="1"/>
        <v/>
      </c>
      <c r="L10" s="2">
        <f>IF(A10="",0,IF(AND(K10=1,E10="Yes",F10="Yes",J10="Yes",ISNUMBER(G10),G10&gt;0,ISNUMBER(H10),H10&lt;=Rules!$B$6,Rules!$B$6-H10&lt;=Rules!$B$10,I10&lt;&gt;""),1,0))</f>
        <v>0</v>
      </c>
      <c r="M10" s="2">
        <f>IF(A10="",0,IF(AND(L10=1,G10&gt;=MAX(10,Rules!$B$22)),1,0))</f>
        <v>0</v>
      </c>
      <c r="N10" s="2" t="str">
        <f t="shared" si="2"/>
        <v/>
      </c>
    </row>
    <row r="11" ht="21.0" customHeight="1">
      <c r="A11" s="44"/>
      <c r="B11" s="44"/>
      <c r="C11" s="44"/>
      <c r="D11" s="44"/>
      <c r="E11" s="44"/>
      <c r="F11" s="44"/>
      <c r="G11" s="75"/>
      <c r="H11" s="48"/>
      <c r="I11" s="44"/>
      <c r="J11" s="44"/>
      <c r="K11" s="2" t="str">
        <f t="shared" si="1"/>
        <v/>
      </c>
      <c r="L11" s="2">
        <f>IF(A11="",0,IF(AND(K11=1,E11="Yes",F11="Yes",J11="Yes",ISNUMBER(G11),G11&gt;0,ISNUMBER(H11),H11&lt;=Rules!$B$6,Rules!$B$6-H11&lt;=Rules!$B$10,I11&lt;&gt;""),1,0))</f>
        <v>0</v>
      </c>
      <c r="M11" s="2">
        <f>IF(A11="",0,IF(AND(L11=1,G11&gt;=MAX(10,Rules!$B$22)),1,0))</f>
        <v>0</v>
      </c>
      <c r="N11" s="2" t="str">
        <f t="shared" si="2"/>
        <v/>
      </c>
    </row>
    <row r="12" ht="21.0" customHeight="1">
      <c r="A12" s="44"/>
      <c r="B12" s="44"/>
      <c r="C12" s="44"/>
      <c r="D12" s="44"/>
      <c r="E12" s="44"/>
      <c r="F12" s="44"/>
      <c r="G12" s="75"/>
      <c r="H12" s="48"/>
      <c r="I12" s="44"/>
      <c r="J12" s="44"/>
      <c r="K12" s="2" t="str">
        <f t="shared" si="1"/>
        <v/>
      </c>
      <c r="L12" s="2">
        <f>IF(A12="",0,IF(AND(K12=1,E12="Yes",F12="Yes",J12="Yes",ISNUMBER(G12),G12&gt;0,ISNUMBER(H12),H12&lt;=Rules!$B$6,Rules!$B$6-H12&lt;=Rules!$B$10,I12&lt;&gt;""),1,0))</f>
        <v>0</v>
      </c>
      <c r="M12" s="2">
        <f>IF(A12="",0,IF(AND(L12=1,G12&gt;=MAX(10,Rules!$B$22)),1,0))</f>
        <v>0</v>
      </c>
      <c r="N12" s="2" t="str">
        <f t="shared" si="2"/>
        <v/>
      </c>
    </row>
    <row r="13" ht="21.0" customHeight="1">
      <c r="A13" s="44"/>
      <c r="B13" s="44"/>
      <c r="C13" s="44"/>
      <c r="D13" s="44"/>
      <c r="E13" s="44"/>
      <c r="F13" s="44"/>
      <c r="G13" s="75"/>
      <c r="H13" s="48"/>
      <c r="I13" s="44"/>
      <c r="J13" s="44"/>
      <c r="K13" s="2" t="str">
        <f t="shared" si="1"/>
        <v/>
      </c>
      <c r="L13" s="2">
        <f>IF(A13="",0,IF(AND(K13=1,E13="Yes",F13="Yes",J13="Yes",ISNUMBER(G13),G13&gt;0,ISNUMBER(H13),H13&lt;=Rules!$B$6,Rules!$B$6-H13&lt;=Rules!$B$10,I13&lt;&gt;""),1,0))</f>
        <v>0</v>
      </c>
      <c r="M13" s="2">
        <f>IF(A13="",0,IF(AND(L13=1,G13&gt;=MAX(10,Rules!$B$22)),1,0))</f>
        <v>0</v>
      </c>
      <c r="N13" s="2" t="str">
        <f t="shared" si="2"/>
        <v/>
      </c>
    </row>
    <row r="14" ht="21.0" customHeight="1">
      <c r="A14" s="44"/>
      <c r="B14" s="44"/>
      <c r="C14" s="44"/>
      <c r="D14" s="44"/>
      <c r="E14" s="44"/>
      <c r="F14" s="44"/>
      <c r="G14" s="75"/>
      <c r="H14" s="48"/>
      <c r="I14" s="44"/>
      <c r="J14" s="44"/>
      <c r="K14" s="2" t="str">
        <f t="shared" si="1"/>
        <v/>
      </c>
      <c r="L14" s="2">
        <f>IF(A14="",0,IF(AND(K14=1,E14="Yes",F14="Yes",J14="Yes",ISNUMBER(G14),G14&gt;0,ISNUMBER(H14),H14&lt;=Rules!$B$6,Rules!$B$6-H14&lt;=Rules!$B$10,I14&lt;&gt;""),1,0))</f>
        <v>0</v>
      </c>
      <c r="M14" s="2">
        <f>IF(A14="",0,IF(AND(L14=1,G14&gt;=MAX(10,Rules!$B$22)),1,0))</f>
        <v>0</v>
      </c>
      <c r="N14" s="2" t="str">
        <f t="shared" si="2"/>
        <v/>
      </c>
    </row>
    <row r="15" ht="21.0" customHeight="1">
      <c r="A15" s="44"/>
      <c r="B15" s="44"/>
      <c r="C15" s="44"/>
      <c r="D15" s="44"/>
      <c r="E15" s="44"/>
      <c r="F15" s="44"/>
      <c r="G15" s="75"/>
      <c r="H15" s="48"/>
      <c r="I15" s="44"/>
      <c r="J15" s="44"/>
      <c r="K15" s="2" t="str">
        <f t="shared" si="1"/>
        <v/>
      </c>
      <c r="L15" s="2">
        <f>IF(A15="",0,IF(AND(K15=1,E15="Yes",F15="Yes",J15="Yes",ISNUMBER(G15),G15&gt;0,ISNUMBER(H15),H15&lt;=Rules!$B$6,Rules!$B$6-H15&lt;=Rules!$B$10,I15&lt;&gt;""),1,0))</f>
        <v>0</v>
      </c>
      <c r="M15" s="2">
        <f>IF(A15="",0,IF(AND(L15=1,G15&gt;=MAX(10,Rules!$B$22)),1,0))</f>
        <v>0</v>
      </c>
      <c r="N15" s="2" t="str">
        <f t="shared" si="2"/>
        <v/>
      </c>
    </row>
    <row r="16" ht="21.0" customHeight="1">
      <c r="A16" s="44"/>
      <c r="B16" s="44"/>
      <c r="C16" s="44"/>
      <c r="D16" s="44"/>
      <c r="E16" s="44"/>
      <c r="F16" s="44"/>
      <c r="G16" s="75"/>
      <c r="H16" s="48"/>
      <c r="I16" s="44"/>
      <c r="J16" s="44"/>
      <c r="K16" s="2" t="str">
        <f t="shared" si="1"/>
        <v/>
      </c>
      <c r="L16" s="2">
        <f>IF(A16="",0,IF(AND(K16=1,E16="Yes",F16="Yes",J16="Yes",ISNUMBER(G16),G16&gt;0,ISNUMBER(H16),H16&lt;=Rules!$B$6,Rules!$B$6-H16&lt;=Rules!$B$10,I16&lt;&gt;""),1,0))</f>
        <v>0</v>
      </c>
      <c r="M16" s="2">
        <f>IF(A16="",0,IF(AND(L16=1,G16&gt;=MAX(10,Rules!$B$22)),1,0))</f>
        <v>0</v>
      </c>
      <c r="N16" s="2" t="str">
        <f t="shared" si="2"/>
        <v/>
      </c>
    </row>
    <row r="17" ht="21.0" customHeight="1">
      <c r="A17" s="44"/>
      <c r="B17" s="44"/>
      <c r="C17" s="44"/>
      <c r="D17" s="44"/>
      <c r="E17" s="44"/>
      <c r="F17" s="44"/>
      <c r="G17" s="75"/>
      <c r="H17" s="48"/>
      <c r="I17" s="44"/>
      <c r="J17" s="44"/>
      <c r="K17" s="2" t="str">
        <f t="shared" si="1"/>
        <v/>
      </c>
      <c r="L17" s="2">
        <f>IF(A17="",0,IF(AND(K17=1,E17="Yes",F17="Yes",J17="Yes",ISNUMBER(G17),G17&gt;0,ISNUMBER(H17),H17&lt;=Rules!$B$6,Rules!$B$6-H17&lt;=Rules!$B$10,I17&lt;&gt;""),1,0))</f>
        <v>0</v>
      </c>
      <c r="M17" s="2">
        <f>IF(A17="",0,IF(AND(L17=1,G17&gt;=MAX(10,Rules!$B$22)),1,0))</f>
        <v>0</v>
      </c>
      <c r="N17" s="2" t="str">
        <f t="shared" si="2"/>
        <v/>
      </c>
    </row>
    <row r="18" ht="21.0" customHeight="1">
      <c r="A18" s="44"/>
      <c r="B18" s="44"/>
      <c r="C18" s="44"/>
      <c r="D18" s="44"/>
      <c r="E18" s="44"/>
      <c r="F18" s="44"/>
      <c r="G18" s="75"/>
      <c r="H18" s="48"/>
      <c r="I18" s="44"/>
      <c r="J18" s="44"/>
      <c r="K18" s="2" t="str">
        <f t="shared" si="1"/>
        <v/>
      </c>
      <c r="L18" s="2">
        <f>IF(A18="",0,IF(AND(K18=1,E18="Yes",F18="Yes",J18="Yes",ISNUMBER(G18),G18&gt;0,ISNUMBER(H18),H18&lt;=Rules!$B$6,Rules!$B$6-H18&lt;=Rules!$B$10,I18&lt;&gt;""),1,0))</f>
        <v>0</v>
      </c>
      <c r="M18" s="2">
        <f>IF(A18="",0,IF(AND(L18=1,G18&gt;=MAX(10,Rules!$B$22)),1,0))</f>
        <v>0</v>
      </c>
      <c r="N18" s="2" t="str">
        <f t="shared" si="2"/>
        <v/>
      </c>
    </row>
    <row r="19" ht="21.0" customHeight="1">
      <c r="A19" s="44"/>
      <c r="B19" s="44"/>
      <c r="C19" s="44"/>
      <c r="D19" s="44"/>
      <c r="E19" s="44"/>
      <c r="F19" s="44"/>
      <c r="G19" s="75"/>
      <c r="H19" s="48"/>
      <c r="I19" s="44"/>
      <c r="J19" s="44"/>
      <c r="K19" s="2" t="str">
        <f t="shared" si="1"/>
        <v/>
      </c>
      <c r="L19" s="2">
        <f>IF(A19="",0,IF(AND(K19=1,E19="Yes",F19="Yes",J19="Yes",ISNUMBER(G19),G19&gt;0,ISNUMBER(H19),H19&lt;=Rules!$B$6,Rules!$B$6-H19&lt;=Rules!$B$10,I19&lt;&gt;""),1,0))</f>
        <v>0</v>
      </c>
      <c r="M19" s="2">
        <f>IF(A19="",0,IF(AND(L19=1,G19&gt;=MAX(10,Rules!$B$22)),1,0))</f>
        <v>0</v>
      </c>
      <c r="N19" s="2" t="str">
        <f t="shared" si="2"/>
        <v/>
      </c>
    </row>
    <row r="20" ht="21.0" customHeight="1">
      <c r="A20" s="44"/>
      <c r="B20" s="44"/>
      <c r="C20" s="44"/>
      <c r="D20" s="44"/>
      <c r="E20" s="44"/>
      <c r="F20" s="44"/>
      <c r="G20" s="75"/>
      <c r="H20" s="48"/>
      <c r="I20" s="44"/>
      <c r="J20" s="44"/>
      <c r="K20" s="2" t="str">
        <f t="shared" si="1"/>
        <v/>
      </c>
      <c r="L20" s="2">
        <f>IF(A20="",0,IF(AND(K20=1,E20="Yes",F20="Yes",J20="Yes",ISNUMBER(G20),G20&gt;0,ISNUMBER(H20),H20&lt;=Rules!$B$6,Rules!$B$6-H20&lt;=Rules!$B$10,I20&lt;&gt;""),1,0))</f>
        <v>0</v>
      </c>
      <c r="M20" s="2">
        <f>IF(A20="",0,IF(AND(L20=1,G20&gt;=MAX(10,Rules!$B$22)),1,0))</f>
        <v>0</v>
      </c>
      <c r="N20" s="2" t="str">
        <f t="shared" si="2"/>
        <v/>
      </c>
    </row>
    <row r="21" ht="21.0" customHeight="1">
      <c r="A21" s="44"/>
      <c r="B21" s="44"/>
      <c r="C21" s="44"/>
      <c r="D21" s="44"/>
      <c r="E21" s="44"/>
      <c r="F21" s="44"/>
      <c r="G21" s="75"/>
      <c r="H21" s="48"/>
      <c r="I21" s="44"/>
      <c r="J21" s="44"/>
      <c r="K21" s="2" t="str">
        <f t="shared" si="1"/>
        <v/>
      </c>
      <c r="L21" s="2">
        <f>IF(A21="",0,IF(AND(K21=1,E21="Yes",F21="Yes",J21="Yes",ISNUMBER(G21),G21&gt;0,ISNUMBER(H21),H21&lt;=Rules!$B$6,Rules!$B$6-H21&lt;=Rules!$B$10,I21&lt;&gt;""),1,0))</f>
        <v>0</v>
      </c>
      <c r="M21" s="2">
        <f>IF(A21="",0,IF(AND(L21=1,G21&gt;=MAX(10,Rules!$B$22)),1,0))</f>
        <v>0</v>
      </c>
      <c r="N21" s="2" t="str">
        <f t="shared" si="2"/>
        <v/>
      </c>
    </row>
    <row r="22" ht="21.0" customHeight="1">
      <c r="A22" s="44"/>
      <c r="B22" s="44"/>
      <c r="C22" s="44"/>
      <c r="D22" s="44"/>
      <c r="E22" s="44"/>
      <c r="F22" s="44"/>
      <c r="G22" s="75"/>
      <c r="H22" s="48"/>
      <c r="I22" s="44"/>
      <c r="J22" s="44"/>
      <c r="K22" s="2" t="str">
        <f t="shared" si="1"/>
        <v/>
      </c>
      <c r="L22" s="2">
        <f>IF(A22="",0,IF(AND(K22=1,E22="Yes",F22="Yes",J22="Yes",ISNUMBER(G22),G22&gt;0,ISNUMBER(H22),H22&lt;=Rules!$B$6,Rules!$B$6-H22&lt;=Rules!$B$10,I22&lt;&gt;""),1,0))</f>
        <v>0</v>
      </c>
      <c r="M22" s="2">
        <f>IF(A22="",0,IF(AND(L22=1,G22&gt;=MAX(10,Rules!$B$22)),1,0))</f>
        <v>0</v>
      </c>
      <c r="N22" s="2" t="str">
        <f t="shared" si="2"/>
        <v/>
      </c>
    </row>
    <row r="23" ht="21.0" customHeight="1">
      <c r="A23" s="44"/>
      <c r="B23" s="44"/>
      <c r="C23" s="44"/>
      <c r="D23" s="44"/>
      <c r="E23" s="44"/>
      <c r="F23" s="44"/>
      <c r="G23" s="75"/>
      <c r="H23" s="48"/>
      <c r="I23" s="44"/>
      <c r="J23" s="44"/>
      <c r="K23" s="2" t="str">
        <f t="shared" si="1"/>
        <v/>
      </c>
      <c r="L23" s="2">
        <f>IF(A23="",0,IF(AND(K23=1,E23="Yes",F23="Yes",J23="Yes",ISNUMBER(G23),G23&gt;0,ISNUMBER(H23),H23&lt;=Rules!$B$6,Rules!$B$6-H23&lt;=Rules!$B$10,I23&lt;&gt;""),1,0))</f>
        <v>0</v>
      </c>
      <c r="M23" s="2">
        <f>IF(A23="",0,IF(AND(L23=1,G23&gt;=MAX(10,Rules!$B$22)),1,0))</f>
        <v>0</v>
      </c>
      <c r="N23" s="2" t="str">
        <f t="shared" si="2"/>
        <v/>
      </c>
    </row>
    <row r="24" ht="21.0" customHeight="1">
      <c r="A24" s="44"/>
      <c r="B24" s="44"/>
      <c r="C24" s="44"/>
      <c r="D24" s="44"/>
      <c r="E24" s="44"/>
      <c r="F24" s="44"/>
      <c r="G24" s="75"/>
      <c r="H24" s="48"/>
      <c r="I24" s="44"/>
      <c r="J24" s="44"/>
      <c r="K24" s="2" t="str">
        <f t="shared" si="1"/>
        <v/>
      </c>
      <c r="L24" s="2">
        <f>IF(A24="",0,IF(AND(K24=1,E24="Yes",F24="Yes",J24="Yes",ISNUMBER(G24),G24&gt;0,ISNUMBER(H24),H24&lt;=Rules!$B$6,Rules!$B$6-H24&lt;=Rules!$B$10,I24&lt;&gt;""),1,0))</f>
        <v>0</v>
      </c>
      <c r="M24" s="2">
        <f>IF(A24="",0,IF(AND(L24=1,G24&gt;=MAX(10,Rules!$B$22)),1,0))</f>
        <v>0</v>
      </c>
      <c r="N24" s="2" t="str">
        <f t="shared" si="2"/>
        <v/>
      </c>
    </row>
    <row r="25" ht="21.0" customHeight="1">
      <c r="A25" s="44"/>
      <c r="B25" s="44"/>
      <c r="C25" s="44"/>
      <c r="D25" s="44"/>
      <c r="E25" s="44"/>
      <c r="F25" s="44"/>
      <c r="G25" s="75"/>
      <c r="H25" s="48"/>
      <c r="I25" s="44"/>
      <c r="J25" s="44"/>
      <c r="K25" s="2" t="str">
        <f t="shared" si="1"/>
        <v/>
      </c>
      <c r="L25" s="2">
        <f>IF(A25="",0,IF(AND(K25=1,E25="Yes",F25="Yes",J25="Yes",ISNUMBER(G25),G25&gt;0,ISNUMBER(H25),H25&lt;=Rules!$B$6,Rules!$B$6-H25&lt;=Rules!$B$10,I25&lt;&gt;""),1,0))</f>
        <v>0</v>
      </c>
      <c r="M25" s="2">
        <f>IF(A25="",0,IF(AND(L25=1,G25&gt;=MAX(10,Rules!$B$22)),1,0))</f>
        <v>0</v>
      </c>
      <c r="N25" s="2" t="str">
        <f t="shared" si="2"/>
        <v/>
      </c>
    </row>
    <row r="26" ht="21.0" customHeight="1">
      <c r="A26" s="44"/>
      <c r="B26" s="44"/>
      <c r="C26" s="44"/>
      <c r="D26" s="44"/>
      <c r="E26" s="44"/>
      <c r="F26" s="44"/>
      <c r="G26" s="75"/>
      <c r="H26" s="48"/>
      <c r="I26" s="44"/>
      <c r="J26" s="44"/>
      <c r="K26" s="2" t="str">
        <f t="shared" si="1"/>
        <v/>
      </c>
      <c r="L26" s="2">
        <f>IF(A26="",0,IF(AND(K26=1,E26="Yes",F26="Yes",J26="Yes",ISNUMBER(G26),G26&gt;0,ISNUMBER(H26),H26&lt;=Rules!$B$6,Rules!$B$6-H26&lt;=Rules!$B$10,I26&lt;&gt;""),1,0))</f>
        <v>0</v>
      </c>
      <c r="M26" s="2">
        <f>IF(A26="",0,IF(AND(L26=1,G26&gt;=MAX(10,Rules!$B$22)),1,0))</f>
        <v>0</v>
      </c>
      <c r="N26" s="2" t="str">
        <f t="shared" si="2"/>
        <v/>
      </c>
    </row>
    <row r="27" ht="21.0" customHeight="1">
      <c r="A27" s="44"/>
      <c r="B27" s="44"/>
      <c r="C27" s="44"/>
      <c r="D27" s="44"/>
      <c r="E27" s="44"/>
      <c r="F27" s="44"/>
      <c r="G27" s="75"/>
      <c r="H27" s="48"/>
      <c r="I27" s="44"/>
      <c r="J27" s="44"/>
      <c r="K27" s="2" t="str">
        <f t="shared" si="1"/>
        <v/>
      </c>
      <c r="L27" s="2">
        <f>IF(A27="",0,IF(AND(K27=1,E27="Yes",F27="Yes",J27="Yes",ISNUMBER(G27),G27&gt;0,ISNUMBER(H27),H27&lt;=Rules!$B$6,Rules!$B$6-H27&lt;=Rules!$B$10,I27&lt;&gt;""),1,0))</f>
        <v>0</v>
      </c>
      <c r="M27" s="2">
        <f>IF(A27="",0,IF(AND(L27=1,G27&gt;=MAX(10,Rules!$B$22)),1,0))</f>
        <v>0</v>
      </c>
      <c r="N27" s="2" t="str">
        <f t="shared" si="2"/>
        <v/>
      </c>
    </row>
    <row r="28" ht="21.0" customHeight="1">
      <c r="A28" s="44"/>
      <c r="B28" s="44"/>
      <c r="C28" s="44"/>
      <c r="D28" s="44"/>
      <c r="E28" s="44"/>
      <c r="F28" s="44"/>
      <c r="G28" s="75"/>
      <c r="H28" s="48"/>
      <c r="I28" s="44"/>
      <c r="J28" s="44"/>
      <c r="K28" s="2" t="str">
        <f t="shared" si="1"/>
        <v/>
      </c>
      <c r="L28" s="2">
        <f>IF(A28="",0,IF(AND(K28=1,E28="Yes",F28="Yes",J28="Yes",ISNUMBER(G28),G28&gt;0,ISNUMBER(H28),H28&lt;=Rules!$B$6,Rules!$B$6-H28&lt;=Rules!$B$10,I28&lt;&gt;""),1,0))</f>
        <v>0</v>
      </c>
      <c r="M28" s="2">
        <f>IF(A28="",0,IF(AND(L28=1,G28&gt;=MAX(10,Rules!$B$22)),1,0))</f>
        <v>0</v>
      </c>
      <c r="N28" s="2" t="str">
        <f t="shared" si="2"/>
        <v/>
      </c>
    </row>
    <row r="29" ht="21.0" customHeight="1">
      <c r="A29" s="44"/>
      <c r="B29" s="44"/>
      <c r="C29" s="44"/>
      <c r="D29" s="44"/>
      <c r="E29" s="44"/>
      <c r="F29" s="44"/>
      <c r="G29" s="75"/>
      <c r="H29" s="48"/>
      <c r="I29" s="44"/>
      <c r="J29" s="44"/>
      <c r="K29" s="2" t="str">
        <f t="shared" si="1"/>
        <v/>
      </c>
      <c r="L29" s="2">
        <f>IF(A29="",0,IF(AND(K29=1,E29="Yes",F29="Yes",J29="Yes",ISNUMBER(G29),G29&gt;0,ISNUMBER(H29),H29&lt;=Rules!$B$6,Rules!$B$6-H29&lt;=Rules!$B$10,I29&lt;&gt;""),1,0))</f>
        <v>0</v>
      </c>
      <c r="M29" s="2">
        <f>IF(A29="",0,IF(AND(L29=1,G29&gt;=MAX(10,Rules!$B$22)),1,0))</f>
        <v>0</v>
      </c>
      <c r="N29" s="2" t="str">
        <f t="shared" si="2"/>
        <v/>
      </c>
    </row>
    <row r="30" ht="21.0" customHeight="1">
      <c r="A30" s="44"/>
      <c r="B30" s="44"/>
      <c r="C30" s="44"/>
      <c r="D30" s="44"/>
      <c r="E30" s="44"/>
      <c r="F30" s="44"/>
      <c r="G30" s="75"/>
      <c r="H30" s="48"/>
      <c r="I30" s="44"/>
      <c r="J30" s="44"/>
      <c r="K30" s="2" t="str">
        <f t="shared" si="1"/>
        <v/>
      </c>
      <c r="L30" s="2">
        <f>IF(A30="",0,IF(AND(K30=1,E30="Yes",F30="Yes",J30="Yes",ISNUMBER(G30),G30&gt;0,ISNUMBER(H30),H30&lt;=Rules!$B$6,Rules!$B$6-H30&lt;=Rules!$B$10,I30&lt;&gt;""),1,0))</f>
        <v>0</v>
      </c>
      <c r="M30" s="2">
        <f>IF(A30="",0,IF(AND(L30=1,G30&gt;=MAX(10,Rules!$B$22)),1,0))</f>
        <v>0</v>
      </c>
      <c r="N30" s="2" t="str">
        <f t="shared" si="2"/>
        <v/>
      </c>
    </row>
    <row r="31" ht="21.0" customHeight="1">
      <c r="A31" s="44"/>
      <c r="B31" s="44"/>
      <c r="C31" s="44"/>
      <c r="D31" s="44"/>
      <c r="E31" s="44"/>
      <c r="F31" s="44"/>
      <c r="G31" s="75"/>
      <c r="H31" s="48"/>
      <c r="I31" s="44"/>
      <c r="J31" s="44"/>
      <c r="K31" s="2" t="str">
        <f t="shared" si="1"/>
        <v/>
      </c>
      <c r="L31" s="2">
        <f>IF(A31="",0,IF(AND(K31=1,E31="Yes",F31="Yes",J31="Yes",ISNUMBER(G31),G31&gt;0,ISNUMBER(H31),H31&lt;=Rules!$B$6,Rules!$B$6-H31&lt;=Rules!$B$10,I31&lt;&gt;""),1,0))</f>
        <v>0</v>
      </c>
      <c r="M31" s="2">
        <f>IF(A31="",0,IF(AND(L31=1,G31&gt;=MAX(10,Rules!$B$22)),1,0))</f>
        <v>0</v>
      </c>
      <c r="N31" s="2" t="str">
        <f t="shared" si="2"/>
        <v/>
      </c>
    </row>
    <row r="32" ht="21.0" customHeight="1">
      <c r="A32" s="44"/>
      <c r="B32" s="44"/>
      <c r="C32" s="44"/>
      <c r="D32" s="44"/>
      <c r="E32" s="44"/>
      <c r="F32" s="44"/>
      <c r="G32" s="75"/>
      <c r="H32" s="48"/>
      <c r="I32" s="44"/>
      <c r="J32" s="44"/>
      <c r="K32" s="2" t="str">
        <f t="shared" si="1"/>
        <v/>
      </c>
      <c r="L32" s="2">
        <f>IF(A32="",0,IF(AND(K32=1,E32="Yes",F32="Yes",J32="Yes",ISNUMBER(G32),G32&gt;0,ISNUMBER(H32),H32&lt;=Rules!$B$6,Rules!$B$6-H32&lt;=Rules!$B$10,I32&lt;&gt;""),1,0))</f>
        <v>0</v>
      </c>
      <c r="M32" s="2">
        <f>IF(A32="",0,IF(AND(L32=1,G32&gt;=MAX(10,Rules!$B$22)),1,0))</f>
        <v>0</v>
      </c>
      <c r="N32" s="2" t="str">
        <f t="shared" si="2"/>
        <v/>
      </c>
    </row>
    <row r="33" ht="21.0" customHeight="1">
      <c r="A33" s="44"/>
      <c r="B33" s="44"/>
      <c r="C33" s="44"/>
      <c r="D33" s="44"/>
      <c r="E33" s="44"/>
      <c r="F33" s="44"/>
      <c r="G33" s="75"/>
      <c r="H33" s="48"/>
      <c r="I33" s="44"/>
      <c r="J33" s="44"/>
      <c r="K33" s="2" t="str">
        <f t="shared" si="1"/>
        <v/>
      </c>
      <c r="L33" s="2">
        <f>IF(A33="",0,IF(AND(K33=1,E33="Yes",F33="Yes",J33="Yes",ISNUMBER(G33),G33&gt;0,ISNUMBER(H33),H33&lt;=Rules!$B$6,Rules!$B$6-H33&lt;=Rules!$B$10,I33&lt;&gt;""),1,0))</f>
        <v>0</v>
      </c>
      <c r="M33" s="2">
        <f>IF(A33="",0,IF(AND(L33=1,G33&gt;=MAX(10,Rules!$B$22)),1,0))</f>
        <v>0</v>
      </c>
      <c r="N33" s="2" t="str">
        <f t="shared" si="2"/>
        <v/>
      </c>
    </row>
    <row r="34" ht="21.0" customHeight="1">
      <c r="A34" s="44"/>
      <c r="B34" s="44"/>
      <c r="C34" s="44"/>
      <c r="D34" s="44"/>
      <c r="E34" s="44"/>
      <c r="F34" s="44"/>
      <c r="G34" s="75"/>
      <c r="H34" s="48"/>
      <c r="I34" s="44"/>
      <c r="J34" s="44"/>
      <c r="K34" s="2" t="str">
        <f t="shared" si="1"/>
        <v/>
      </c>
      <c r="L34" s="2">
        <f>IF(A34="",0,IF(AND(K34=1,E34="Yes",F34="Yes",J34="Yes",ISNUMBER(G34),G34&gt;0,ISNUMBER(H34),H34&lt;=Rules!$B$6,Rules!$B$6-H34&lt;=Rules!$B$10,I34&lt;&gt;""),1,0))</f>
        <v>0</v>
      </c>
      <c r="M34" s="2">
        <f>IF(A34="",0,IF(AND(L34=1,G34&gt;=MAX(10,Rules!$B$22)),1,0))</f>
        <v>0</v>
      </c>
      <c r="N34" s="2" t="str">
        <f t="shared" si="2"/>
        <v/>
      </c>
    </row>
    <row r="35" ht="21.0" customHeight="1">
      <c r="A35" s="44"/>
      <c r="B35" s="44"/>
      <c r="C35" s="44"/>
      <c r="D35" s="44"/>
      <c r="E35" s="44"/>
      <c r="F35" s="44"/>
      <c r="G35" s="75"/>
      <c r="H35" s="48"/>
      <c r="I35" s="44"/>
      <c r="J35" s="44"/>
      <c r="K35" s="2" t="str">
        <f t="shared" si="1"/>
        <v/>
      </c>
      <c r="L35" s="2">
        <f>IF(A35="",0,IF(AND(K35=1,E35="Yes",F35="Yes",J35="Yes",ISNUMBER(G35),G35&gt;0,ISNUMBER(H35),H35&lt;=Rules!$B$6,Rules!$B$6-H35&lt;=Rules!$B$10,I35&lt;&gt;""),1,0))</f>
        <v>0</v>
      </c>
      <c r="M35" s="2">
        <f>IF(A35="",0,IF(AND(L35=1,G35&gt;=MAX(10,Rules!$B$22)),1,0))</f>
        <v>0</v>
      </c>
      <c r="N35" s="2" t="str">
        <f t="shared" si="2"/>
        <v/>
      </c>
    </row>
    <row r="36" ht="21.0" customHeight="1">
      <c r="A36" s="44"/>
      <c r="B36" s="44"/>
      <c r="C36" s="44"/>
      <c r="D36" s="44"/>
      <c r="E36" s="44"/>
      <c r="F36" s="44"/>
      <c r="G36" s="75"/>
      <c r="H36" s="48"/>
      <c r="I36" s="44"/>
      <c r="J36" s="44"/>
      <c r="K36" s="2" t="str">
        <f t="shared" si="1"/>
        <v/>
      </c>
      <c r="L36" s="2">
        <f>IF(A36="",0,IF(AND(K36=1,E36="Yes",F36="Yes",J36="Yes",ISNUMBER(G36),G36&gt;0,ISNUMBER(H36),H36&lt;=Rules!$B$6,Rules!$B$6-H36&lt;=Rules!$B$10,I36&lt;&gt;""),1,0))</f>
        <v>0</v>
      </c>
      <c r="M36" s="2">
        <f>IF(A36="",0,IF(AND(L36=1,G36&gt;=MAX(10,Rules!$B$22)),1,0))</f>
        <v>0</v>
      </c>
      <c r="N36" s="2" t="str">
        <f t="shared" si="2"/>
        <v/>
      </c>
    </row>
    <row r="37" ht="21.0" customHeight="1">
      <c r="A37" s="44"/>
      <c r="B37" s="44"/>
      <c r="C37" s="44"/>
      <c r="D37" s="44"/>
      <c r="E37" s="44"/>
      <c r="F37" s="44"/>
      <c r="G37" s="75"/>
      <c r="H37" s="48"/>
      <c r="I37" s="44"/>
      <c r="J37" s="44"/>
      <c r="K37" s="2" t="str">
        <f t="shared" si="1"/>
        <v/>
      </c>
      <c r="L37" s="2">
        <f>IF(A37="",0,IF(AND(K37=1,E37="Yes",F37="Yes",J37="Yes",ISNUMBER(G37),G37&gt;0,ISNUMBER(H37),H37&lt;=Rules!$B$6,Rules!$B$6-H37&lt;=Rules!$B$10,I37&lt;&gt;""),1,0))</f>
        <v>0</v>
      </c>
      <c r="M37" s="2">
        <f>IF(A37="",0,IF(AND(L37=1,G37&gt;=MAX(10,Rules!$B$22)),1,0))</f>
        <v>0</v>
      </c>
      <c r="N37" s="2" t="str">
        <f t="shared" si="2"/>
        <v/>
      </c>
    </row>
    <row r="38" ht="21.0" customHeight="1">
      <c r="A38" s="44"/>
      <c r="B38" s="44"/>
      <c r="C38" s="44"/>
      <c r="D38" s="44"/>
      <c r="E38" s="44"/>
      <c r="F38" s="44"/>
      <c r="G38" s="75"/>
      <c r="H38" s="48"/>
      <c r="I38" s="44"/>
      <c r="J38" s="44"/>
      <c r="K38" s="2" t="str">
        <f t="shared" si="1"/>
        <v/>
      </c>
      <c r="L38" s="2">
        <f>IF(A38="",0,IF(AND(K38=1,E38="Yes",F38="Yes",J38="Yes",ISNUMBER(G38),G38&gt;0,ISNUMBER(H38),H38&lt;=Rules!$B$6,Rules!$B$6-H38&lt;=Rules!$B$10,I38&lt;&gt;""),1,0))</f>
        <v>0</v>
      </c>
      <c r="M38" s="2">
        <f>IF(A38="",0,IF(AND(L38=1,G38&gt;=MAX(10,Rules!$B$22)),1,0))</f>
        <v>0</v>
      </c>
      <c r="N38" s="2" t="str">
        <f t="shared" si="2"/>
        <v/>
      </c>
    </row>
    <row r="39" ht="21.0" customHeight="1">
      <c r="A39" s="44"/>
      <c r="B39" s="44"/>
      <c r="C39" s="44"/>
      <c r="D39" s="44"/>
      <c r="E39" s="44"/>
      <c r="F39" s="44"/>
      <c r="G39" s="75"/>
      <c r="H39" s="48"/>
      <c r="I39" s="44"/>
      <c r="J39" s="44"/>
      <c r="K39" s="2" t="str">
        <f t="shared" si="1"/>
        <v/>
      </c>
      <c r="L39" s="2">
        <f>IF(A39="",0,IF(AND(K39=1,E39="Yes",F39="Yes",J39="Yes",ISNUMBER(G39),G39&gt;0,ISNUMBER(H39),H39&lt;=Rules!$B$6,Rules!$B$6-H39&lt;=Rules!$B$10,I39&lt;&gt;""),1,0))</f>
        <v>0</v>
      </c>
      <c r="M39" s="2">
        <f>IF(A39="",0,IF(AND(L39=1,G39&gt;=MAX(10,Rules!$B$22)),1,0))</f>
        <v>0</v>
      </c>
      <c r="N39" s="2" t="str">
        <f t="shared" si="2"/>
        <v/>
      </c>
    </row>
    <row r="40" ht="21.0" customHeight="1">
      <c r="A40" s="44"/>
      <c r="B40" s="44"/>
      <c r="C40" s="44"/>
      <c r="D40" s="44"/>
      <c r="E40" s="44"/>
      <c r="F40" s="44"/>
      <c r="G40" s="75"/>
      <c r="H40" s="48"/>
      <c r="I40" s="44"/>
      <c r="J40" s="44"/>
      <c r="K40" s="2" t="str">
        <f t="shared" si="1"/>
        <v/>
      </c>
      <c r="L40" s="2">
        <f>IF(A40="",0,IF(AND(K40=1,E40="Yes",F40="Yes",J40="Yes",ISNUMBER(G40),G40&gt;0,ISNUMBER(H40),H40&lt;=Rules!$B$6,Rules!$B$6-H40&lt;=Rules!$B$10,I40&lt;&gt;""),1,0))</f>
        <v>0</v>
      </c>
      <c r="M40" s="2">
        <f>IF(A40="",0,IF(AND(L40=1,G40&gt;=MAX(10,Rules!$B$22)),1,0))</f>
        <v>0</v>
      </c>
      <c r="N40" s="2" t="str">
        <f t="shared" si="2"/>
        <v/>
      </c>
    </row>
    <row r="41" ht="21.0" customHeight="1">
      <c r="A41" s="44"/>
      <c r="B41" s="44"/>
      <c r="C41" s="44"/>
      <c r="D41" s="44"/>
      <c r="E41" s="44"/>
      <c r="F41" s="44"/>
      <c r="G41" s="75"/>
      <c r="H41" s="48"/>
      <c r="I41" s="44"/>
      <c r="J41" s="44"/>
      <c r="K41" s="2" t="str">
        <f t="shared" si="1"/>
        <v/>
      </c>
      <c r="L41" s="2">
        <f>IF(A41="",0,IF(AND(K41=1,E41="Yes",F41="Yes",J41="Yes",ISNUMBER(G41),G41&gt;0,ISNUMBER(H41),H41&lt;=Rules!$B$6,Rules!$B$6-H41&lt;=Rules!$B$10,I41&lt;&gt;""),1,0))</f>
        <v>0</v>
      </c>
      <c r="M41" s="2">
        <f>IF(A41="",0,IF(AND(L41=1,G41&gt;=MAX(10,Rules!$B$22)),1,0))</f>
        <v>0</v>
      </c>
      <c r="N41" s="2" t="str">
        <f t="shared" si="2"/>
        <v/>
      </c>
    </row>
    <row r="42" ht="21.0" customHeight="1">
      <c r="A42" s="44"/>
      <c r="B42" s="44"/>
      <c r="C42" s="44"/>
      <c r="D42" s="44"/>
      <c r="E42" s="44"/>
      <c r="F42" s="44"/>
      <c r="G42" s="75"/>
      <c r="H42" s="48"/>
      <c r="I42" s="44"/>
      <c r="J42" s="44"/>
      <c r="K42" s="2" t="str">
        <f t="shared" si="1"/>
        <v/>
      </c>
      <c r="L42" s="2">
        <f>IF(A42="",0,IF(AND(K42=1,E42="Yes",F42="Yes",J42="Yes",ISNUMBER(G42),G42&gt;0,ISNUMBER(H42),H42&lt;=Rules!$B$6,Rules!$B$6-H42&lt;=Rules!$B$10,I42&lt;&gt;""),1,0))</f>
        <v>0</v>
      </c>
      <c r="M42" s="2">
        <f>IF(A42="",0,IF(AND(L42=1,G42&gt;=MAX(10,Rules!$B$22)),1,0))</f>
        <v>0</v>
      </c>
      <c r="N42" s="2" t="str">
        <f t="shared" si="2"/>
        <v/>
      </c>
    </row>
    <row r="43" ht="21.0" customHeight="1">
      <c r="A43" s="44"/>
      <c r="B43" s="44"/>
      <c r="C43" s="44"/>
      <c r="D43" s="44"/>
      <c r="E43" s="44"/>
      <c r="F43" s="44"/>
      <c r="G43" s="75"/>
      <c r="H43" s="48"/>
      <c r="I43" s="44"/>
      <c r="J43" s="44"/>
      <c r="K43" s="2" t="str">
        <f t="shared" si="1"/>
        <v/>
      </c>
      <c r="L43" s="2">
        <f>IF(A43="",0,IF(AND(K43=1,E43="Yes",F43="Yes",J43="Yes",ISNUMBER(G43),G43&gt;0,ISNUMBER(H43),H43&lt;=Rules!$B$6,Rules!$B$6-H43&lt;=Rules!$B$10,I43&lt;&gt;""),1,0))</f>
        <v>0</v>
      </c>
      <c r="M43" s="2">
        <f>IF(A43="",0,IF(AND(L43=1,G43&gt;=MAX(10,Rules!$B$22)),1,0))</f>
        <v>0</v>
      </c>
      <c r="N43" s="2" t="str">
        <f t="shared" si="2"/>
        <v/>
      </c>
    </row>
    <row r="44" ht="21.0" customHeight="1">
      <c r="A44" s="44"/>
      <c r="B44" s="44"/>
      <c r="C44" s="44"/>
      <c r="D44" s="44"/>
      <c r="E44" s="44"/>
      <c r="F44" s="44"/>
      <c r="G44" s="75"/>
      <c r="H44" s="48"/>
      <c r="I44" s="44"/>
      <c r="J44" s="44"/>
      <c r="K44" s="2" t="str">
        <f t="shared" si="1"/>
        <v/>
      </c>
      <c r="L44" s="2">
        <f>IF(A44="",0,IF(AND(K44=1,E44="Yes",F44="Yes",J44="Yes",ISNUMBER(G44),G44&gt;0,ISNUMBER(H44),H44&lt;=Rules!$B$6,Rules!$B$6-H44&lt;=Rules!$B$10,I44&lt;&gt;""),1,0))</f>
        <v>0</v>
      </c>
      <c r="M44" s="2">
        <f>IF(A44="",0,IF(AND(L44=1,G44&gt;=MAX(10,Rules!$B$22)),1,0))</f>
        <v>0</v>
      </c>
      <c r="N44" s="2" t="str">
        <f t="shared" si="2"/>
        <v/>
      </c>
    </row>
    <row r="45" ht="21.0" customHeight="1">
      <c r="A45" s="44"/>
      <c r="B45" s="44"/>
      <c r="C45" s="44"/>
      <c r="D45" s="44"/>
      <c r="E45" s="44"/>
      <c r="F45" s="44"/>
      <c r="G45" s="75"/>
      <c r="H45" s="48"/>
      <c r="I45" s="44"/>
      <c r="J45" s="44"/>
      <c r="K45" s="2" t="str">
        <f t="shared" si="1"/>
        <v/>
      </c>
      <c r="L45" s="2">
        <f>IF(A45="",0,IF(AND(K45=1,E45="Yes",F45="Yes",J45="Yes",ISNUMBER(G45),G45&gt;0,ISNUMBER(H45),H45&lt;=Rules!$B$6,Rules!$B$6-H45&lt;=Rules!$B$10,I45&lt;&gt;""),1,0))</f>
        <v>0</v>
      </c>
      <c r="M45" s="2">
        <f>IF(A45="",0,IF(AND(L45=1,G45&gt;=MAX(10,Rules!$B$22)),1,0))</f>
        <v>0</v>
      </c>
      <c r="N45" s="2" t="str">
        <f t="shared" si="2"/>
        <v/>
      </c>
    </row>
    <row r="46" ht="21.0" customHeight="1">
      <c r="A46" s="44"/>
      <c r="B46" s="44"/>
      <c r="C46" s="44"/>
      <c r="D46" s="44"/>
      <c r="E46" s="44"/>
      <c r="F46" s="44"/>
      <c r="G46" s="75"/>
      <c r="H46" s="48"/>
      <c r="I46" s="44"/>
      <c r="J46" s="44"/>
      <c r="K46" s="2" t="str">
        <f t="shared" si="1"/>
        <v/>
      </c>
      <c r="L46" s="2">
        <f>IF(A46="",0,IF(AND(K46=1,E46="Yes",F46="Yes",J46="Yes",ISNUMBER(G46),G46&gt;0,ISNUMBER(H46),H46&lt;=Rules!$B$6,Rules!$B$6-H46&lt;=Rules!$B$10,I46&lt;&gt;""),1,0))</f>
        <v>0</v>
      </c>
      <c r="M46" s="2">
        <f>IF(A46="",0,IF(AND(L46=1,G46&gt;=MAX(10,Rules!$B$22)),1,0))</f>
        <v>0</v>
      </c>
      <c r="N46" s="2" t="str">
        <f t="shared" si="2"/>
        <v/>
      </c>
    </row>
    <row r="47" ht="21.0" customHeight="1">
      <c r="A47" s="44"/>
      <c r="B47" s="44"/>
      <c r="C47" s="44"/>
      <c r="D47" s="44"/>
      <c r="E47" s="44"/>
      <c r="F47" s="44"/>
      <c r="G47" s="75"/>
      <c r="H47" s="48"/>
      <c r="I47" s="44"/>
      <c r="J47" s="44"/>
      <c r="K47" s="2" t="str">
        <f t="shared" si="1"/>
        <v/>
      </c>
      <c r="L47" s="2">
        <f>IF(A47="",0,IF(AND(K47=1,E47="Yes",F47="Yes",J47="Yes",ISNUMBER(G47),G47&gt;0,ISNUMBER(H47),H47&lt;=Rules!$B$6,Rules!$B$6-H47&lt;=Rules!$B$10,I47&lt;&gt;""),1,0))</f>
        <v>0</v>
      </c>
      <c r="M47" s="2">
        <f>IF(A47="",0,IF(AND(L47=1,G47&gt;=MAX(10,Rules!$B$22)),1,0))</f>
        <v>0</v>
      </c>
      <c r="N47" s="2" t="str">
        <f t="shared" si="2"/>
        <v/>
      </c>
    </row>
    <row r="48" ht="21.0" customHeight="1">
      <c r="A48" s="44"/>
      <c r="B48" s="44"/>
      <c r="C48" s="44"/>
      <c r="D48" s="44"/>
      <c r="E48" s="44"/>
      <c r="F48" s="44"/>
      <c r="G48" s="75"/>
      <c r="H48" s="48"/>
      <c r="I48" s="44"/>
      <c r="J48" s="44"/>
      <c r="K48" s="2" t="str">
        <f t="shared" si="1"/>
        <v/>
      </c>
      <c r="L48" s="2">
        <f>IF(A48="",0,IF(AND(K48=1,E48="Yes",F48="Yes",J48="Yes",ISNUMBER(G48),G48&gt;0,ISNUMBER(H48),H48&lt;=Rules!$B$6,Rules!$B$6-H48&lt;=Rules!$B$10,I48&lt;&gt;""),1,0))</f>
        <v>0</v>
      </c>
      <c r="M48" s="2">
        <f>IF(A48="",0,IF(AND(L48=1,G48&gt;=MAX(10,Rules!$B$22)),1,0))</f>
        <v>0</v>
      </c>
      <c r="N48" s="2" t="str">
        <f t="shared" si="2"/>
        <v/>
      </c>
    </row>
    <row r="49" ht="21.0" customHeight="1">
      <c r="A49" s="44"/>
      <c r="B49" s="44"/>
      <c r="C49" s="44"/>
      <c r="D49" s="44"/>
      <c r="E49" s="44"/>
      <c r="F49" s="44"/>
      <c r="G49" s="75"/>
      <c r="H49" s="48"/>
      <c r="I49" s="44"/>
      <c r="J49" s="44"/>
      <c r="K49" s="2" t="str">
        <f t="shared" si="1"/>
        <v/>
      </c>
      <c r="L49" s="2">
        <f>IF(A49="",0,IF(AND(K49=1,E49="Yes",F49="Yes",J49="Yes",ISNUMBER(G49),G49&gt;0,ISNUMBER(H49),H49&lt;=Rules!$B$6,Rules!$B$6-H49&lt;=Rules!$B$10,I49&lt;&gt;""),1,0))</f>
        <v>0</v>
      </c>
      <c r="M49" s="2">
        <f>IF(A49="",0,IF(AND(L49=1,G49&gt;=MAX(10,Rules!$B$22)),1,0))</f>
        <v>0</v>
      </c>
      <c r="N49" s="2" t="str">
        <f t="shared" si="2"/>
        <v/>
      </c>
    </row>
    <row r="50" ht="21.0" customHeight="1">
      <c r="A50" s="44"/>
      <c r="B50" s="44"/>
      <c r="C50" s="44"/>
      <c r="D50" s="44"/>
      <c r="E50" s="44"/>
      <c r="F50" s="44"/>
      <c r="G50" s="75"/>
      <c r="H50" s="48"/>
      <c r="I50" s="44"/>
      <c r="J50" s="44"/>
      <c r="K50" s="2" t="str">
        <f t="shared" si="1"/>
        <v/>
      </c>
      <c r="L50" s="2">
        <f>IF(A50="",0,IF(AND(K50=1,E50="Yes",F50="Yes",J50="Yes",ISNUMBER(G50),G50&gt;0,ISNUMBER(H50),H50&lt;=Rules!$B$6,Rules!$B$6-H50&lt;=Rules!$B$10,I50&lt;&gt;""),1,0))</f>
        <v>0</v>
      </c>
      <c r="M50" s="2">
        <f>IF(A50="",0,IF(AND(L50=1,G50&gt;=MAX(10,Rules!$B$22)),1,0))</f>
        <v>0</v>
      </c>
      <c r="N50" s="2" t="str">
        <f t="shared" si="2"/>
        <v/>
      </c>
    </row>
    <row r="51" ht="21.0" customHeight="1">
      <c r="A51" s="44"/>
      <c r="B51" s="44"/>
      <c r="C51" s="44"/>
      <c r="D51" s="44"/>
      <c r="E51" s="44"/>
      <c r="F51" s="44"/>
      <c r="G51" s="75"/>
      <c r="H51" s="48"/>
      <c r="I51" s="44"/>
      <c r="J51" s="44"/>
      <c r="K51" s="2" t="str">
        <f t="shared" si="1"/>
        <v/>
      </c>
      <c r="L51" s="2">
        <f>IF(A51="",0,IF(AND(K51=1,E51="Yes",F51="Yes",J51="Yes",ISNUMBER(G51),G51&gt;0,ISNUMBER(H51),H51&lt;=Rules!$B$6,Rules!$B$6-H51&lt;=Rules!$B$10,I51&lt;&gt;""),1,0))</f>
        <v>0</v>
      </c>
      <c r="M51" s="2">
        <f>IF(A51="",0,IF(AND(L51=1,G51&gt;=MAX(10,Rules!$B$22)),1,0))</f>
        <v>0</v>
      </c>
      <c r="N51" s="2" t="str">
        <f t="shared" si="2"/>
        <v/>
      </c>
    </row>
    <row r="52" ht="21.0" customHeight="1">
      <c r="A52" s="44"/>
      <c r="B52" s="44"/>
      <c r="C52" s="44"/>
      <c r="D52" s="44"/>
      <c r="E52" s="44"/>
      <c r="F52" s="44"/>
      <c r="G52" s="75"/>
      <c r="H52" s="48"/>
      <c r="I52" s="44"/>
      <c r="J52" s="44"/>
      <c r="K52" s="2" t="str">
        <f t="shared" si="1"/>
        <v/>
      </c>
      <c r="L52" s="2">
        <f>IF(A52="",0,IF(AND(K52=1,E52="Yes",F52="Yes",J52="Yes",ISNUMBER(G52),G52&gt;0,ISNUMBER(H52),H52&lt;=Rules!$B$6,Rules!$B$6-H52&lt;=Rules!$B$10,I52&lt;&gt;""),1,0))</f>
        <v>0</v>
      </c>
      <c r="M52" s="2">
        <f>IF(A52="",0,IF(AND(L52=1,G52&gt;=MAX(10,Rules!$B$22)),1,0))</f>
        <v>0</v>
      </c>
      <c r="N52" s="2" t="str">
        <f t="shared" si="2"/>
        <v/>
      </c>
    </row>
    <row r="53" ht="21.0" customHeight="1">
      <c r="A53" s="44"/>
      <c r="B53" s="44"/>
      <c r="C53" s="44"/>
      <c r="D53" s="44"/>
      <c r="E53" s="44"/>
      <c r="F53" s="44"/>
      <c r="G53" s="75"/>
      <c r="H53" s="48"/>
      <c r="I53" s="44"/>
      <c r="J53" s="44"/>
      <c r="K53" s="2" t="str">
        <f t="shared" si="1"/>
        <v/>
      </c>
      <c r="L53" s="2">
        <f>IF(A53="",0,IF(AND(K53=1,E53="Yes",F53="Yes",J53="Yes",ISNUMBER(G53),G53&gt;0,ISNUMBER(H53),H53&lt;=Rules!$B$6,Rules!$B$6-H53&lt;=Rules!$B$10,I53&lt;&gt;""),1,0))</f>
        <v>0</v>
      </c>
      <c r="M53" s="2">
        <f>IF(A53="",0,IF(AND(L53=1,G53&gt;=MAX(10,Rules!$B$22)),1,0))</f>
        <v>0</v>
      </c>
      <c r="N53" s="2" t="str">
        <f t="shared" si="2"/>
        <v/>
      </c>
    </row>
    <row r="54" ht="21.0" customHeight="1">
      <c r="A54" s="44"/>
      <c r="B54" s="44"/>
      <c r="C54" s="44"/>
      <c r="D54" s="44"/>
      <c r="E54" s="44"/>
      <c r="F54" s="44"/>
      <c r="G54" s="75"/>
      <c r="H54" s="48"/>
      <c r="I54" s="44"/>
      <c r="J54" s="44"/>
      <c r="K54" s="2" t="str">
        <f t="shared" si="1"/>
        <v/>
      </c>
      <c r="L54" s="2">
        <f>IF(A54="",0,IF(AND(K54=1,E54="Yes",F54="Yes",J54="Yes",ISNUMBER(G54),G54&gt;0,ISNUMBER(H54),H54&lt;=Rules!$B$6,Rules!$B$6-H54&lt;=Rules!$B$10,I54&lt;&gt;""),1,0))</f>
        <v>0</v>
      </c>
      <c r="M54" s="2">
        <f>IF(A54="",0,IF(AND(L54=1,G54&gt;=MAX(10,Rules!$B$22)),1,0))</f>
        <v>0</v>
      </c>
      <c r="N54" s="2" t="str">
        <f t="shared" si="2"/>
        <v/>
      </c>
    </row>
    <row r="55" ht="21.0" customHeight="1">
      <c r="A55" s="44"/>
      <c r="B55" s="44"/>
      <c r="C55" s="44"/>
      <c r="D55" s="44"/>
      <c r="E55" s="44"/>
      <c r="F55" s="44"/>
      <c r="G55" s="75"/>
      <c r="H55" s="48"/>
      <c r="I55" s="44"/>
      <c r="J55" s="44"/>
      <c r="K55" s="2" t="str">
        <f t="shared" si="1"/>
        <v/>
      </c>
      <c r="L55" s="2">
        <f>IF(A55="",0,IF(AND(K55=1,E55="Yes",F55="Yes",J55="Yes",ISNUMBER(G55),G55&gt;0,ISNUMBER(H55),H55&lt;=Rules!$B$6,Rules!$B$6-H55&lt;=Rules!$B$10,I55&lt;&gt;""),1,0))</f>
        <v>0</v>
      </c>
      <c r="M55" s="2">
        <f>IF(A55="",0,IF(AND(L55=1,G55&gt;=MAX(10,Rules!$B$22)),1,0))</f>
        <v>0</v>
      </c>
      <c r="N55" s="2" t="str">
        <f t="shared" si="2"/>
        <v/>
      </c>
    </row>
    <row r="56" ht="21.0" customHeight="1">
      <c r="A56" s="44"/>
      <c r="B56" s="44"/>
      <c r="C56" s="44"/>
      <c r="D56" s="44"/>
      <c r="E56" s="44"/>
      <c r="F56" s="44"/>
      <c r="G56" s="75"/>
      <c r="H56" s="48"/>
      <c r="I56" s="44"/>
      <c r="J56" s="44"/>
      <c r="K56" s="2" t="str">
        <f t="shared" si="1"/>
        <v/>
      </c>
      <c r="L56" s="2">
        <f>IF(A56="",0,IF(AND(K56=1,E56="Yes",F56="Yes",J56="Yes",ISNUMBER(G56),G56&gt;0,ISNUMBER(H56),H56&lt;=Rules!$B$6,Rules!$B$6-H56&lt;=Rules!$B$10,I56&lt;&gt;""),1,0))</f>
        <v>0</v>
      </c>
      <c r="M56" s="2">
        <f>IF(A56="",0,IF(AND(L56=1,G56&gt;=MAX(10,Rules!$B$22)),1,0))</f>
        <v>0</v>
      </c>
      <c r="N56" s="2" t="str">
        <f t="shared" si="2"/>
        <v/>
      </c>
    </row>
    <row r="57" ht="21.0" customHeight="1">
      <c r="A57" s="44"/>
      <c r="B57" s="44"/>
      <c r="C57" s="44"/>
      <c r="D57" s="44"/>
      <c r="E57" s="44"/>
      <c r="F57" s="44"/>
      <c r="G57" s="75"/>
      <c r="H57" s="48"/>
      <c r="I57" s="44"/>
      <c r="J57" s="44"/>
      <c r="K57" s="2" t="str">
        <f t="shared" si="1"/>
        <v/>
      </c>
      <c r="L57" s="2">
        <f>IF(A57="",0,IF(AND(K57=1,E57="Yes",F57="Yes",J57="Yes",ISNUMBER(G57),G57&gt;0,ISNUMBER(H57),H57&lt;=Rules!$B$6,Rules!$B$6-H57&lt;=Rules!$B$10,I57&lt;&gt;""),1,0))</f>
        <v>0</v>
      </c>
      <c r="M57" s="2">
        <f>IF(A57="",0,IF(AND(L57=1,G57&gt;=MAX(10,Rules!$B$22)),1,0))</f>
        <v>0</v>
      </c>
      <c r="N57" s="2" t="str">
        <f t="shared" si="2"/>
        <v/>
      </c>
    </row>
    <row r="58" ht="21.0" customHeight="1">
      <c r="A58" s="44"/>
      <c r="B58" s="44"/>
      <c r="C58" s="44"/>
      <c r="D58" s="44"/>
      <c r="E58" s="44"/>
      <c r="F58" s="44"/>
      <c r="G58" s="75"/>
      <c r="H58" s="48"/>
      <c r="I58" s="44"/>
      <c r="J58" s="44"/>
      <c r="K58" s="2" t="str">
        <f t="shared" si="1"/>
        <v/>
      </c>
      <c r="L58" s="2">
        <f>IF(A58="",0,IF(AND(K58=1,E58="Yes",F58="Yes",J58="Yes",ISNUMBER(G58),G58&gt;0,ISNUMBER(H58),H58&lt;=Rules!$B$6,Rules!$B$6-H58&lt;=Rules!$B$10,I58&lt;&gt;""),1,0))</f>
        <v>0</v>
      </c>
      <c r="M58" s="2">
        <f>IF(A58="",0,IF(AND(L58=1,G58&gt;=MAX(10,Rules!$B$22)),1,0))</f>
        <v>0</v>
      </c>
      <c r="N58" s="2" t="str">
        <f t="shared" si="2"/>
        <v/>
      </c>
    </row>
    <row r="59" ht="21.0" customHeight="1">
      <c r="A59" s="44"/>
      <c r="B59" s="44"/>
      <c r="C59" s="44"/>
      <c r="D59" s="44"/>
      <c r="E59" s="44"/>
      <c r="F59" s="44"/>
      <c r="G59" s="75"/>
      <c r="H59" s="48"/>
      <c r="I59" s="44"/>
      <c r="J59" s="44"/>
      <c r="K59" s="2" t="str">
        <f t="shared" si="1"/>
        <v/>
      </c>
      <c r="L59" s="2">
        <f>IF(A59="",0,IF(AND(K59=1,E59="Yes",F59="Yes",J59="Yes",ISNUMBER(G59),G59&gt;0,ISNUMBER(H59),H59&lt;=Rules!$B$6,Rules!$B$6-H59&lt;=Rules!$B$10,I59&lt;&gt;""),1,0))</f>
        <v>0</v>
      </c>
      <c r="M59" s="2">
        <f>IF(A59="",0,IF(AND(L59=1,G59&gt;=MAX(10,Rules!$B$22)),1,0))</f>
        <v>0</v>
      </c>
      <c r="N59" s="2" t="str">
        <f t="shared" si="2"/>
        <v/>
      </c>
    </row>
    <row r="60" ht="21.0" customHeight="1">
      <c r="A60" s="44"/>
      <c r="B60" s="44"/>
      <c r="C60" s="44"/>
      <c r="D60" s="44"/>
      <c r="E60" s="44"/>
      <c r="F60" s="44"/>
      <c r="G60" s="75"/>
      <c r="H60" s="48"/>
      <c r="I60" s="44"/>
      <c r="J60" s="44"/>
      <c r="K60" s="2" t="str">
        <f t="shared" si="1"/>
        <v/>
      </c>
      <c r="L60" s="2">
        <f>IF(A60="",0,IF(AND(K60=1,E60="Yes",F60="Yes",J60="Yes",ISNUMBER(G60),G60&gt;0,ISNUMBER(H60),H60&lt;=Rules!$B$6,Rules!$B$6-H60&lt;=Rules!$B$10,I60&lt;&gt;""),1,0))</f>
        <v>0</v>
      </c>
      <c r="M60" s="2">
        <f>IF(A60="",0,IF(AND(L60=1,G60&gt;=MAX(10,Rules!$B$22)),1,0))</f>
        <v>0</v>
      </c>
      <c r="N60" s="2" t="str">
        <f t="shared" si="2"/>
        <v/>
      </c>
    </row>
    <row r="61" ht="21.0" customHeight="1">
      <c r="A61" s="44"/>
      <c r="B61" s="44"/>
      <c r="C61" s="44"/>
      <c r="D61" s="44"/>
      <c r="E61" s="44"/>
      <c r="F61" s="44"/>
      <c r="G61" s="75"/>
      <c r="H61" s="48"/>
      <c r="I61" s="44"/>
      <c r="J61" s="44"/>
      <c r="K61" s="2" t="str">
        <f t="shared" si="1"/>
        <v/>
      </c>
      <c r="L61" s="2">
        <f>IF(A61="",0,IF(AND(K61=1,E61="Yes",F61="Yes",J61="Yes",ISNUMBER(G61),G61&gt;0,ISNUMBER(H61),H61&lt;=Rules!$B$6,Rules!$B$6-H61&lt;=Rules!$B$10,I61&lt;&gt;""),1,0))</f>
        <v>0</v>
      </c>
      <c r="M61" s="2">
        <f>IF(A61="",0,IF(AND(L61=1,G61&gt;=MAX(10,Rules!$B$22)),1,0))</f>
        <v>0</v>
      </c>
      <c r="N61" s="2" t="str">
        <f t="shared" si="2"/>
        <v/>
      </c>
    </row>
    <row r="62" ht="21.0" customHeight="1">
      <c r="A62" s="44"/>
      <c r="B62" s="44"/>
      <c r="C62" s="44"/>
      <c r="D62" s="44"/>
      <c r="E62" s="44"/>
      <c r="F62" s="44"/>
      <c r="G62" s="75"/>
      <c r="H62" s="48"/>
      <c r="I62" s="44"/>
      <c r="J62" s="44"/>
      <c r="K62" s="2" t="str">
        <f t="shared" si="1"/>
        <v/>
      </c>
      <c r="L62" s="2">
        <f>IF(A62="",0,IF(AND(K62=1,E62="Yes",F62="Yes",J62="Yes",ISNUMBER(G62),G62&gt;0,ISNUMBER(H62),H62&lt;=Rules!$B$6,Rules!$B$6-H62&lt;=Rules!$B$10,I62&lt;&gt;""),1,0))</f>
        <v>0</v>
      </c>
      <c r="M62" s="2">
        <f>IF(A62="",0,IF(AND(L62=1,G62&gt;=MAX(10,Rules!$B$22)),1,0))</f>
        <v>0</v>
      </c>
      <c r="N62" s="2" t="str">
        <f t="shared" si="2"/>
        <v/>
      </c>
    </row>
    <row r="63" ht="21.0" customHeight="1">
      <c r="A63" s="44"/>
      <c r="B63" s="44"/>
      <c r="C63" s="44"/>
      <c r="D63" s="44"/>
      <c r="E63" s="44"/>
      <c r="F63" s="44"/>
      <c r="G63" s="75"/>
      <c r="H63" s="48"/>
      <c r="I63" s="44"/>
      <c r="J63" s="44"/>
      <c r="K63" s="2" t="str">
        <f t="shared" si="1"/>
        <v/>
      </c>
      <c r="L63" s="2">
        <f>IF(A63="",0,IF(AND(K63=1,E63="Yes",F63="Yes",J63="Yes",ISNUMBER(G63),G63&gt;0,ISNUMBER(H63),H63&lt;=Rules!$B$6,Rules!$B$6-H63&lt;=Rules!$B$10,I63&lt;&gt;""),1,0))</f>
        <v>0</v>
      </c>
      <c r="M63" s="2">
        <f>IF(A63="",0,IF(AND(L63=1,G63&gt;=MAX(10,Rules!$B$22)),1,0))</f>
        <v>0</v>
      </c>
      <c r="N63" s="2" t="str">
        <f t="shared" si="2"/>
        <v/>
      </c>
    </row>
    <row r="64" ht="21.0" customHeight="1">
      <c r="A64" s="44"/>
      <c r="B64" s="44"/>
      <c r="C64" s="44"/>
      <c r="D64" s="44"/>
      <c r="E64" s="44"/>
      <c r="F64" s="44"/>
      <c r="G64" s="75"/>
      <c r="H64" s="48"/>
      <c r="I64" s="44"/>
      <c r="J64" s="44"/>
      <c r="K64" s="2" t="str">
        <f t="shared" si="1"/>
        <v/>
      </c>
      <c r="L64" s="2">
        <f>IF(A64="",0,IF(AND(K64=1,E64="Yes",F64="Yes",J64="Yes",ISNUMBER(G64),G64&gt;0,ISNUMBER(H64),H64&lt;=Rules!$B$6,Rules!$B$6-H64&lt;=Rules!$B$10,I64&lt;&gt;""),1,0))</f>
        <v>0</v>
      </c>
      <c r="M64" s="2">
        <f>IF(A64="",0,IF(AND(L64=1,G64&gt;=MAX(10,Rules!$B$22)),1,0))</f>
        <v>0</v>
      </c>
      <c r="N64" s="2" t="str">
        <f t="shared" si="2"/>
        <v/>
      </c>
    </row>
    <row r="65" ht="21.0" customHeight="1">
      <c r="A65" s="44"/>
      <c r="B65" s="44"/>
      <c r="C65" s="44"/>
      <c r="D65" s="44"/>
      <c r="E65" s="44"/>
      <c r="F65" s="44"/>
      <c r="G65" s="75"/>
      <c r="H65" s="48"/>
      <c r="I65" s="44"/>
      <c r="J65" s="44"/>
      <c r="K65" s="2" t="str">
        <f t="shared" si="1"/>
        <v/>
      </c>
      <c r="L65" s="2">
        <f>IF(A65="",0,IF(AND(K65=1,E65="Yes",F65="Yes",J65="Yes",ISNUMBER(G65),G65&gt;0,ISNUMBER(H65),H65&lt;=Rules!$B$6,Rules!$B$6-H65&lt;=Rules!$B$10,I65&lt;&gt;""),1,0))</f>
        <v>0</v>
      </c>
      <c r="M65" s="2">
        <f>IF(A65="",0,IF(AND(L65=1,G65&gt;=MAX(10,Rules!$B$22)),1,0))</f>
        <v>0</v>
      </c>
      <c r="N65" s="2" t="str">
        <f t="shared" si="2"/>
        <v/>
      </c>
    </row>
    <row r="66" ht="21.0" customHeight="1">
      <c r="A66" s="44"/>
      <c r="B66" s="44"/>
      <c r="C66" s="44"/>
      <c r="D66" s="44"/>
      <c r="E66" s="44"/>
      <c r="F66" s="44"/>
      <c r="G66" s="75"/>
      <c r="H66" s="48"/>
      <c r="I66" s="44"/>
      <c r="J66" s="44"/>
      <c r="K66" s="2" t="str">
        <f t="shared" si="1"/>
        <v/>
      </c>
      <c r="L66" s="2">
        <f>IF(A66="",0,IF(AND(K66=1,E66="Yes",F66="Yes",J66="Yes",ISNUMBER(G66),G66&gt;0,ISNUMBER(H66),H66&lt;=Rules!$B$6,Rules!$B$6-H66&lt;=Rules!$B$10,I66&lt;&gt;""),1,0))</f>
        <v>0</v>
      </c>
      <c r="M66" s="2">
        <f>IF(A66="",0,IF(AND(L66=1,G66&gt;=MAX(10,Rules!$B$22)),1,0))</f>
        <v>0</v>
      </c>
      <c r="N66" s="2" t="str">
        <f t="shared" si="2"/>
        <v/>
      </c>
    </row>
    <row r="67" ht="21.0" customHeight="1">
      <c r="A67" s="44"/>
      <c r="B67" s="44"/>
      <c r="C67" s="44"/>
      <c r="D67" s="44"/>
      <c r="E67" s="44"/>
      <c r="F67" s="44"/>
      <c r="G67" s="75"/>
      <c r="H67" s="48"/>
      <c r="I67" s="44"/>
      <c r="J67" s="44"/>
      <c r="K67" s="2" t="str">
        <f t="shared" si="1"/>
        <v/>
      </c>
      <c r="L67" s="2">
        <f>IF(A67="",0,IF(AND(K67=1,E67="Yes",F67="Yes",J67="Yes",ISNUMBER(G67),G67&gt;0,ISNUMBER(H67),H67&lt;=Rules!$B$6,Rules!$B$6-H67&lt;=Rules!$B$10,I67&lt;&gt;""),1,0))</f>
        <v>0</v>
      </c>
      <c r="M67" s="2">
        <f>IF(A67="",0,IF(AND(L67=1,G67&gt;=MAX(10,Rules!$B$22)),1,0))</f>
        <v>0</v>
      </c>
      <c r="N67" s="2" t="str">
        <f t="shared" si="2"/>
        <v/>
      </c>
    </row>
    <row r="68" ht="21.0" customHeight="1">
      <c r="A68" s="44"/>
      <c r="B68" s="44"/>
      <c r="C68" s="44"/>
      <c r="D68" s="44"/>
      <c r="E68" s="44"/>
      <c r="F68" s="44"/>
      <c r="G68" s="75"/>
      <c r="H68" s="48"/>
      <c r="I68" s="44"/>
      <c r="J68" s="44"/>
      <c r="K68" s="2" t="str">
        <f t="shared" si="1"/>
        <v/>
      </c>
      <c r="L68" s="2">
        <f>IF(A68="",0,IF(AND(K68=1,E68="Yes",F68="Yes",J68="Yes",ISNUMBER(G68),G68&gt;0,ISNUMBER(H68),H68&lt;=Rules!$B$6,Rules!$B$6-H68&lt;=Rules!$B$10,I68&lt;&gt;""),1,0))</f>
        <v>0</v>
      </c>
      <c r="M68" s="2">
        <f>IF(A68="",0,IF(AND(L68=1,G68&gt;=MAX(10,Rules!$B$22)),1,0))</f>
        <v>0</v>
      </c>
      <c r="N68" s="2" t="str">
        <f t="shared" si="2"/>
        <v/>
      </c>
    </row>
    <row r="69" ht="21.0" customHeight="1">
      <c r="A69" s="44"/>
      <c r="B69" s="44"/>
      <c r="C69" s="44"/>
      <c r="D69" s="44"/>
      <c r="E69" s="44"/>
      <c r="F69" s="44"/>
      <c r="G69" s="75"/>
      <c r="H69" s="48"/>
      <c r="I69" s="44"/>
      <c r="J69" s="44"/>
      <c r="K69" s="2" t="str">
        <f t="shared" si="1"/>
        <v/>
      </c>
      <c r="L69" s="2">
        <f>IF(A69="",0,IF(AND(K69=1,E69="Yes",F69="Yes",J69="Yes",ISNUMBER(G69),G69&gt;0,ISNUMBER(H69),H69&lt;=Rules!$B$6,Rules!$B$6-H69&lt;=Rules!$B$10,I69&lt;&gt;""),1,0))</f>
        <v>0</v>
      </c>
      <c r="M69" s="2">
        <f>IF(A69="",0,IF(AND(L69=1,G69&gt;=MAX(10,Rules!$B$22)),1,0))</f>
        <v>0</v>
      </c>
      <c r="N69" s="2" t="str">
        <f t="shared" si="2"/>
        <v/>
      </c>
    </row>
    <row r="70" ht="21.0" customHeight="1">
      <c r="A70" s="44"/>
      <c r="B70" s="44"/>
      <c r="C70" s="44"/>
      <c r="D70" s="44"/>
      <c r="E70" s="44"/>
      <c r="F70" s="44"/>
      <c r="G70" s="75"/>
      <c r="H70" s="48"/>
      <c r="I70" s="44"/>
      <c r="J70" s="44"/>
      <c r="K70" s="2" t="str">
        <f t="shared" si="1"/>
        <v/>
      </c>
      <c r="L70" s="2">
        <f>IF(A70="",0,IF(AND(K70=1,E70="Yes",F70="Yes",J70="Yes",ISNUMBER(G70),G70&gt;0,ISNUMBER(H70),H70&lt;=Rules!$B$6,Rules!$B$6-H70&lt;=Rules!$B$10,I70&lt;&gt;""),1,0))</f>
        <v>0</v>
      </c>
      <c r="M70" s="2">
        <f>IF(A70="",0,IF(AND(L70=1,G70&gt;=MAX(10,Rules!$B$22)),1,0))</f>
        <v>0</v>
      </c>
      <c r="N70" s="2" t="str">
        <f t="shared" si="2"/>
        <v/>
      </c>
    </row>
    <row r="71" ht="21.0" customHeight="1">
      <c r="A71" s="44"/>
      <c r="B71" s="44"/>
      <c r="C71" s="44"/>
      <c r="D71" s="44"/>
      <c r="E71" s="44"/>
      <c r="F71" s="44"/>
      <c r="G71" s="75"/>
      <c r="H71" s="48"/>
      <c r="I71" s="44"/>
      <c r="J71" s="44"/>
      <c r="K71" s="2" t="str">
        <f t="shared" si="1"/>
        <v/>
      </c>
      <c r="L71" s="2">
        <f>IF(A71="",0,IF(AND(K71=1,E71="Yes",F71="Yes",J71="Yes",ISNUMBER(G71),G71&gt;0,ISNUMBER(H71),H71&lt;=Rules!$B$6,Rules!$B$6-H71&lt;=Rules!$B$10,I71&lt;&gt;""),1,0))</f>
        <v>0</v>
      </c>
      <c r="M71" s="2">
        <f>IF(A71="",0,IF(AND(L71=1,G71&gt;=MAX(10,Rules!$B$22)),1,0))</f>
        <v>0</v>
      </c>
      <c r="N71" s="2" t="str">
        <f t="shared" si="2"/>
        <v/>
      </c>
    </row>
    <row r="72" ht="21.0" customHeight="1">
      <c r="A72" s="44"/>
      <c r="B72" s="44"/>
      <c r="C72" s="44"/>
      <c r="D72" s="44"/>
      <c r="E72" s="44"/>
      <c r="F72" s="44"/>
      <c r="G72" s="75"/>
      <c r="H72" s="48"/>
      <c r="I72" s="44"/>
      <c r="J72" s="44"/>
      <c r="K72" s="2" t="str">
        <f t="shared" si="1"/>
        <v/>
      </c>
      <c r="L72" s="2">
        <f>IF(A72="",0,IF(AND(K72=1,E72="Yes",F72="Yes",J72="Yes",ISNUMBER(G72),G72&gt;0,ISNUMBER(H72),H72&lt;=Rules!$B$6,Rules!$B$6-H72&lt;=Rules!$B$10,I72&lt;&gt;""),1,0))</f>
        <v>0</v>
      </c>
      <c r="M72" s="2">
        <f>IF(A72="",0,IF(AND(L72=1,G72&gt;=MAX(10,Rules!$B$22)),1,0))</f>
        <v>0</v>
      </c>
      <c r="N72" s="2" t="str">
        <f t="shared" si="2"/>
        <v/>
      </c>
    </row>
    <row r="73" ht="21.0" customHeight="1">
      <c r="A73" s="44"/>
      <c r="B73" s="44"/>
      <c r="C73" s="44"/>
      <c r="D73" s="44"/>
      <c r="E73" s="44"/>
      <c r="F73" s="44"/>
      <c r="G73" s="75"/>
      <c r="H73" s="48"/>
      <c r="I73" s="44"/>
      <c r="J73" s="44"/>
      <c r="K73" s="2" t="str">
        <f t="shared" si="1"/>
        <v/>
      </c>
      <c r="L73" s="2">
        <f>IF(A73="",0,IF(AND(K73=1,E73="Yes",F73="Yes",J73="Yes",ISNUMBER(G73),G73&gt;0,ISNUMBER(H73),H73&lt;=Rules!$B$6,Rules!$B$6-H73&lt;=Rules!$B$10,I73&lt;&gt;""),1,0))</f>
        <v>0</v>
      </c>
      <c r="M73" s="2">
        <f>IF(A73="",0,IF(AND(L73=1,G73&gt;=MAX(10,Rules!$B$22)),1,0))</f>
        <v>0</v>
      </c>
      <c r="N73" s="2" t="str">
        <f t="shared" si="2"/>
        <v/>
      </c>
    </row>
    <row r="74" ht="21.0" customHeight="1">
      <c r="A74" s="44"/>
      <c r="B74" s="44"/>
      <c r="C74" s="44"/>
      <c r="D74" s="44"/>
      <c r="E74" s="44"/>
      <c r="F74" s="44"/>
      <c r="G74" s="75"/>
      <c r="H74" s="48"/>
      <c r="I74" s="44"/>
      <c r="J74" s="44"/>
      <c r="K74" s="2" t="str">
        <f t="shared" si="1"/>
        <v/>
      </c>
      <c r="L74" s="2">
        <f>IF(A74="",0,IF(AND(K74=1,E74="Yes",F74="Yes",J74="Yes",ISNUMBER(G74),G74&gt;0,ISNUMBER(H74),H74&lt;=Rules!$B$6,Rules!$B$6-H74&lt;=Rules!$B$10,I74&lt;&gt;""),1,0))</f>
        <v>0</v>
      </c>
      <c r="M74" s="2">
        <f>IF(A74="",0,IF(AND(L74=1,G74&gt;=MAX(10,Rules!$B$22)),1,0))</f>
        <v>0</v>
      </c>
      <c r="N74" s="2" t="str">
        <f t="shared" si="2"/>
        <v/>
      </c>
    </row>
    <row r="75" ht="21.0" customHeight="1">
      <c r="A75" s="44"/>
      <c r="B75" s="44"/>
      <c r="C75" s="44"/>
      <c r="D75" s="44"/>
      <c r="E75" s="44"/>
      <c r="F75" s="44"/>
      <c r="G75" s="75"/>
      <c r="H75" s="48"/>
      <c r="I75" s="44"/>
      <c r="J75" s="44"/>
      <c r="K75" s="2" t="str">
        <f t="shared" si="1"/>
        <v/>
      </c>
      <c r="L75" s="2">
        <f>IF(A75="",0,IF(AND(K75=1,E75="Yes",F75="Yes",J75="Yes",ISNUMBER(G75),G75&gt;0,ISNUMBER(H75),H75&lt;=Rules!$B$6,Rules!$B$6-H75&lt;=Rules!$B$10,I75&lt;&gt;""),1,0))</f>
        <v>0</v>
      </c>
      <c r="M75" s="2">
        <f>IF(A75="",0,IF(AND(L75=1,G75&gt;=MAX(10,Rules!$B$22)),1,0))</f>
        <v>0</v>
      </c>
      <c r="N75" s="2" t="str">
        <f t="shared" si="2"/>
        <v/>
      </c>
    </row>
    <row r="76" ht="21.0" customHeight="1">
      <c r="A76" s="44"/>
      <c r="B76" s="44"/>
      <c r="C76" s="44"/>
      <c r="D76" s="44"/>
      <c r="E76" s="44"/>
      <c r="F76" s="44"/>
      <c r="G76" s="75"/>
      <c r="H76" s="48"/>
      <c r="I76" s="44"/>
      <c r="J76" s="44"/>
      <c r="K76" s="2" t="str">
        <f t="shared" si="1"/>
        <v/>
      </c>
      <c r="L76" s="2">
        <f>IF(A76="",0,IF(AND(K76=1,E76="Yes",F76="Yes",J76="Yes",ISNUMBER(G76),G76&gt;0,ISNUMBER(H76),H76&lt;=Rules!$B$6,Rules!$B$6-H76&lt;=Rules!$B$10,I76&lt;&gt;""),1,0))</f>
        <v>0</v>
      </c>
      <c r="M76" s="2">
        <f>IF(A76="",0,IF(AND(L76=1,G76&gt;=MAX(10,Rules!$B$22)),1,0))</f>
        <v>0</v>
      </c>
      <c r="N76" s="2" t="str">
        <f t="shared" si="2"/>
        <v/>
      </c>
    </row>
    <row r="77" ht="21.0" customHeight="1">
      <c r="A77" s="44"/>
      <c r="B77" s="44"/>
      <c r="C77" s="44"/>
      <c r="D77" s="44"/>
      <c r="E77" s="44"/>
      <c r="F77" s="44"/>
      <c r="G77" s="75"/>
      <c r="H77" s="48"/>
      <c r="I77" s="44"/>
      <c r="J77" s="44"/>
      <c r="K77" s="2" t="str">
        <f t="shared" si="1"/>
        <v/>
      </c>
      <c r="L77" s="2">
        <f>IF(A77="",0,IF(AND(K77=1,E77="Yes",F77="Yes",J77="Yes",ISNUMBER(G77),G77&gt;0,ISNUMBER(H77),H77&lt;=Rules!$B$6,Rules!$B$6-H77&lt;=Rules!$B$10,I77&lt;&gt;""),1,0))</f>
        <v>0</v>
      </c>
      <c r="M77" s="2">
        <f>IF(A77="",0,IF(AND(L77=1,G77&gt;=MAX(10,Rules!$B$22)),1,0))</f>
        <v>0</v>
      </c>
      <c r="N77" s="2" t="str">
        <f t="shared" si="2"/>
        <v/>
      </c>
    </row>
    <row r="78" ht="21.0" customHeight="1">
      <c r="A78" s="44"/>
      <c r="B78" s="44"/>
      <c r="C78" s="44"/>
      <c r="D78" s="44"/>
      <c r="E78" s="44"/>
      <c r="F78" s="44"/>
      <c r="G78" s="75"/>
      <c r="H78" s="48"/>
      <c r="I78" s="44"/>
      <c r="J78" s="44"/>
      <c r="K78" s="2" t="str">
        <f t="shared" si="1"/>
        <v/>
      </c>
      <c r="L78" s="2">
        <f>IF(A78="",0,IF(AND(K78=1,E78="Yes",F78="Yes",J78="Yes",ISNUMBER(G78),G78&gt;0,ISNUMBER(H78),H78&lt;=Rules!$B$6,Rules!$B$6-H78&lt;=Rules!$B$10,I78&lt;&gt;""),1,0))</f>
        <v>0</v>
      </c>
      <c r="M78" s="2">
        <f>IF(A78="",0,IF(AND(L78=1,G78&gt;=MAX(10,Rules!$B$22)),1,0))</f>
        <v>0</v>
      </c>
      <c r="N78" s="2" t="str">
        <f t="shared" si="2"/>
        <v/>
      </c>
    </row>
    <row r="79" ht="21.0" customHeight="1">
      <c r="A79" s="44"/>
      <c r="B79" s="44"/>
      <c r="C79" s="44"/>
      <c r="D79" s="44"/>
      <c r="E79" s="44"/>
      <c r="F79" s="44"/>
      <c r="G79" s="75"/>
      <c r="H79" s="48"/>
      <c r="I79" s="44"/>
      <c r="J79" s="44"/>
      <c r="K79" s="2" t="str">
        <f t="shared" si="1"/>
        <v/>
      </c>
      <c r="L79" s="2">
        <f>IF(A79="",0,IF(AND(K79=1,E79="Yes",F79="Yes",J79="Yes",ISNUMBER(G79),G79&gt;0,ISNUMBER(H79),H79&lt;=Rules!$B$6,Rules!$B$6-H79&lt;=Rules!$B$10,I79&lt;&gt;""),1,0))</f>
        <v>0</v>
      </c>
      <c r="M79" s="2">
        <f>IF(A79="",0,IF(AND(L79=1,G79&gt;=MAX(10,Rules!$B$22)),1,0))</f>
        <v>0</v>
      </c>
      <c r="N79" s="2" t="str">
        <f t="shared" si="2"/>
        <v/>
      </c>
    </row>
    <row r="80" ht="21.0" customHeight="1">
      <c r="A80" s="44"/>
      <c r="B80" s="44"/>
      <c r="C80" s="44"/>
      <c r="D80" s="44"/>
      <c r="E80" s="44"/>
      <c r="F80" s="44"/>
      <c r="G80" s="75"/>
      <c r="H80" s="48"/>
      <c r="I80" s="44"/>
      <c r="J80" s="44"/>
      <c r="K80" s="2" t="str">
        <f t="shared" si="1"/>
        <v/>
      </c>
      <c r="L80" s="2">
        <f>IF(A80="",0,IF(AND(K80=1,E80="Yes",F80="Yes",J80="Yes",ISNUMBER(G80),G80&gt;0,ISNUMBER(H80),H80&lt;=Rules!$B$6,Rules!$B$6-H80&lt;=Rules!$B$10,I80&lt;&gt;""),1,0))</f>
        <v>0</v>
      </c>
      <c r="M80" s="2">
        <f>IF(A80="",0,IF(AND(L80=1,G80&gt;=MAX(10,Rules!$B$22)),1,0))</f>
        <v>0</v>
      </c>
      <c r="N80" s="2" t="str">
        <f t="shared" si="2"/>
        <v/>
      </c>
    </row>
  </sheetData>
  <autoFilter ref="$A$5:$N$80"/>
  <mergeCells count="2">
    <mergeCell ref="A2:B2"/>
    <mergeCell ref="A3:B3"/>
  </mergeCells>
  <dataValidations>
    <dataValidation type="list" allowBlank="1" showErrorMessage="1" sqref="E6:F80 J6:J80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21.38"/>
    <col customWidth="1" min="3" max="3" width="22.63"/>
    <col customWidth="1" min="4" max="4" width="43.88"/>
    <col customWidth="1" min="5" max="5" width="17.63"/>
    <col customWidth="1" min="6" max="7" width="15.75"/>
    <col customWidth="1" min="8" max="8" width="43.88"/>
    <col customWidth="1" min="9" max="10" width="15.75"/>
    <col customWidth="1" min="11" max="11" width="25.75"/>
    <col customWidth="1" min="12" max="12" width="13.88"/>
    <col customWidth="1" hidden="1" min="13" max="19" width="18.25"/>
    <col customWidth="1" min="20" max="20" width="36.38"/>
    <col customWidth="1" hidden="1" min="21" max="23" width="18.25"/>
  </cols>
  <sheetData>
    <row r="2">
      <c r="A2" s="4" t="s">
        <v>857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8.5" customHeight="1">
      <c r="A3" s="7" t="s">
        <v>858</v>
      </c>
      <c r="C3" s="10"/>
      <c r="D3" s="10"/>
      <c r="E3" s="10"/>
      <c r="F3" s="10"/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51.0" customHeight="1">
      <c r="A5" s="43" t="s">
        <v>859</v>
      </c>
      <c r="B5" s="43" t="s">
        <v>854</v>
      </c>
      <c r="C5" s="43" t="s">
        <v>860</v>
      </c>
      <c r="D5" s="43" t="s">
        <v>861</v>
      </c>
      <c r="E5" s="43" t="s">
        <v>862</v>
      </c>
      <c r="F5" s="43" t="s">
        <v>863</v>
      </c>
      <c r="G5" s="43" t="s">
        <v>864</v>
      </c>
      <c r="H5" s="43" t="s">
        <v>865</v>
      </c>
      <c r="I5" s="43" t="s">
        <v>866</v>
      </c>
      <c r="J5" s="43" t="s">
        <v>867</v>
      </c>
      <c r="K5" s="43" t="s">
        <v>868</v>
      </c>
      <c r="L5" s="43" t="s">
        <v>286</v>
      </c>
      <c r="M5" s="43" t="s">
        <v>869</v>
      </c>
      <c r="N5" s="43" t="s">
        <v>870</v>
      </c>
      <c r="O5" s="43" t="s">
        <v>871</v>
      </c>
      <c r="P5" s="43" t="s">
        <v>855</v>
      </c>
      <c r="Q5" s="43" t="s">
        <v>872</v>
      </c>
      <c r="R5" s="43" t="s">
        <v>240</v>
      </c>
      <c r="S5" s="43" t="s">
        <v>873</v>
      </c>
      <c r="T5" s="43" t="s">
        <v>874</v>
      </c>
      <c r="U5" s="43" t="s">
        <v>875</v>
      </c>
      <c r="V5" s="43" t="s">
        <v>876</v>
      </c>
      <c r="W5" s="43" t="s">
        <v>877</v>
      </c>
    </row>
    <row r="6" ht="21.0" customHeight="1">
      <c r="A6" s="44"/>
      <c r="B6" s="44"/>
      <c r="C6" s="44"/>
      <c r="D6" s="44"/>
      <c r="E6" s="44"/>
      <c r="F6" s="48"/>
      <c r="G6" s="48"/>
      <c r="H6" s="44"/>
      <c r="I6" s="48"/>
      <c r="J6" s="48"/>
      <c r="K6" s="44"/>
      <c r="L6" s="44"/>
      <c r="M6" s="2" t="str">
        <f>IF(A6="","",COUNTIF(Companies!$A$6:$A$55,A6))</f>
        <v/>
      </c>
      <c r="N6" s="2" t="str">
        <f>IF(B6="","",COUNTIF(Counterparties!$A$6:$A$80,B6))</f>
        <v/>
      </c>
      <c r="O6" s="2" t="str">
        <f t="shared" ref="O6:O205" si="1">IF(OR(A6="",B6=""),"",COUNTIFS($A$6:$A$205,A6,$B$6:$B$205,B6,$L$6:$L$205,"Yes",$E$6:$E$205,"Active"))</f>
        <v/>
      </c>
      <c r="P6" s="2" t="str">
        <f t="array" ref="P6">IF(B6="","",IF(N6&lt;&gt;1,"n.a.",INDEX(Counterparties!$C$6:$C$80,MATCH(B6,Counterparties!$A$6:$A$80,0))))</f>
        <v/>
      </c>
      <c r="Q6" s="2" t="str">
        <f t="array" ref="Q6">IF(B6="","",IF(N6&lt;&gt;1,"n.a.",INDEX(Counterparties!$G$6:$G$80,MATCH(B6,Counterparties!$A$6:$A$80,0))))</f>
        <v/>
      </c>
      <c r="R6" s="2">
        <f t="array" ref="R6">IF(A6="",0,IF(M6&lt;&gt;1,0,IF(AND(INDEX(Companies!$R$6:$R$55,MATCH(A6,Companies!$A$6:$A$55,0))=1,INDEX(Companies!$I$6:$I$55,MATCH(A6,Companies!$A$6:$A$55,0))&gt;=MAX(10,Rules!$B$22)),1,0)))</f>
        <v>0</v>
      </c>
      <c r="S6" s="2" t="str">
        <f t="array" ref="S6">IF(B6="","",IF(N6&lt;&gt;1,"Check counterparty ID",INDEX(Counterparties!$N$6:$N$80,MATCH(B6,Counterparties!$A$6:$A$80,0))))</f>
        <v/>
      </c>
      <c r="T6" s="2" t="str">
        <f t="shared" ref="T6:T205" si="2">IF(COUNTA(A6:L6)=0,"",IF(A6="","Missing company ID",IF(L6&lt;&gt;"Yes","Excluded",IF(R6&lt;&gt;1,"Ineligible subject",IF(OR(E6="Expired",E6="Proposed"),"Inactive/proposed",IF(A6=B6,"Self relationship",IF(N6&lt;&gt;1,"Check counterparty ID",IF(OR(S6="Excluded",S6="Not public operating equity"),"Counterparty excluded",IF(S6="Below cap floor","Below counterparty cap floor",IF(S6&lt;&gt;"Ready","Check counterparty data",IF(O6&gt;1,"Duplicate pair",IF(W6&lt;&gt;1,"Check activity/evidence/dates","Ready"))))))))))))</f>
        <v/>
      </c>
      <c r="U6" s="2">
        <f t="shared" ref="U6:U205" si="3">IF(T6="Ready",1,0)</f>
        <v>0</v>
      </c>
      <c r="V6" s="2">
        <f t="shared" ref="V6:V205" si="4">IF(AND(L6="Yes",R6=1,T6&lt;&gt;"Ready",T6&lt;&gt;"Inactive/proposed",T6&lt;&gt;"Counterparty excluded",T6&lt;&gt;"Below counterparty cap floor"),1,0)</f>
        <v>0</v>
      </c>
      <c r="W6" s="2">
        <f>IF(COUNTA(A6:L6)=0,0,IF(AND(OR(C6="Client",C6="Partner",C6="Client and partner"),D6&lt;&gt;"",E6="Active",H6&lt;&gt;"",ISNUMBER(I6),ISNUMBER(J6),I6&lt;=J6,J6&lt;=Rules!$B$6,Rules!$B$6-J6&lt;=Rules!$B$42,K6="Yes",OR(F6="",AND(ISNUMBER(F6),F6&lt;=Rules!$B$6)),OR(G6="",AND(ISNUMBER(G6),G6&gt;=Rules!$B$6)),OR(F6="",G6="",G6&gt;=F6)),1,0))</f>
        <v>0</v>
      </c>
    </row>
    <row r="7" ht="21.0" customHeight="1">
      <c r="A7" s="44"/>
      <c r="B7" s="44"/>
      <c r="C7" s="44"/>
      <c r="D7" s="44"/>
      <c r="E7" s="44"/>
      <c r="F7" s="48"/>
      <c r="G7" s="48"/>
      <c r="H7" s="44"/>
      <c r="I7" s="48"/>
      <c r="J7" s="48"/>
      <c r="K7" s="44"/>
      <c r="L7" s="44"/>
      <c r="M7" s="2" t="str">
        <f>IF(A7="","",COUNTIF(Companies!$A$6:$A$55,A7))</f>
        <v/>
      </c>
      <c r="N7" s="2" t="str">
        <f>IF(B7="","",COUNTIF(Counterparties!$A$6:$A$80,B7))</f>
        <v/>
      </c>
      <c r="O7" s="2" t="str">
        <f t="shared" si="1"/>
        <v/>
      </c>
      <c r="P7" s="2" t="str">
        <f t="array" ref="P7">IF(B7="","",IF(N7&lt;&gt;1,"n.a.",INDEX(Counterparties!$C$6:$C$80,MATCH(B7,Counterparties!$A$6:$A$80,0))))</f>
        <v/>
      </c>
      <c r="Q7" s="2" t="str">
        <f t="array" ref="Q7">IF(B7="","",IF(N7&lt;&gt;1,"n.a.",INDEX(Counterparties!$G$6:$G$80,MATCH(B7,Counterparties!$A$6:$A$80,0))))</f>
        <v/>
      </c>
      <c r="R7" s="2">
        <f t="array" ref="R7">IF(A7="",0,IF(M7&lt;&gt;1,0,IF(AND(INDEX(Companies!$R$6:$R$55,MATCH(A7,Companies!$A$6:$A$55,0))=1,INDEX(Companies!$I$6:$I$55,MATCH(A7,Companies!$A$6:$A$55,0))&gt;=MAX(10,Rules!$B$22)),1,0)))</f>
        <v>0</v>
      </c>
      <c r="S7" s="2" t="str">
        <f t="array" ref="S7">IF(B7="","",IF(N7&lt;&gt;1,"Check counterparty ID",INDEX(Counterparties!$N$6:$N$80,MATCH(B7,Counterparties!$A$6:$A$80,0))))</f>
        <v/>
      </c>
      <c r="T7" s="2" t="str">
        <f t="shared" si="2"/>
        <v/>
      </c>
      <c r="U7" s="2">
        <f t="shared" si="3"/>
        <v>0</v>
      </c>
      <c r="V7" s="2">
        <f t="shared" si="4"/>
        <v>0</v>
      </c>
      <c r="W7" s="2">
        <f>IF(COUNTA(A7:L7)=0,0,IF(AND(OR(C7="Client",C7="Partner",C7="Client and partner"),D7&lt;&gt;"",E7="Active",H7&lt;&gt;"",ISNUMBER(I7),ISNUMBER(J7),I7&lt;=J7,J7&lt;=Rules!$B$6,Rules!$B$6-J7&lt;=Rules!$B$42,K7="Yes",OR(F7="",AND(ISNUMBER(F7),F7&lt;=Rules!$B$6)),OR(G7="",AND(ISNUMBER(G7),G7&gt;=Rules!$B$6)),OR(F7="",G7="",G7&gt;=F7)),1,0))</f>
        <v>0</v>
      </c>
    </row>
    <row r="8" ht="21.0" customHeight="1">
      <c r="A8" s="44"/>
      <c r="B8" s="44"/>
      <c r="C8" s="44"/>
      <c r="D8" s="44"/>
      <c r="E8" s="44"/>
      <c r="F8" s="48"/>
      <c r="G8" s="48"/>
      <c r="H8" s="44"/>
      <c r="I8" s="48"/>
      <c r="J8" s="48"/>
      <c r="K8" s="44"/>
      <c r="L8" s="44"/>
      <c r="M8" s="2" t="str">
        <f>IF(A8="","",COUNTIF(Companies!$A$6:$A$55,A8))</f>
        <v/>
      </c>
      <c r="N8" s="2" t="str">
        <f>IF(B8="","",COUNTIF(Counterparties!$A$6:$A$80,B8))</f>
        <v/>
      </c>
      <c r="O8" s="2" t="str">
        <f t="shared" si="1"/>
        <v/>
      </c>
      <c r="P8" s="2" t="str">
        <f t="array" ref="P8">IF(B8="","",IF(N8&lt;&gt;1,"n.a.",INDEX(Counterparties!$C$6:$C$80,MATCH(B8,Counterparties!$A$6:$A$80,0))))</f>
        <v/>
      </c>
      <c r="Q8" s="2" t="str">
        <f t="array" ref="Q8">IF(B8="","",IF(N8&lt;&gt;1,"n.a.",INDEX(Counterparties!$G$6:$G$80,MATCH(B8,Counterparties!$A$6:$A$80,0))))</f>
        <v/>
      </c>
      <c r="R8" s="2">
        <f t="array" ref="R8">IF(A8="",0,IF(M8&lt;&gt;1,0,IF(AND(INDEX(Companies!$R$6:$R$55,MATCH(A8,Companies!$A$6:$A$55,0))=1,INDEX(Companies!$I$6:$I$55,MATCH(A8,Companies!$A$6:$A$55,0))&gt;=MAX(10,Rules!$B$22)),1,0)))</f>
        <v>0</v>
      </c>
      <c r="S8" s="2" t="str">
        <f t="array" ref="S8">IF(B8="","",IF(N8&lt;&gt;1,"Check counterparty ID",INDEX(Counterparties!$N$6:$N$80,MATCH(B8,Counterparties!$A$6:$A$80,0))))</f>
        <v/>
      </c>
      <c r="T8" s="2" t="str">
        <f t="shared" si="2"/>
        <v/>
      </c>
      <c r="U8" s="2">
        <f t="shared" si="3"/>
        <v>0</v>
      </c>
      <c r="V8" s="2">
        <f t="shared" si="4"/>
        <v>0</v>
      </c>
      <c r="W8" s="2">
        <f>IF(COUNTA(A8:L8)=0,0,IF(AND(OR(C8="Client",C8="Partner",C8="Client and partner"),D8&lt;&gt;"",E8="Active",H8&lt;&gt;"",ISNUMBER(I8),ISNUMBER(J8),I8&lt;=J8,J8&lt;=Rules!$B$6,Rules!$B$6-J8&lt;=Rules!$B$42,K8="Yes",OR(F8="",AND(ISNUMBER(F8),F8&lt;=Rules!$B$6)),OR(G8="",AND(ISNUMBER(G8),G8&gt;=Rules!$B$6)),OR(F8="",G8="",G8&gt;=F8)),1,0))</f>
        <v>0</v>
      </c>
    </row>
    <row r="9" ht="21.0" customHeight="1">
      <c r="A9" s="44"/>
      <c r="B9" s="44"/>
      <c r="C9" s="44"/>
      <c r="D9" s="44"/>
      <c r="E9" s="44"/>
      <c r="F9" s="48"/>
      <c r="G9" s="48"/>
      <c r="H9" s="44"/>
      <c r="I9" s="48"/>
      <c r="J9" s="48"/>
      <c r="K9" s="44"/>
      <c r="L9" s="44"/>
      <c r="M9" s="2" t="str">
        <f>IF(A9="","",COUNTIF(Companies!$A$6:$A$55,A9))</f>
        <v/>
      </c>
      <c r="N9" s="2" t="str">
        <f>IF(B9="","",COUNTIF(Counterparties!$A$6:$A$80,B9))</f>
        <v/>
      </c>
      <c r="O9" s="2" t="str">
        <f t="shared" si="1"/>
        <v/>
      </c>
      <c r="P9" s="2" t="str">
        <f t="array" ref="P9">IF(B9="","",IF(N9&lt;&gt;1,"n.a.",INDEX(Counterparties!$C$6:$C$80,MATCH(B9,Counterparties!$A$6:$A$80,0))))</f>
        <v/>
      </c>
      <c r="Q9" s="2" t="str">
        <f t="array" ref="Q9">IF(B9="","",IF(N9&lt;&gt;1,"n.a.",INDEX(Counterparties!$G$6:$G$80,MATCH(B9,Counterparties!$A$6:$A$80,0))))</f>
        <v/>
      </c>
      <c r="R9" s="2">
        <f t="array" ref="R9">IF(A9="",0,IF(M9&lt;&gt;1,0,IF(AND(INDEX(Companies!$R$6:$R$55,MATCH(A9,Companies!$A$6:$A$55,0))=1,INDEX(Companies!$I$6:$I$55,MATCH(A9,Companies!$A$6:$A$55,0))&gt;=MAX(10,Rules!$B$22)),1,0)))</f>
        <v>0</v>
      </c>
      <c r="S9" s="2" t="str">
        <f t="array" ref="S9">IF(B9="","",IF(N9&lt;&gt;1,"Check counterparty ID",INDEX(Counterparties!$N$6:$N$80,MATCH(B9,Counterparties!$A$6:$A$80,0))))</f>
        <v/>
      </c>
      <c r="T9" s="2" t="str">
        <f t="shared" si="2"/>
        <v/>
      </c>
      <c r="U9" s="2">
        <f t="shared" si="3"/>
        <v>0</v>
      </c>
      <c r="V9" s="2">
        <f t="shared" si="4"/>
        <v>0</v>
      </c>
      <c r="W9" s="2">
        <f>IF(COUNTA(A9:L9)=0,0,IF(AND(OR(C9="Client",C9="Partner",C9="Client and partner"),D9&lt;&gt;"",E9="Active",H9&lt;&gt;"",ISNUMBER(I9),ISNUMBER(J9),I9&lt;=J9,J9&lt;=Rules!$B$6,Rules!$B$6-J9&lt;=Rules!$B$42,K9="Yes",OR(F9="",AND(ISNUMBER(F9),F9&lt;=Rules!$B$6)),OR(G9="",AND(ISNUMBER(G9),G9&gt;=Rules!$B$6)),OR(F9="",G9="",G9&gt;=F9)),1,0))</f>
        <v>0</v>
      </c>
    </row>
    <row r="10" ht="21.0" customHeight="1">
      <c r="A10" s="44"/>
      <c r="B10" s="44"/>
      <c r="C10" s="44"/>
      <c r="D10" s="44"/>
      <c r="E10" s="44"/>
      <c r="F10" s="48"/>
      <c r="G10" s="48"/>
      <c r="H10" s="44"/>
      <c r="I10" s="48"/>
      <c r="J10" s="48"/>
      <c r="K10" s="44"/>
      <c r="L10" s="44"/>
      <c r="M10" s="2" t="str">
        <f>IF(A10="","",COUNTIF(Companies!$A$6:$A$55,A10))</f>
        <v/>
      </c>
      <c r="N10" s="2" t="str">
        <f>IF(B10="","",COUNTIF(Counterparties!$A$6:$A$80,B10))</f>
        <v/>
      </c>
      <c r="O10" s="2" t="str">
        <f t="shared" si="1"/>
        <v/>
      </c>
      <c r="P10" s="2" t="str">
        <f t="array" ref="P10">IF(B10="","",IF(N10&lt;&gt;1,"n.a.",INDEX(Counterparties!$C$6:$C$80,MATCH(B10,Counterparties!$A$6:$A$80,0))))</f>
        <v/>
      </c>
      <c r="Q10" s="2" t="str">
        <f t="array" ref="Q10">IF(B10="","",IF(N10&lt;&gt;1,"n.a.",INDEX(Counterparties!$G$6:$G$80,MATCH(B10,Counterparties!$A$6:$A$80,0))))</f>
        <v/>
      </c>
      <c r="R10" s="2">
        <f t="array" ref="R10">IF(A10="",0,IF(M10&lt;&gt;1,0,IF(AND(INDEX(Companies!$R$6:$R$55,MATCH(A10,Companies!$A$6:$A$55,0))=1,INDEX(Companies!$I$6:$I$55,MATCH(A10,Companies!$A$6:$A$55,0))&gt;=MAX(10,Rules!$B$22)),1,0)))</f>
        <v>0</v>
      </c>
      <c r="S10" s="2" t="str">
        <f t="array" ref="S10">IF(B10="","",IF(N10&lt;&gt;1,"Check counterparty ID",INDEX(Counterparties!$N$6:$N$80,MATCH(B10,Counterparties!$A$6:$A$80,0))))</f>
        <v/>
      </c>
      <c r="T10" s="2" t="str">
        <f t="shared" si="2"/>
        <v/>
      </c>
      <c r="U10" s="2">
        <f t="shared" si="3"/>
        <v>0</v>
      </c>
      <c r="V10" s="2">
        <f t="shared" si="4"/>
        <v>0</v>
      </c>
      <c r="W10" s="2">
        <f>IF(COUNTA(A10:L10)=0,0,IF(AND(OR(C10="Client",C10="Partner",C10="Client and partner"),D10&lt;&gt;"",E10="Active",H10&lt;&gt;"",ISNUMBER(I10),ISNUMBER(J10),I10&lt;=J10,J10&lt;=Rules!$B$6,Rules!$B$6-J10&lt;=Rules!$B$42,K10="Yes",OR(F10="",AND(ISNUMBER(F10),F10&lt;=Rules!$B$6)),OR(G10="",AND(ISNUMBER(G10),G10&gt;=Rules!$B$6)),OR(F10="",G10="",G10&gt;=F10)),1,0))</f>
        <v>0</v>
      </c>
    </row>
    <row r="11" ht="21.0" customHeight="1">
      <c r="A11" s="44"/>
      <c r="B11" s="44"/>
      <c r="C11" s="44"/>
      <c r="D11" s="44"/>
      <c r="E11" s="44"/>
      <c r="F11" s="48"/>
      <c r="G11" s="48"/>
      <c r="H11" s="44"/>
      <c r="I11" s="48"/>
      <c r="J11" s="48"/>
      <c r="K11" s="44"/>
      <c r="L11" s="44"/>
      <c r="M11" s="2" t="str">
        <f>IF(A11="","",COUNTIF(Companies!$A$6:$A$55,A11))</f>
        <v/>
      </c>
      <c r="N11" s="2" t="str">
        <f>IF(B11="","",COUNTIF(Counterparties!$A$6:$A$80,B11))</f>
        <v/>
      </c>
      <c r="O11" s="2" t="str">
        <f t="shared" si="1"/>
        <v/>
      </c>
      <c r="P11" s="2" t="str">
        <f t="array" ref="P11">IF(B11="","",IF(N11&lt;&gt;1,"n.a.",INDEX(Counterparties!$C$6:$C$80,MATCH(B11,Counterparties!$A$6:$A$80,0))))</f>
        <v/>
      </c>
      <c r="Q11" s="2" t="str">
        <f t="array" ref="Q11">IF(B11="","",IF(N11&lt;&gt;1,"n.a.",INDEX(Counterparties!$G$6:$G$80,MATCH(B11,Counterparties!$A$6:$A$80,0))))</f>
        <v/>
      </c>
      <c r="R11" s="2">
        <f t="array" ref="R11">IF(A11="",0,IF(M11&lt;&gt;1,0,IF(AND(INDEX(Companies!$R$6:$R$55,MATCH(A11,Companies!$A$6:$A$55,0))=1,INDEX(Companies!$I$6:$I$55,MATCH(A11,Companies!$A$6:$A$55,0))&gt;=MAX(10,Rules!$B$22)),1,0)))</f>
        <v>0</v>
      </c>
      <c r="S11" s="2" t="str">
        <f t="array" ref="S11">IF(B11="","",IF(N11&lt;&gt;1,"Check counterparty ID",INDEX(Counterparties!$N$6:$N$80,MATCH(B11,Counterparties!$A$6:$A$80,0))))</f>
        <v/>
      </c>
      <c r="T11" s="2" t="str">
        <f t="shared" si="2"/>
        <v/>
      </c>
      <c r="U11" s="2">
        <f t="shared" si="3"/>
        <v>0</v>
      </c>
      <c r="V11" s="2">
        <f t="shared" si="4"/>
        <v>0</v>
      </c>
      <c r="W11" s="2">
        <f>IF(COUNTA(A11:L11)=0,0,IF(AND(OR(C11="Client",C11="Partner",C11="Client and partner"),D11&lt;&gt;"",E11="Active",H11&lt;&gt;"",ISNUMBER(I11),ISNUMBER(J11),I11&lt;=J11,J11&lt;=Rules!$B$6,Rules!$B$6-J11&lt;=Rules!$B$42,K11="Yes",OR(F11="",AND(ISNUMBER(F11),F11&lt;=Rules!$B$6)),OR(G11="",AND(ISNUMBER(G11),G11&gt;=Rules!$B$6)),OR(F11="",G11="",G11&gt;=F11)),1,0))</f>
        <v>0</v>
      </c>
    </row>
    <row r="12" ht="21.0" customHeight="1">
      <c r="A12" s="44"/>
      <c r="B12" s="44"/>
      <c r="C12" s="44"/>
      <c r="D12" s="44"/>
      <c r="E12" s="44"/>
      <c r="F12" s="48"/>
      <c r="G12" s="48"/>
      <c r="H12" s="44"/>
      <c r="I12" s="48"/>
      <c r="J12" s="48"/>
      <c r="K12" s="44"/>
      <c r="L12" s="44"/>
      <c r="M12" s="2" t="str">
        <f>IF(A12="","",COUNTIF(Companies!$A$6:$A$55,A12))</f>
        <v/>
      </c>
      <c r="N12" s="2" t="str">
        <f>IF(B12="","",COUNTIF(Counterparties!$A$6:$A$80,B12))</f>
        <v/>
      </c>
      <c r="O12" s="2" t="str">
        <f t="shared" si="1"/>
        <v/>
      </c>
      <c r="P12" s="2" t="str">
        <f t="array" ref="P12">IF(B12="","",IF(N12&lt;&gt;1,"n.a.",INDEX(Counterparties!$C$6:$C$80,MATCH(B12,Counterparties!$A$6:$A$80,0))))</f>
        <v/>
      </c>
      <c r="Q12" s="2" t="str">
        <f t="array" ref="Q12">IF(B12="","",IF(N12&lt;&gt;1,"n.a.",INDEX(Counterparties!$G$6:$G$80,MATCH(B12,Counterparties!$A$6:$A$80,0))))</f>
        <v/>
      </c>
      <c r="R12" s="2">
        <f t="array" ref="R12">IF(A12="",0,IF(M12&lt;&gt;1,0,IF(AND(INDEX(Companies!$R$6:$R$55,MATCH(A12,Companies!$A$6:$A$55,0))=1,INDEX(Companies!$I$6:$I$55,MATCH(A12,Companies!$A$6:$A$55,0))&gt;=MAX(10,Rules!$B$22)),1,0)))</f>
        <v>0</v>
      </c>
      <c r="S12" s="2" t="str">
        <f t="array" ref="S12">IF(B12="","",IF(N12&lt;&gt;1,"Check counterparty ID",INDEX(Counterparties!$N$6:$N$80,MATCH(B12,Counterparties!$A$6:$A$80,0))))</f>
        <v/>
      </c>
      <c r="T12" s="2" t="str">
        <f t="shared" si="2"/>
        <v/>
      </c>
      <c r="U12" s="2">
        <f t="shared" si="3"/>
        <v>0</v>
      </c>
      <c r="V12" s="2">
        <f t="shared" si="4"/>
        <v>0</v>
      </c>
      <c r="W12" s="2">
        <f>IF(COUNTA(A12:L12)=0,0,IF(AND(OR(C12="Client",C12="Partner",C12="Client and partner"),D12&lt;&gt;"",E12="Active",H12&lt;&gt;"",ISNUMBER(I12),ISNUMBER(J12),I12&lt;=J12,J12&lt;=Rules!$B$6,Rules!$B$6-J12&lt;=Rules!$B$42,K12="Yes",OR(F12="",AND(ISNUMBER(F12),F12&lt;=Rules!$B$6)),OR(G12="",AND(ISNUMBER(G12),G12&gt;=Rules!$B$6)),OR(F12="",G12="",G12&gt;=F12)),1,0))</f>
        <v>0</v>
      </c>
    </row>
    <row r="13" ht="21.0" customHeight="1">
      <c r="A13" s="44"/>
      <c r="B13" s="44"/>
      <c r="C13" s="44"/>
      <c r="D13" s="44"/>
      <c r="E13" s="44"/>
      <c r="F13" s="48"/>
      <c r="G13" s="48"/>
      <c r="H13" s="44"/>
      <c r="I13" s="48"/>
      <c r="J13" s="48"/>
      <c r="K13" s="44"/>
      <c r="L13" s="44"/>
      <c r="M13" s="2" t="str">
        <f>IF(A13="","",COUNTIF(Companies!$A$6:$A$55,A13))</f>
        <v/>
      </c>
      <c r="N13" s="2" t="str">
        <f>IF(B13="","",COUNTIF(Counterparties!$A$6:$A$80,B13))</f>
        <v/>
      </c>
      <c r="O13" s="2" t="str">
        <f t="shared" si="1"/>
        <v/>
      </c>
      <c r="P13" s="2" t="str">
        <f t="array" ref="P13">IF(B13="","",IF(N13&lt;&gt;1,"n.a.",INDEX(Counterparties!$C$6:$C$80,MATCH(B13,Counterparties!$A$6:$A$80,0))))</f>
        <v/>
      </c>
      <c r="Q13" s="2" t="str">
        <f t="array" ref="Q13">IF(B13="","",IF(N13&lt;&gt;1,"n.a.",INDEX(Counterparties!$G$6:$G$80,MATCH(B13,Counterparties!$A$6:$A$80,0))))</f>
        <v/>
      </c>
      <c r="R13" s="2">
        <f t="array" ref="R13">IF(A13="",0,IF(M13&lt;&gt;1,0,IF(AND(INDEX(Companies!$R$6:$R$55,MATCH(A13,Companies!$A$6:$A$55,0))=1,INDEX(Companies!$I$6:$I$55,MATCH(A13,Companies!$A$6:$A$55,0))&gt;=MAX(10,Rules!$B$22)),1,0)))</f>
        <v>0</v>
      </c>
      <c r="S13" s="2" t="str">
        <f t="array" ref="S13">IF(B13="","",IF(N13&lt;&gt;1,"Check counterparty ID",INDEX(Counterparties!$N$6:$N$80,MATCH(B13,Counterparties!$A$6:$A$80,0))))</f>
        <v/>
      </c>
      <c r="T13" s="2" t="str">
        <f t="shared" si="2"/>
        <v/>
      </c>
      <c r="U13" s="2">
        <f t="shared" si="3"/>
        <v>0</v>
      </c>
      <c r="V13" s="2">
        <f t="shared" si="4"/>
        <v>0</v>
      </c>
      <c r="W13" s="2">
        <f>IF(COUNTA(A13:L13)=0,0,IF(AND(OR(C13="Client",C13="Partner",C13="Client and partner"),D13&lt;&gt;"",E13="Active",H13&lt;&gt;"",ISNUMBER(I13),ISNUMBER(J13),I13&lt;=J13,J13&lt;=Rules!$B$6,Rules!$B$6-J13&lt;=Rules!$B$42,K13="Yes",OR(F13="",AND(ISNUMBER(F13),F13&lt;=Rules!$B$6)),OR(G13="",AND(ISNUMBER(G13),G13&gt;=Rules!$B$6)),OR(F13="",G13="",G13&gt;=F13)),1,0))</f>
        <v>0</v>
      </c>
    </row>
    <row r="14" ht="21.0" customHeight="1">
      <c r="A14" s="44"/>
      <c r="B14" s="44"/>
      <c r="C14" s="44"/>
      <c r="D14" s="44"/>
      <c r="E14" s="44"/>
      <c r="F14" s="48"/>
      <c r="G14" s="48"/>
      <c r="H14" s="44"/>
      <c r="I14" s="48"/>
      <c r="J14" s="48"/>
      <c r="K14" s="44"/>
      <c r="L14" s="44"/>
      <c r="M14" s="2" t="str">
        <f>IF(A14="","",COUNTIF(Companies!$A$6:$A$55,A14))</f>
        <v/>
      </c>
      <c r="N14" s="2" t="str">
        <f>IF(B14="","",COUNTIF(Counterparties!$A$6:$A$80,B14))</f>
        <v/>
      </c>
      <c r="O14" s="2" t="str">
        <f t="shared" si="1"/>
        <v/>
      </c>
      <c r="P14" s="2" t="str">
        <f t="array" ref="P14">IF(B14="","",IF(N14&lt;&gt;1,"n.a.",INDEX(Counterparties!$C$6:$C$80,MATCH(B14,Counterparties!$A$6:$A$80,0))))</f>
        <v/>
      </c>
      <c r="Q14" s="2" t="str">
        <f t="array" ref="Q14">IF(B14="","",IF(N14&lt;&gt;1,"n.a.",INDEX(Counterparties!$G$6:$G$80,MATCH(B14,Counterparties!$A$6:$A$80,0))))</f>
        <v/>
      </c>
      <c r="R14" s="2">
        <f t="array" ref="R14">IF(A14="",0,IF(M14&lt;&gt;1,0,IF(AND(INDEX(Companies!$R$6:$R$55,MATCH(A14,Companies!$A$6:$A$55,0))=1,INDEX(Companies!$I$6:$I$55,MATCH(A14,Companies!$A$6:$A$55,0))&gt;=MAX(10,Rules!$B$22)),1,0)))</f>
        <v>0</v>
      </c>
      <c r="S14" s="2" t="str">
        <f t="array" ref="S14">IF(B14="","",IF(N14&lt;&gt;1,"Check counterparty ID",INDEX(Counterparties!$N$6:$N$80,MATCH(B14,Counterparties!$A$6:$A$80,0))))</f>
        <v/>
      </c>
      <c r="T14" s="2" t="str">
        <f t="shared" si="2"/>
        <v/>
      </c>
      <c r="U14" s="2">
        <f t="shared" si="3"/>
        <v>0</v>
      </c>
      <c r="V14" s="2">
        <f t="shared" si="4"/>
        <v>0</v>
      </c>
      <c r="W14" s="2">
        <f>IF(COUNTA(A14:L14)=0,0,IF(AND(OR(C14="Client",C14="Partner",C14="Client and partner"),D14&lt;&gt;"",E14="Active",H14&lt;&gt;"",ISNUMBER(I14),ISNUMBER(J14),I14&lt;=J14,J14&lt;=Rules!$B$6,Rules!$B$6-J14&lt;=Rules!$B$42,K14="Yes",OR(F14="",AND(ISNUMBER(F14),F14&lt;=Rules!$B$6)),OR(G14="",AND(ISNUMBER(G14),G14&gt;=Rules!$B$6)),OR(F14="",G14="",G14&gt;=F14)),1,0))</f>
        <v>0</v>
      </c>
    </row>
    <row r="15" ht="21.0" customHeight="1">
      <c r="A15" s="44"/>
      <c r="B15" s="44"/>
      <c r="C15" s="44"/>
      <c r="D15" s="44"/>
      <c r="E15" s="44"/>
      <c r="F15" s="48"/>
      <c r="G15" s="48"/>
      <c r="H15" s="44"/>
      <c r="I15" s="48"/>
      <c r="J15" s="48"/>
      <c r="K15" s="44"/>
      <c r="L15" s="44"/>
      <c r="M15" s="2" t="str">
        <f>IF(A15="","",COUNTIF(Companies!$A$6:$A$55,A15))</f>
        <v/>
      </c>
      <c r="N15" s="2" t="str">
        <f>IF(B15="","",COUNTIF(Counterparties!$A$6:$A$80,B15))</f>
        <v/>
      </c>
      <c r="O15" s="2" t="str">
        <f t="shared" si="1"/>
        <v/>
      </c>
      <c r="P15" s="2" t="str">
        <f t="array" ref="P15">IF(B15="","",IF(N15&lt;&gt;1,"n.a.",INDEX(Counterparties!$C$6:$C$80,MATCH(B15,Counterparties!$A$6:$A$80,0))))</f>
        <v/>
      </c>
      <c r="Q15" s="2" t="str">
        <f t="array" ref="Q15">IF(B15="","",IF(N15&lt;&gt;1,"n.a.",INDEX(Counterparties!$G$6:$G$80,MATCH(B15,Counterparties!$A$6:$A$80,0))))</f>
        <v/>
      </c>
      <c r="R15" s="2">
        <f t="array" ref="R15">IF(A15="",0,IF(M15&lt;&gt;1,0,IF(AND(INDEX(Companies!$R$6:$R$55,MATCH(A15,Companies!$A$6:$A$55,0))=1,INDEX(Companies!$I$6:$I$55,MATCH(A15,Companies!$A$6:$A$55,0))&gt;=MAX(10,Rules!$B$22)),1,0)))</f>
        <v>0</v>
      </c>
      <c r="S15" s="2" t="str">
        <f t="array" ref="S15">IF(B15="","",IF(N15&lt;&gt;1,"Check counterparty ID",INDEX(Counterparties!$N$6:$N$80,MATCH(B15,Counterparties!$A$6:$A$80,0))))</f>
        <v/>
      </c>
      <c r="T15" s="2" t="str">
        <f t="shared" si="2"/>
        <v/>
      </c>
      <c r="U15" s="2">
        <f t="shared" si="3"/>
        <v>0</v>
      </c>
      <c r="V15" s="2">
        <f t="shared" si="4"/>
        <v>0</v>
      </c>
      <c r="W15" s="2">
        <f>IF(COUNTA(A15:L15)=0,0,IF(AND(OR(C15="Client",C15="Partner",C15="Client and partner"),D15&lt;&gt;"",E15="Active",H15&lt;&gt;"",ISNUMBER(I15),ISNUMBER(J15),I15&lt;=J15,J15&lt;=Rules!$B$6,Rules!$B$6-J15&lt;=Rules!$B$42,K15="Yes",OR(F15="",AND(ISNUMBER(F15),F15&lt;=Rules!$B$6)),OR(G15="",AND(ISNUMBER(G15),G15&gt;=Rules!$B$6)),OR(F15="",G15="",G15&gt;=F15)),1,0))</f>
        <v>0</v>
      </c>
    </row>
    <row r="16" ht="21.0" customHeight="1">
      <c r="A16" s="44"/>
      <c r="B16" s="44"/>
      <c r="C16" s="44"/>
      <c r="D16" s="44"/>
      <c r="E16" s="44"/>
      <c r="F16" s="48"/>
      <c r="G16" s="48"/>
      <c r="H16" s="44"/>
      <c r="I16" s="48"/>
      <c r="J16" s="48"/>
      <c r="K16" s="44"/>
      <c r="L16" s="44"/>
      <c r="M16" s="2" t="str">
        <f>IF(A16="","",COUNTIF(Companies!$A$6:$A$55,A16))</f>
        <v/>
      </c>
      <c r="N16" s="2" t="str">
        <f>IF(B16="","",COUNTIF(Counterparties!$A$6:$A$80,B16))</f>
        <v/>
      </c>
      <c r="O16" s="2" t="str">
        <f t="shared" si="1"/>
        <v/>
      </c>
      <c r="P16" s="2" t="str">
        <f t="array" ref="P16">IF(B16="","",IF(N16&lt;&gt;1,"n.a.",INDEX(Counterparties!$C$6:$C$80,MATCH(B16,Counterparties!$A$6:$A$80,0))))</f>
        <v/>
      </c>
      <c r="Q16" s="2" t="str">
        <f t="array" ref="Q16">IF(B16="","",IF(N16&lt;&gt;1,"n.a.",INDEX(Counterparties!$G$6:$G$80,MATCH(B16,Counterparties!$A$6:$A$80,0))))</f>
        <v/>
      </c>
      <c r="R16" s="2">
        <f t="array" ref="R16">IF(A16="",0,IF(M16&lt;&gt;1,0,IF(AND(INDEX(Companies!$R$6:$R$55,MATCH(A16,Companies!$A$6:$A$55,0))=1,INDEX(Companies!$I$6:$I$55,MATCH(A16,Companies!$A$6:$A$55,0))&gt;=MAX(10,Rules!$B$22)),1,0)))</f>
        <v>0</v>
      </c>
      <c r="S16" s="2" t="str">
        <f t="array" ref="S16">IF(B16="","",IF(N16&lt;&gt;1,"Check counterparty ID",INDEX(Counterparties!$N$6:$N$80,MATCH(B16,Counterparties!$A$6:$A$80,0))))</f>
        <v/>
      </c>
      <c r="T16" s="2" t="str">
        <f t="shared" si="2"/>
        <v/>
      </c>
      <c r="U16" s="2">
        <f t="shared" si="3"/>
        <v>0</v>
      </c>
      <c r="V16" s="2">
        <f t="shared" si="4"/>
        <v>0</v>
      </c>
      <c r="W16" s="2">
        <f>IF(COUNTA(A16:L16)=0,0,IF(AND(OR(C16="Client",C16="Partner",C16="Client and partner"),D16&lt;&gt;"",E16="Active",H16&lt;&gt;"",ISNUMBER(I16),ISNUMBER(J16),I16&lt;=J16,J16&lt;=Rules!$B$6,Rules!$B$6-J16&lt;=Rules!$B$42,K16="Yes",OR(F16="",AND(ISNUMBER(F16),F16&lt;=Rules!$B$6)),OR(G16="",AND(ISNUMBER(G16),G16&gt;=Rules!$B$6)),OR(F16="",G16="",G16&gt;=F16)),1,0))</f>
        <v>0</v>
      </c>
    </row>
    <row r="17" ht="21.0" customHeight="1">
      <c r="A17" s="44"/>
      <c r="B17" s="44"/>
      <c r="C17" s="44"/>
      <c r="D17" s="44"/>
      <c r="E17" s="44"/>
      <c r="F17" s="48"/>
      <c r="G17" s="48"/>
      <c r="H17" s="44"/>
      <c r="I17" s="48"/>
      <c r="J17" s="48"/>
      <c r="K17" s="44"/>
      <c r="L17" s="44"/>
      <c r="M17" s="2" t="str">
        <f>IF(A17="","",COUNTIF(Companies!$A$6:$A$55,A17))</f>
        <v/>
      </c>
      <c r="N17" s="2" t="str">
        <f>IF(B17="","",COUNTIF(Counterparties!$A$6:$A$80,B17))</f>
        <v/>
      </c>
      <c r="O17" s="2" t="str">
        <f t="shared" si="1"/>
        <v/>
      </c>
      <c r="P17" s="2" t="str">
        <f t="array" ref="P17">IF(B17="","",IF(N17&lt;&gt;1,"n.a.",INDEX(Counterparties!$C$6:$C$80,MATCH(B17,Counterparties!$A$6:$A$80,0))))</f>
        <v/>
      </c>
      <c r="Q17" s="2" t="str">
        <f t="array" ref="Q17">IF(B17="","",IF(N17&lt;&gt;1,"n.a.",INDEX(Counterparties!$G$6:$G$80,MATCH(B17,Counterparties!$A$6:$A$80,0))))</f>
        <v/>
      </c>
      <c r="R17" s="2">
        <f t="array" ref="R17">IF(A17="",0,IF(M17&lt;&gt;1,0,IF(AND(INDEX(Companies!$R$6:$R$55,MATCH(A17,Companies!$A$6:$A$55,0))=1,INDEX(Companies!$I$6:$I$55,MATCH(A17,Companies!$A$6:$A$55,0))&gt;=MAX(10,Rules!$B$22)),1,0)))</f>
        <v>0</v>
      </c>
      <c r="S17" s="2" t="str">
        <f t="array" ref="S17">IF(B17="","",IF(N17&lt;&gt;1,"Check counterparty ID",INDEX(Counterparties!$N$6:$N$80,MATCH(B17,Counterparties!$A$6:$A$80,0))))</f>
        <v/>
      </c>
      <c r="T17" s="2" t="str">
        <f t="shared" si="2"/>
        <v/>
      </c>
      <c r="U17" s="2">
        <f t="shared" si="3"/>
        <v>0</v>
      </c>
      <c r="V17" s="2">
        <f t="shared" si="4"/>
        <v>0</v>
      </c>
      <c r="W17" s="2">
        <f>IF(COUNTA(A17:L17)=0,0,IF(AND(OR(C17="Client",C17="Partner",C17="Client and partner"),D17&lt;&gt;"",E17="Active",H17&lt;&gt;"",ISNUMBER(I17),ISNUMBER(J17),I17&lt;=J17,J17&lt;=Rules!$B$6,Rules!$B$6-J17&lt;=Rules!$B$42,K17="Yes",OR(F17="",AND(ISNUMBER(F17),F17&lt;=Rules!$B$6)),OR(G17="",AND(ISNUMBER(G17),G17&gt;=Rules!$B$6)),OR(F17="",G17="",G17&gt;=F17)),1,0))</f>
        <v>0</v>
      </c>
    </row>
    <row r="18" ht="21.0" customHeight="1">
      <c r="A18" s="44"/>
      <c r="B18" s="44"/>
      <c r="C18" s="44"/>
      <c r="D18" s="44"/>
      <c r="E18" s="44"/>
      <c r="F18" s="48"/>
      <c r="G18" s="48"/>
      <c r="H18" s="44"/>
      <c r="I18" s="48"/>
      <c r="J18" s="48"/>
      <c r="K18" s="44"/>
      <c r="L18" s="44"/>
      <c r="M18" s="2" t="str">
        <f>IF(A18="","",COUNTIF(Companies!$A$6:$A$55,A18))</f>
        <v/>
      </c>
      <c r="N18" s="2" t="str">
        <f>IF(B18="","",COUNTIF(Counterparties!$A$6:$A$80,B18))</f>
        <v/>
      </c>
      <c r="O18" s="2" t="str">
        <f t="shared" si="1"/>
        <v/>
      </c>
      <c r="P18" s="2" t="str">
        <f t="array" ref="P18">IF(B18="","",IF(N18&lt;&gt;1,"n.a.",INDEX(Counterparties!$C$6:$C$80,MATCH(B18,Counterparties!$A$6:$A$80,0))))</f>
        <v/>
      </c>
      <c r="Q18" s="2" t="str">
        <f t="array" ref="Q18">IF(B18="","",IF(N18&lt;&gt;1,"n.a.",INDEX(Counterparties!$G$6:$G$80,MATCH(B18,Counterparties!$A$6:$A$80,0))))</f>
        <v/>
      </c>
      <c r="R18" s="2">
        <f t="array" ref="R18">IF(A18="",0,IF(M18&lt;&gt;1,0,IF(AND(INDEX(Companies!$R$6:$R$55,MATCH(A18,Companies!$A$6:$A$55,0))=1,INDEX(Companies!$I$6:$I$55,MATCH(A18,Companies!$A$6:$A$55,0))&gt;=MAX(10,Rules!$B$22)),1,0)))</f>
        <v>0</v>
      </c>
      <c r="S18" s="2" t="str">
        <f t="array" ref="S18">IF(B18="","",IF(N18&lt;&gt;1,"Check counterparty ID",INDEX(Counterparties!$N$6:$N$80,MATCH(B18,Counterparties!$A$6:$A$80,0))))</f>
        <v/>
      </c>
      <c r="T18" s="2" t="str">
        <f t="shared" si="2"/>
        <v/>
      </c>
      <c r="U18" s="2">
        <f t="shared" si="3"/>
        <v>0</v>
      </c>
      <c r="V18" s="2">
        <f t="shared" si="4"/>
        <v>0</v>
      </c>
      <c r="W18" s="2">
        <f>IF(COUNTA(A18:L18)=0,0,IF(AND(OR(C18="Client",C18="Partner",C18="Client and partner"),D18&lt;&gt;"",E18="Active",H18&lt;&gt;"",ISNUMBER(I18),ISNUMBER(J18),I18&lt;=J18,J18&lt;=Rules!$B$6,Rules!$B$6-J18&lt;=Rules!$B$42,K18="Yes",OR(F18="",AND(ISNUMBER(F18),F18&lt;=Rules!$B$6)),OR(G18="",AND(ISNUMBER(G18),G18&gt;=Rules!$B$6)),OR(F18="",G18="",G18&gt;=F18)),1,0))</f>
        <v>0</v>
      </c>
    </row>
    <row r="19" ht="21.0" customHeight="1">
      <c r="A19" s="44"/>
      <c r="B19" s="44"/>
      <c r="C19" s="44"/>
      <c r="D19" s="44"/>
      <c r="E19" s="44"/>
      <c r="F19" s="48"/>
      <c r="G19" s="48"/>
      <c r="H19" s="44"/>
      <c r="I19" s="48"/>
      <c r="J19" s="48"/>
      <c r="K19" s="44"/>
      <c r="L19" s="44"/>
      <c r="M19" s="2" t="str">
        <f>IF(A19="","",COUNTIF(Companies!$A$6:$A$55,A19))</f>
        <v/>
      </c>
      <c r="N19" s="2" t="str">
        <f>IF(B19="","",COUNTIF(Counterparties!$A$6:$A$80,B19))</f>
        <v/>
      </c>
      <c r="O19" s="2" t="str">
        <f t="shared" si="1"/>
        <v/>
      </c>
      <c r="P19" s="2" t="str">
        <f t="array" ref="P19">IF(B19="","",IF(N19&lt;&gt;1,"n.a.",INDEX(Counterparties!$C$6:$C$80,MATCH(B19,Counterparties!$A$6:$A$80,0))))</f>
        <v/>
      </c>
      <c r="Q19" s="2" t="str">
        <f t="array" ref="Q19">IF(B19="","",IF(N19&lt;&gt;1,"n.a.",INDEX(Counterparties!$G$6:$G$80,MATCH(B19,Counterparties!$A$6:$A$80,0))))</f>
        <v/>
      </c>
      <c r="R19" s="2">
        <f t="array" ref="R19">IF(A19="",0,IF(M19&lt;&gt;1,0,IF(AND(INDEX(Companies!$R$6:$R$55,MATCH(A19,Companies!$A$6:$A$55,0))=1,INDEX(Companies!$I$6:$I$55,MATCH(A19,Companies!$A$6:$A$55,0))&gt;=MAX(10,Rules!$B$22)),1,0)))</f>
        <v>0</v>
      </c>
      <c r="S19" s="2" t="str">
        <f t="array" ref="S19">IF(B19="","",IF(N19&lt;&gt;1,"Check counterparty ID",INDEX(Counterparties!$N$6:$N$80,MATCH(B19,Counterparties!$A$6:$A$80,0))))</f>
        <v/>
      </c>
      <c r="T19" s="2" t="str">
        <f t="shared" si="2"/>
        <v/>
      </c>
      <c r="U19" s="2">
        <f t="shared" si="3"/>
        <v>0</v>
      </c>
      <c r="V19" s="2">
        <f t="shared" si="4"/>
        <v>0</v>
      </c>
      <c r="W19" s="2">
        <f>IF(COUNTA(A19:L19)=0,0,IF(AND(OR(C19="Client",C19="Partner",C19="Client and partner"),D19&lt;&gt;"",E19="Active",H19&lt;&gt;"",ISNUMBER(I19),ISNUMBER(J19),I19&lt;=J19,J19&lt;=Rules!$B$6,Rules!$B$6-J19&lt;=Rules!$B$42,K19="Yes",OR(F19="",AND(ISNUMBER(F19),F19&lt;=Rules!$B$6)),OR(G19="",AND(ISNUMBER(G19),G19&gt;=Rules!$B$6)),OR(F19="",G19="",G19&gt;=F19)),1,0))</f>
        <v>0</v>
      </c>
    </row>
    <row r="20" ht="21.0" customHeight="1">
      <c r="A20" s="44"/>
      <c r="B20" s="44"/>
      <c r="C20" s="44"/>
      <c r="D20" s="44"/>
      <c r="E20" s="44"/>
      <c r="F20" s="48"/>
      <c r="G20" s="48"/>
      <c r="H20" s="44"/>
      <c r="I20" s="48"/>
      <c r="J20" s="48"/>
      <c r="K20" s="44"/>
      <c r="L20" s="44"/>
      <c r="M20" s="2" t="str">
        <f>IF(A20="","",COUNTIF(Companies!$A$6:$A$55,A20))</f>
        <v/>
      </c>
      <c r="N20" s="2" t="str">
        <f>IF(B20="","",COUNTIF(Counterparties!$A$6:$A$80,B20))</f>
        <v/>
      </c>
      <c r="O20" s="2" t="str">
        <f t="shared" si="1"/>
        <v/>
      </c>
      <c r="P20" s="2" t="str">
        <f t="array" ref="P20">IF(B20="","",IF(N20&lt;&gt;1,"n.a.",INDEX(Counterparties!$C$6:$C$80,MATCH(B20,Counterparties!$A$6:$A$80,0))))</f>
        <v/>
      </c>
      <c r="Q20" s="2" t="str">
        <f t="array" ref="Q20">IF(B20="","",IF(N20&lt;&gt;1,"n.a.",INDEX(Counterparties!$G$6:$G$80,MATCH(B20,Counterparties!$A$6:$A$80,0))))</f>
        <v/>
      </c>
      <c r="R20" s="2">
        <f t="array" ref="R20">IF(A20="",0,IF(M20&lt;&gt;1,0,IF(AND(INDEX(Companies!$R$6:$R$55,MATCH(A20,Companies!$A$6:$A$55,0))=1,INDEX(Companies!$I$6:$I$55,MATCH(A20,Companies!$A$6:$A$55,0))&gt;=MAX(10,Rules!$B$22)),1,0)))</f>
        <v>0</v>
      </c>
      <c r="S20" s="2" t="str">
        <f t="array" ref="S20">IF(B20="","",IF(N20&lt;&gt;1,"Check counterparty ID",INDEX(Counterparties!$N$6:$N$80,MATCH(B20,Counterparties!$A$6:$A$80,0))))</f>
        <v/>
      </c>
      <c r="T20" s="2" t="str">
        <f t="shared" si="2"/>
        <v/>
      </c>
      <c r="U20" s="2">
        <f t="shared" si="3"/>
        <v>0</v>
      </c>
      <c r="V20" s="2">
        <f t="shared" si="4"/>
        <v>0</v>
      </c>
      <c r="W20" s="2">
        <f>IF(COUNTA(A20:L20)=0,0,IF(AND(OR(C20="Client",C20="Partner",C20="Client and partner"),D20&lt;&gt;"",E20="Active",H20&lt;&gt;"",ISNUMBER(I20),ISNUMBER(J20),I20&lt;=J20,J20&lt;=Rules!$B$6,Rules!$B$6-J20&lt;=Rules!$B$42,K20="Yes",OR(F20="",AND(ISNUMBER(F20),F20&lt;=Rules!$B$6)),OR(G20="",AND(ISNUMBER(G20),G20&gt;=Rules!$B$6)),OR(F20="",G20="",G20&gt;=F20)),1,0))</f>
        <v>0</v>
      </c>
    </row>
    <row r="21" ht="21.0" customHeight="1">
      <c r="A21" s="44"/>
      <c r="B21" s="44"/>
      <c r="C21" s="44"/>
      <c r="D21" s="44"/>
      <c r="E21" s="44"/>
      <c r="F21" s="48"/>
      <c r="G21" s="48"/>
      <c r="H21" s="44"/>
      <c r="I21" s="48"/>
      <c r="J21" s="48"/>
      <c r="K21" s="44"/>
      <c r="L21" s="44"/>
      <c r="M21" s="2" t="str">
        <f>IF(A21="","",COUNTIF(Companies!$A$6:$A$55,A21))</f>
        <v/>
      </c>
      <c r="N21" s="2" t="str">
        <f>IF(B21="","",COUNTIF(Counterparties!$A$6:$A$80,B21))</f>
        <v/>
      </c>
      <c r="O21" s="2" t="str">
        <f t="shared" si="1"/>
        <v/>
      </c>
      <c r="P21" s="2" t="str">
        <f t="array" ref="P21">IF(B21="","",IF(N21&lt;&gt;1,"n.a.",INDEX(Counterparties!$C$6:$C$80,MATCH(B21,Counterparties!$A$6:$A$80,0))))</f>
        <v/>
      </c>
      <c r="Q21" s="2" t="str">
        <f t="array" ref="Q21">IF(B21="","",IF(N21&lt;&gt;1,"n.a.",INDEX(Counterparties!$G$6:$G$80,MATCH(B21,Counterparties!$A$6:$A$80,0))))</f>
        <v/>
      </c>
      <c r="R21" s="2">
        <f t="array" ref="R21">IF(A21="",0,IF(M21&lt;&gt;1,0,IF(AND(INDEX(Companies!$R$6:$R$55,MATCH(A21,Companies!$A$6:$A$55,0))=1,INDEX(Companies!$I$6:$I$55,MATCH(A21,Companies!$A$6:$A$55,0))&gt;=MAX(10,Rules!$B$22)),1,0)))</f>
        <v>0</v>
      </c>
      <c r="S21" s="2" t="str">
        <f t="array" ref="S21">IF(B21="","",IF(N21&lt;&gt;1,"Check counterparty ID",INDEX(Counterparties!$N$6:$N$80,MATCH(B21,Counterparties!$A$6:$A$80,0))))</f>
        <v/>
      </c>
      <c r="T21" s="2" t="str">
        <f t="shared" si="2"/>
        <v/>
      </c>
      <c r="U21" s="2">
        <f t="shared" si="3"/>
        <v>0</v>
      </c>
      <c r="V21" s="2">
        <f t="shared" si="4"/>
        <v>0</v>
      </c>
      <c r="W21" s="2">
        <f>IF(COUNTA(A21:L21)=0,0,IF(AND(OR(C21="Client",C21="Partner",C21="Client and partner"),D21&lt;&gt;"",E21="Active",H21&lt;&gt;"",ISNUMBER(I21),ISNUMBER(J21),I21&lt;=J21,J21&lt;=Rules!$B$6,Rules!$B$6-J21&lt;=Rules!$B$42,K21="Yes",OR(F21="",AND(ISNUMBER(F21),F21&lt;=Rules!$B$6)),OR(G21="",AND(ISNUMBER(G21),G21&gt;=Rules!$B$6)),OR(F21="",G21="",G21&gt;=F21)),1,0))</f>
        <v>0</v>
      </c>
    </row>
    <row r="22" ht="21.0" customHeight="1">
      <c r="A22" s="44"/>
      <c r="B22" s="44"/>
      <c r="C22" s="44"/>
      <c r="D22" s="44"/>
      <c r="E22" s="44"/>
      <c r="F22" s="48"/>
      <c r="G22" s="48"/>
      <c r="H22" s="44"/>
      <c r="I22" s="48"/>
      <c r="J22" s="48"/>
      <c r="K22" s="44"/>
      <c r="L22" s="44"/>
      <c r="M22" s="2" t="str">
        <f>IF(A22="","",COUNTIF(Companies!$A$6:$A$55,A22))</f>
        <v/>
      </c>
      <c r="N22" s="2" t="str">
        <f>IF(B22="","",COUNTIF(Counterparties!$A$6:$A$80,B22))</f>
        <v/>
      </c>
      <c r="O22" s="2" t="str">
        <f t="shared" si="1"/>
        <v/>
      </c>
      <c r="P22" s="2" t="str">
        <f t="array" ref="P22">IF(B22="","",IF(N22&lt;&gt;1,"n.a.",INDEX(Counterparties!$C$6:$C$80,MATCH(B22,Counterparties!$A$6:$A$80,0))))</f>
        <v/>
      </c>
      <c r="Q22" s="2" t="str">
        <f t="array" ref="Q22">IF(B22="","",IF(N22&lt;&gt;1,"n.a.",INDEX(Counterparties!$G$6:$G$80,MATCH(B22,Counterparties!$A$6:$A$80,0))))</f>
        <v/>
      </c>
      <c r="R22" s="2">
        <f t="array" ref="R22">IF(A22="",0,IF(M22&lt;&gt;1,0,IF(AND(INDEX(Companies!$R$6:$R$55,MATCH(A22,Companies!$A$6:$A$55,0))=1,INDEX(Companies!$I$6:$I$55,MATCH(A22,Companies!$A$6:$A$55,0))&gt;=MAX(10,Rules!$B$22)),1,0)))</f>
        <v>0</v>
      </c>
      <c r="S22" s="2" t="str">
        <f t="array" ref="S22">IF(B22="","",IF(N22&lt;&gt;1,"Check counterparty ID",INDEX(Counterparties!$N$6:$N$80,MATCH(B22,Counterparties!$A$6:$A$80,0))))</f>
        <v/>
      </c>
      <c r="T22" s="2" t="str">
        <f t="shared" si="2"/>
        <v/>
      </c>
      <c r="U22" s="2">
        <f t="shared" si="3"/>
        <v>0</v>
      </c>
      <c r="V22" s="2">
        <f t="shared" si="4"/>
        <v>0</v>
      </c>
      <c r="W22" s="2">
        <f>IF(COUNTA(A22:L22)=0,0,IF(AND(OR(C22="Client",C22="Partner",C22="Client and partner"),D22&lt;&gt;"",E22="Active",H22&lt;&gt;"",ISNUMBER(I22),ISNUMBER(J22),I22&lt;=J22,J22&lt;=Rules!$B$6,Rules!$B$6-J22&lt;=Rules!$B$42,K22="Yes",OR(F22="",AND(ISNUMBER(F22),F22&lt;=Rules!$B$6)),OR(G22="",AND(ISNUMBER(G22),G22&gt;=Rules!$B$6)),OR(F22="",G22="",G22&gt;=F22)),1,0))</f>
        <v>0</v>
      </c>
    </row>
    <row r="23" ht="21.0" customHeight="1">
      <c r="A23" s="44"/>
      <c r="B23" s="44"/>
      <c r="C23" s="44"/>
      <c r="D23" s="44"/>
      <c r="E23" s="44"/>
      <c r="F23" s="48"/>
      <c r="G23" s="48"/>
      <c r="H23" s="44"/>
      <c r="I23" s="48"/>
      <c r="J23" s="48"/>
      <c r="K23" s="44"/>
      <c r="L23" s="44"/>
      <c r="M23" s="2" t="str">
        <f>IF(A23="","",COUNTIF(Companies!$A$6:$A$55,A23))</f>
        <v/>
      </c>
      <c r="N23" s="2" t="str">
        <f>IF(B23="","",COUNTIF(Counterparties!$A$6:$A$80,B23))</f>
        <v/>
      </c>
      <c r="O23" s="2" t="str">
        <f t="shared" si="1"/>
        <v/>
      </c>
      <c r="P23" s="2" t="str">
        <f t="array" ref="P23">IF(B23="","",IF(N23&lt;&gt;1,"n.a.",INDEX(Counterparties!$C$6:$C$80,MATCH(B23,Counterparties!$A$6:$A$80,0))))</f>
        <v/>
      </c>
      <c r="Q23" s="2" t="str">
        <f t="array" ref="Q23">IF(B23="","",IF(N23&lt;&gt;1,"n.a.",INDEX(Counterparties!$G$6:$G$80,MATCH(B23,Counterparties!$A$6:$A$80,0))))</f>
        <v/>
      </c>
      <c r="R23" s="2">
        <f t="array" ref="R23">IF(A23="",0,IF(M23&lt;&gt;1,0,IF(AND(INDEX(Companies!$R$6:$R$55,MATCH(A23,Companies!$A$6:$A$55,0))=1,INDEX(Companies!$I$6:$I$55,MATCH(A23,Companies!$A$6:$A$55,0))&gt;=MAX(10,Rules!$B$22)),1,0)))</f>
        <v>0</v>
      </c>
      <c r="S23" s="2" t="str">
        <f t="array" ref="S23">IF(B23="","",IF(N23&lt;&gt;1,"Check counterparty ID",INDEX(Counterparties!$N$6:$N$80,MATCH(B23,Counterparties!$A$6:$A$80,0))))</f>
        <v/>
      </c>
      <c r="T23" s="2" t="str">
        <f t="shared" si="2"/>
        <v/>
      </c>
      <c r="U23" s="2">
        <f t="shared" si="3"/>
        <v>0</v>
      </c>
      <c r="V23" s="2">
        <f t="shared" si="4"/>
        <v>0</v>
      </c>
      <c r="W23" s="2">
        <f>IF(COUNTA(A23:L23)=0,0,IF(AND(OR(C23="Client",C23="Partner",C23="Client and partner"),D23&lt;&gt;"",E23="Active",H23&lt;&gt;"",ISNUMBER(I23),ISNUMBER(J23),I23&lt;=J23,J23&lt;=Rules!$B$6,Rules!$B$6-J23&lt;=Rules!$B$42,K23="Yes",OR(F23="",AND(ISNUMBER(F23),F23&lt;=Rules!$B$6)),OR(G23="",AND(ISNUMBER(G23),G23&gt;=Rules!$B$6)),OR(F23="",G23="",G23&gt;=F23)),1,0))</f>
        <v>0</v>
      </c>
    </row>
    <row r="24" ht="21.0" customHeight="1">
      <c r="A24" s="44"/>
      <c r="B24" s="44"/>
      <c r="C24" s="44"/>
      <c r="D24" s="44"/>
      <c r="E24" s="44"/>
      <c r="F24" s="48"/>
      <c r="G24" s="48"/>
      <c r="H24" s="44"/>
      <c r="I24" s="48"/>
      <c r="J24" s="48"/>
      <c r="K24" s="44"/>
      <c r="L24" s="44"/>
      <c r="M24" s="2" t="str">
        <f>IF(A24="","",COUNTIF(Companies!$A$6:$A$55,A24))</f>
        <v/>
      </c>
      <c r="N24" s="2" t="str">
        <f>IF(B24="","",COUNTIF(Counterparties!$A$6:$A$80,B24))</f>
        <v/>
      </c>
      <c r="O24" s="2" t="str">
        <f t="shared" si="1"/>
        <v/>
      </c>
      <c r="P24" s="2" t="str">
        <f t="array" ref="P24">IF(B24="","",IF(N24&lt;&gt;1,"n.a.",INDEX(Counterparties!$C$6:$C$80,MATCH(B24,Counterparties!$A$6:$A$80,0))))</f>
        <v/>
      </c>
      <c r="Q24" s="2" t="str">
        <f t="array" ref="Q24">IF(B24="","",IF(N24&lt;&gt;1,"n.a.",INDEX(Counterparties!$G$6:$G$80,MATCH(B24,Counterparties!$A$6:$A$80,0))))</f>
        <v/>
      </c>
      <c r="R24" s="2">
        <f t="array" ref="R24">IF(A24="",0,IF(M24&lt;&gt;1,0,IF(AND(INDEX(Companies!$R$6:$R$55,MATCH(A24,Companies!$A$6:$A$55,0))=1,INDEX(Companies!$I$6:$I$55,MATCH(A24,Companies!$A$6:$A$55,0))&gt;=MAX(10,Rules!$B$22)),1,0)))</f>
        <v>0</v>
      </c>
      <c r="S24" s="2" t="str">
        <f t="array" ref="S24">IF(B24="","",IF(N24&lt;&gt;1,"Check counterparty ID",INDEX(Counterparties!$N$6:$N$80,MATCH(B24,Counterparties!$A$6:$A$80,0))))</f>
        <v/>
      </c>
      <c r="T24" s="2" t="str">
        <f t="shared" si="2"/>
        <v/>
      </c>
      <c r="U24" s="2">
        <f t="shared" si="3"/>
        <v>0</v>
      </c>
      <c r="V24" s="2">
        <f t="shared" si="4"/>
        <v>0</v>
      </c>
      <c r="W24" s="2">
        <f>IF(COUNTA(A24:L24)=0,0,IF(AND(OR(C24="Client",C24="Partner",C24="Client and partner"),D24&lt;&gt;"",E24="Active",H24&lt;&gt;"",ISNUMBER(I24),ISNUMBER(J24),I24&lt;=J24,J24&lt;=Rules!$B$6,Rules!$B$6-J24&lt;=Rules!$B$42,K24="Yes",OR(F24="",AND(ISNUMBER(F24),F24&lt;=Rules!$B$6)),OR(G24="",AND(ISNUMBER(G24),G24&gt;=Rules!$B$6)),OR(F24="",G24="",G24&gt;=F24)),1,0))</f>
        <v>0</v>
      </c>
    </row>
    <row r="25" ht="21.0" customHeight="1">
      <c r="A25" s="44"/>
      <c r="B25" s="44"/>
      <c r="C25" s="44"/>
      <c r="D25" s="44"/>
      <c r="E25" s="44"/>
      <c r="F25" s="48"/>
      <c r="G25" s="48"/>
      <c r="H25" s="44"/>
      <c r="I25" s="48"/>
      <c r="J25" s="48"/>
      <c r="K25" s="44"/>
      <c r="L25" s="44"/>
      <c r="M25" s="2" t="str">
        <f>IF(A25="","",COUNTIF(Companies!$A$6:$A$55,A25))</f>
        <v/>
      </c>
      <c r="N25" s="2" t="str">
        <f>IF(B25="","",COUNTIF(Counterparties!$A$6:$A$80,B25))</f>
        <v/>
      </c>
      <c r="O25" s="2" t="str">
        <f t="shared" si="1"/>
        <v/>
      </c>
      <c r="P25" s="2" t="str">
        <f t="array" ref="P25">IF(B25="","",IF(N25&lt;&gt;1,"n.a.",INDEX(Counterparties!$C$6:$C$80,MATCH(B25,Counterparties!$A$6:$A$80,0))))</f>
        <v/>
      </c>
      <c r="Q25" s="2" t="str">
        <f t="array" ref="Q25">IF(B25="","",IF(N25&lt;&gt;1,"n.a.",INDEX(Counterparties!$G$6:$G$80,MATCH(B25,Counterparties!$A$6:$A$80,0))))</f>
        <v/>
      </c>
      <c r="R25" s="2">
        <f t="array" ref="R25">IF(A25="",0,IF(M25&lt;&gt;1,0,IF(AND(INDEX(Companies!$R$6:$R$55,MATCH(A25,Companies!$A$6:$A$55,0))=1,INDEX(Companies!$I$6:$I$55,MATCH(A25,Companies!$A$6:$A$55,0))&gt;=MAX(10,Rules!$B$22)),1,0)))</f>
        <v>0</v>
      </c>
      <c r="S25" s="2" t="str">
        <f t="array" ref="S25">IF(B25="","",IF(N25&lt;&gt;1,"Check counterparty ID",INDEX(Counterparties!$N$6:$N$80,MATCH(B25,Counterparties!$A$6:$A$80,0))))</f>
        <v/>
      </c>
      <c r="T25" s="2" t="str">
        <f t="shared" si="2"/>
        <v/>
      </c>
      <c r="U25" s="2">
        <f t="shared" si="3"/>
        <v>0</v>
      </c>
      <c r="V25" s="2">
        <f t="shared" si="4"/>
        <v>0</v>
      </c>
      <c r="W25" s="2">
        <f>IF(COUNTA(A25:L25)=0,0,IF(AND(OR(C25="Client",C25="Partner",C25="Client and partner"),D25&lt;&gt;"",E25="Active",H25&lt;&gt;"",ISNUMBER(I25),ISNUMBER(J25),I25&lt;=J25,J25&lt;=Rules!$B$6,Rules!$B$6-J25&lt;=Rules!$B$42,K25="Yes",OR(F25="",AND(ISNUMBER(F25),F25&lt;=Rules!$B$6)),OR(G25="",AND(ISNUMBER(G25),G25&gt;=Rules!$B$6)),OR(F25="",G25="",G25&gt;=F25)),1,0))</f>
        <v>0</v>
      </c>
    </row>
    <row r="26" ht="21.0" customHeight="1">
      <c r="A26" s="44"/>
      <c r="B26" s="44"/>
      <c r="C26" s="44"/>
      <c r="D26" s="44"/>
      <c r="E26" s="44"/>
      <c r="F26" s="48"/>
      <c r="G26" s="48"/>
      <c r="H26" s="44"/>
      <c r="I26" s="48"/>
      <c r="J26" s="48"/>
      <c r="K26" s="44"/>
      <c r="L26" s="44"/>
      <c r="M26" s="2" t="str">
        <f>IF(A26="","",COUNTIF(Companies!$A$6:$A$55,A26))</f>
        <v/>
      </c>
      <c r="N26" s="2" t="str">
        <f>IF(B26="","",COUNTIF(Counterparties!$A$6:$A$80,B26))</f>
        <v/>
      </c>
      <c r="O26" s="2" t="str">
        <f t="shared" si="1"/>
        <v/>
      </c>
      <c r="P26" s="2" t="str">
        <f t="array" ref="P26">IF(B26="","",IF(N26&lt;&gt;1,"n.a.",INDEX(Counterparties!$C$6:$C$80,MATCH(B26,Counterparties!$A$6:$A$80,0))))</f>
        <v/>
      </c>
      <c r="Q26" s="2" t="str">
        <f t="array" ref="Q26">IF(B26="","",IF(N26&lt;&gt;1,"n.a.",INDEX(Counterparties!$G$6:$G$80,MATCH(B26,Counterparties!$A$6:$A$80,0))))</f>
        <v/>
      </c>
      <c r="R26" s="2">
        <f t="array" ref="R26">IF(A26="",0,IF(M26&lt;&gt;1,0,IF(AND(INDEX(Companies!$R$6:$R$55,MATCH(A26,Companies!$A$6:$A$55,0))=1,INDEX(Companies!$I$6:$I$55,MATCH(A26,Companies!$A$6:$A$55,0))&gt;=MAX(10,Rules!$B$22)),1,0)))</f>
        <v>0</v>
      </c>
      <c r="S26" s="2" t="str">
        <f t="array" ref="S26">IF(B26="","",IF(N26&lt;&gt;1,"Check counterparty ID",INDEX(Counterparties!$N$6:$N$80,MATCH(B26,Counterparties!$A$6:$A$80,0))))</f>
        <v/>
      </c>
      <c r="T26" s="2" t="str">
        <f t="shared" si="2"/>
        <v/>
      </c>
      <c r="U26" s="2">
        <f t="shared" si="3"/>
        <v>0</v>
      </c>
      <c r="V26" s="2">
        <f t="shared" si="4"/>
        <v>0</v>
      </c>
      <c r="W26" s="2">
        <f>IF(COUNTA(A26:L26)=0,0,IF(AND(OR(C26="Client",C26="Partner",C26="Client and partner"),D26&lt;&gt;"",E26="Active",H26&lt;&gt;"",ISNUMBER(I26),ISNUMBER(J26),I26&lt;=J26,J26&lt;=Rules!$B$6,Rules!$B$6-J26&lt;=Rules!$B$42,K26="Yes",OR(F26="",AND(ISNUMBER(F26),F26&lt;=Rules!$B$6)),OR(G26="",AND(ISNUMBER(G26),G26&gt;=Rules!$B$6)),OR(F26="",G26="",G26&gt;=F26)),1,0))</f>
        <v>0</v>
      </c>
    </row>
    <row r="27" ht="21.0" customHeight="1">
      <c r="A27" s="44"/>
      <c r="B27" s="44"/>
      <c r="C27" s="44"/>
      <c r="D27" s="44"/>
      <c r="E27" s="44"/>
      <c r="F27" s="48"/>
      <c r="G27" s="48"/>
      <c r="H27" s="44"/>
      <c r="I27" s="48"/>
      <c r="J27" s="48"/>
      <c r="K27" s="44"/>
      <c r="L27" s="44"/>
      <c r="M27" s="2" t="str">
        <f>IF(A27="","",COUNTIF(Companies!$A$6:$A$55,A27))</f>
        <v/>
      </c>
      <c r="N27" s="2" t="str">
        <f>IF(B27="","",COUNTIF(Counterparties!$A$6:$A$80,B27))</f>
        <v/>
      </c>
      <c r="O27" s="2" t="str">
        <f t="shared" si="1"/>
        <v/>
      </c>
      <c r="P27" s="2" t="str">
        <f t="array" ref="P27">IF(B27="","",IF(N27&lt;&gt;1,"n.a.",INDEX(Counterparties!$C$6:$C$80,MATCH(B27,Counterparties!$A$6:$A$80,0))))</f>
        <v/>
      </c>
      <c r="Q27" s="2" t="str">
        <f t="array" ref="Q27">IF(B27="","",IF(N27&lt;&gt;1,"n.a.",INDEX(Counterparties!$G$6:$G$80,MATCH(B27,Counterparties!$A$6:$A$80,0))))</f>
        <v/>
      </c>
      <c r="R27" s="2">
        <f t="array" ref="R27">IF(A27="",0,IF(M27&lt;&gt;1,0,IF(AND(INDEX(Companies!$R$6:$R$55,MATCH(A27,Companies!$A$6:$A$55,0))=1,INDEX(Companies!$I$6:$I$55,MATCH(A27,Companies!$A$6:$A$55,0))&gt;=MAX(10,Rules!$B$22)),1,0)))</f>
        <v>0</v>
      </c>
      <c r="S27" s="2" t="str">
        <f t="array" ref="S27">IF(B27="","",IF(N27&lt;&gt;1,"Check counterparty ID",INDEX(Counterparties!$N$6:$N$80,MATCH(B27,Counterparties!$A$6:$A$80,0))))</f>
        <v/>
      </c>
      <c r="T27" s="2" t="str">
        <f t="shared" si="2"/>
        <v/>
      </c>
      <c r="U27" s="2">
        <f t="shared" si="3"/>
        <v>0</v>
      </c>
      <c r="V27" s="2">
        <f t="shared" si="4"/>
        <v>0</v>
      </c>
      <c r="W27" s="2">
        <f>IF(COUNTA(A27:L27)=0,0,IF(AND(OR(C27="Client",C27="Partner",C27="Client and partner"),D27&lt;&gt;"",E27="Active",H27&lt;&gt;"",ISNUMBER(I27),ISNUMBER(J27),I27&lt;=J27,J27&lt;=Rules!$B$6,Rules!$B$6-J27&lt;=Rules!$B$42,K27="Yes",OR(F27="",AND(ISNUMBER(F27),F27&lt;=Rules!$B$6)),OR(G27="",AND(ISNUMBER(G27),G27&gt;=Rules!$B$6)),OR(F27="",G27="",G27&gt;=F27)),1,0))</f>
        <v>0</v>
      </c>
    </row>
    <row r="28" ht="21.0" customHeight="1">
      <c r="A28" s="44"/>
      <c r="B28" s="44"/>
      <c r="C28" s="44"/>
      <c r="D28" s="44"/>
      <c r="E28" s="44"/>
      <c r="F28" s="48"/>
      <c r="G28" s="48"/>
      <c r="H28" s="44"/>
      <c r="I28" s="48"/>
      <c r="J28" s="48"/>
      <c r="K28" s="44"/>
      <c r="L28" s="44"/>
      <c r="M28" s="2" t="str">
        <f>IF(A28="","",COUNTIF(Companies!$A$6:$A$55,A28))</f>
        <v/>
      </c>
      <c r="N28" s="2" t="str">
        <f>IF(B28="","",COUNTIF(Counterparties!$A$6:$A$80,B28))</f>
        <v/>
      </c>
      <c r="O28" s="2" t="str">
        <f t="shared" si="1"/>
        <v/>
      </c>
      <c r="P28" s="2" t="str">
        <f t="array" ref="P28">IF(B28="","",IF(N28&lt;&gt;1,"n.a.",INDEX(Counterparties!$C$6:$C$80,MATCH(B28,Counterparties!$A$6:$A$80,0))))</f>
        <v/>
      </c>
      <c r="Q28" s="2" t="str">
        <f t="array" ref="Q28">IF(B28="","",IF(N28&lt;&gt;1,"n.a.",INDEX(Counterparties!$G$6:$G$80,MATCH(B28,Counterparties!$A$6:$A$80,0))))</f>
        <v/>
      </c>
      <c r="R28" s="2">
        <f t="array" ref="R28">IF(A28="",0,IF(M28&lt;&gt;1,0,IF(AND(INDEX(Companies!$R$6:$R$55,MATCH(A28,Companies!$A$6:$A$55,0))=1,INDEX(Companies!$I$6:$I$55,MATCH(A28,Companies!$A$6:$A$55,0))&gt;=MAX(10,Rules!$B$22)),1,0)))</f>
        <v>0</v>
      </c>
      <c r="S28" s="2" t="str">
        <f t="array" ref="S28">IF(B28="","",IF(N28&lt;&gt;1,"Check counterparty ID",INDEX(Counterparties!$N$6:$N$80,MATCH(B28,Counterparties!$A$6:$A$80,0))))</f>
        <v/>
      </c>
      <c r="T28" s="2" t="str">
        <f t="shared" si="2"/>
        <v/>
      </c>
      <c r="U28" s="2">
        <f t="shared" si="3"/>
        <v>0</v>
      </c>
      <c r="V28" s="2">
        <f t="shared" si="4"/>
        <v>0</v>
      </c>
      <c r="W28" s="2">
        <f>IF(COUNTA(A28:L28)=0,0,IF(AND(OR(C28="Client",C28="Partner",C28="Client and partner"),D28&lt;&gt;"",E28="Active",H28&lt;&gt;"",ISNUMBER(I28),ISNUMBER(J28),I28&lt;=J28,J28&lt;=Rules!$B$6,Rules!$B$6-J28&lt;=Rules!$B$42,K28="Yes",OR(F28="",AND(ISNUMBER(F28),F28&lt;=Rules!$B$6)),OR(G28="",AND(ISNUMBER(G28),G28&gt;=Rules!$B$6)),OR(F28="",G28="",G28&gt;=F28)),1,0))</f>
        <v>0</v>
      </c>
    </row>
    <row r="29" ht="21.0" customHeight="1">
      <c r="A29" s="44"/>
      <c r="B29" s="44"/>
      <c r="C29" s="44"/>
      <c r="D29" s="44"/>
      <c r="E29" s="44"/>
      <c r="F29" s="48"/>
      <c r="G29" s="48"/>
      <c r="H29" s="44"/>
      <c r="I29" s="48"/>
      <c r="J29" s="48"/>
      <c r="K29" s="44"/>
      <c r="L29" s="44"/>
      <c r="M29" s="2" t="str">
        <f>IF(A29="","",COUNTIF(Companies!$A$6:$A$55,A29))</f>
        <v/>
      </c>
      <c r="N29" s="2" t="str">
        <f>IF(B29="","",COUNTIF(Counterparties!$A$6:$A$80,B29))</f>
        <v/>
      </c>
      <c r="O29" s="2" t="str">
        <f t="shared" si="1"/>
        <v/>
      </c>
      <c r="P29" s="2" t="str">
        <f t="array" ref="P29">IF(B29="","",IF(N29&lt;&gt;1,"n.a.",INDEX(Counterparties!$C$6:$C$80,MATCH(B29,Counterparties!$A$6:$A$80,0))))</f>
        <v/>
      </c>
      <c r="Q29" s="2" t="str">
        <f t="array" ref="Q29">IF(B29="","",IF(N29&lt;&gt;1,"n.a.",INDEX(Counterparties!$G$6:$G$80,MATCH(B29,Counterparties!$A$6:$A$80,0))))</f>
        <v/>
      </c>
      <c r="R29" s="2">
        <f t="array" ref="R29">IF(A29="",0,IF(M29&lt;&gt;1,0,IF(AND(INDEX(Companies!$R$6:$R$55,MATCH(A29,Companies!$A$6:$A$55,0))=1,INDEX(Companies!$I$6:$I$55,MATCH(A29,Companies!$A$6:$A$55,0))&gt;=MAX(10,Rules!$B$22)),1,0)))</f>
        <v>0</v>
      </c>
      <c r="S29" s="2" t="str">
        <f t="array" ref="S29">IF(B29="","",IF(N29&lt;&gt;1,"Check counterparty ID",INDEX(Counterparties!$N$6:$N$80,MATCH(B29,Counterparties!$A$6:$A$80,0))))</f>
        <v/>
      </c>
      <c r="T29" s="2" t="str">
        <f t="shared" si="2"/>
        <v/>
      </c>
      <c r="U29" s="2">
        <f t="shared" si="3"/>
        <v>0</v>
      </c>
      <c r="V29" s="2">
        <f t="shared" si="4"/>
        <v>0</v>
      </c>
      <c r="W29" s="2">
        <f>IF(COUNTA(A29:L29)=0,0,IF(AND(OR(C29="Client",C29="Partner",C29="Client and partner"),D29&lt;&gt;"",E29="Active",H29&lt;&gt;"",ISNUMBER(I29),ISNUMBER(J29),I29&lt;=J29,J29&lt;=Rules!$B$6,Rules!$B$6-J29&lt;=Rules!$B$42,K29="Yes",OR(F29="",AND(ISNUMBER(F29),F29&lt;=Rules!$B$6)),OR(G29="",AND(ISNUMBER(G29),G29&gt;=Rules!$B$6)),OR(F29="",G29="",G29&gt;=F29)),1,0))</f>
        <v>0</v>
      </c>
    </row>
    <row r="30" ht="21.0" customHeight="1">
      <c r="A30" s="44"/>
      <c r="B30" s="44"/>
      <c r="C30" s="44"/>
      <c r="D30" s="44"/>
      <c r="E30" s="44"/>
      <c r="F30" s="48"/>
      <c r="G30" s="48"/>
      <c r="H30" s="44"/>
      <c r="I30" s="48"/>
      <c r="J30" s="48"/>
      <c r="K30" s="44"/>
      <c r="L30" s="44"/>
      <c r="M30" s="2" t="str">
        <f>IF(A30="","",COUNTIF(Companies!$A$6:$A$55,A30))</f>
        <v/>
      </c>
      <c r="N30" s="2" t="str">
        <f>IF(B30="","",COUNTIF(Counterparties!$A$6:$A$80,B30))</f>
        <v/>
      </c>
      <c r="O30" s="2" t="str">
        <f t="shared" si="1"/>
        <v/>
      </c>
      <c r="P30" s="2" t="str">
        <f t="array" ref="P30">IF(B30="","",IF(N30&lt;&gt;1,"n.a.",INDEX(Counterparties!$C$6:$C$80,MATCH(B30,Counterparties!$A$6:$A$80,0))))</f>
        <v/>
      </c>
      <c r="Q30" s="2" t="str">
        <f t="array" ref="Q30">IF(B30="","",IF(N30&lt;&gt;1,"n.a.",INDEX(Counterparties!$G$6:$G$80,MATCH(B30,Counterparties!$A$6:$A$80,0))))</f>
        <v/>
      </c>
      <c r="R30" s="2">
        <f t="array" ref="R30">IF(A30="",0,IF(M30&lt;&gt;1,0,IF(AND(INDEX(Companies!$R$6:$R$55,MATCH(A30,Companies!$A$6:$A$55,0))=1,INDEX(Companies!$I$6:$I$55,MATCH(A30,Companies!$A$6:$A$55,0))&gt;=MAX(10,Rules!$B$22)),1,0)))</f>
        <v>0</v>
      </c>
      <c r="S30" s="2" t="str">
        <f t="array" ref="S30">IF(B30="","",IF(N30&lt;&gt;1,"Check counterparty ID",INDEX(Counterparties!$N$6:$N$80,MATCH(B30,Counterparties!$A$6:$A$80,0))))</f>
        <v/>
      </c>
      <c r="T30" s="2" t="str">
        <f t="shared" si="2"/>
        <v/>
      </c>
      <c r="U30" s="2">
        <f t="shared" si="3"/>
        <v>0</v>
      </c>
      <c r="V30" s="2">
        <f t="shared" si="4"/>
        <v>0</v>
      </c>
      <c r="W30" s="2">
        <f>IF(COUNTA(A30:L30)=0,0,IF(AND(OR(C30="Client",C30="Partner",C30="Client and partner"),D30&lt;&gt;"",E30="Active",H30&lt;&gt;"",ISNUMBER(I30),ISNUMBER(J30),I30&lt;=J30,J30&lt;=Rules!$B$6,Rules!$B$6-J30&lt;=Rules!$B$42,K30="Yes",OR(F30="",AND(ISNUMBER(F30),F30&lt;=Rules!$B$6)),OR(G30="",AND(ISNUMBER(G30),G30&gt;=Rules!$B$6)),OR(F30="",G30="",G30&gt;=F30)),1,0))</f>
        <v>0</v>
      </c>
    </row>
    <row r="31" ht="21.0" customHeight="1">
      <c r="A31" s="44"/>
      <c r="B31" s="44"/>
      <c r="C31" s="44"/>
      <c r="D31" s="44"/>
      <c r="E31" s="44"/>
      <c r="F31" s="48"/>
      <c r="G31" s="48"/>
      <c r="H31" s="44"/>
      <c r="I31" s="48"/>
      <c r="J31" s="48"/>
      <c r="K31" s="44"/>
      <c r="L31" s="44"/>
      <c r="M31" s="2" t="str">
        <f>IF(A31="","",COUNTIF(Companies!$A$6:$A$55,A31))</f>
        <v/>
      </c>
      <c r="N31" s="2" t="str">
        <f>IF(B31="","",COUNTIF(Counterparties!$A$6:$A$80,B31))</f>
        <v/>
      </c>
      <c r="O31" s="2" t="str">
        <f t="shared" si="1"/>
        <v/>
      </c>
      <c r="P31" s="2" t="str">
        <f t="array" ref="P31">IF(B31="","",IF(N31&lt;&gt;1,"n.a.",INDEX(Counterparties!$C$6:$C$80,MATCH(B31,Counterparties!$A$6:$A$80,0))))</f>
        <v/>
      </c>
      <c r="Q31" s="2" t="str">
        <f t="array" ref="Q31">IF(B31="","",IF(N31&lt;&gt;1,"n.a.",INDEX(Counterparties!$G$6:$G$80,MATCH(B31,Counterparties!$A$6:$A$80,0))))</f>
        <v/>
      </c>
      <c r="R31" s="2">
        <f t="array" ref="R31">IF(A31="",0,IF(M31&lt;&gt;1,0,IF(AND(INDEX(Companies!$R$6:$R$55,MATCH(A31,Companies!$A$6:$A$55,0))=1,INDEX(Companies!$I$6:$I$55,MATCH(A31,Companies!$A$6:$A$55,0))&gt;=MAX(10,Rules!$B$22)),1,0)))</f>
        <v>0</v>
      </c>
      <c r="S31" s="2" t="str">
        <f t="array" ref="S31">IF(B31="","",IF(N31&lt;&gt;1,"Check counterparty ID",INDEX(Counterparties!$N$6:$N$80,MATCH(B31,Counterparties!$A$6:$A$80,0))))</f>
        <v/>
      </c>
      <c r="T31" s="2" t="str">
        <f t="shared" si="2"/>
        <v/>
      </c>
      <c r="U31" s="2">
        <f t="shared" si="3"/>
        <v>0</v>
      </c>
      <c r="V31" s="2">
        <f t="shared" si="4"/>
        <v>0</v>
      </c>
      <c r="W31" s="2">
        <f>IF(COUNTA(A31:L31)=0,0,IF(AND(OR(C31="Client",C31="Partner",C31="Client and partner"),D31&lt;&gt;"",E31="Active",H31&lt;&gt;"",ISNUMBER(I31),ISNUMBER(J31),I31&lt;=J31,J31&lt;=Rules!$B$6,Rules!$B$6-J31&lt;=Rules!$B$42,K31="Yes",OR(F31="",AND(ISNUMBER(F31),F31&lt;=Rules!$B$6)),OR(G31="",AND(ISNUMBER(G31),G31&gt;=Rules!$B$6)),OR(F31="",G31="",G31&gt;=F31)),1,0))</f>
        <v>0</v>
      </c>
    </row>
    <row r="32" ht="21.0" customHeight="1">
      <c r="A32" s="44"/>
      <c r="B32" s="44"/>
      <c r="C32" s="44"/>
      <c r="D32" s="44"/>
      <c r="E32" s="44"/>
      <c r="F32" s="48"/>
      <c r="G32" s="48"/>
      <c r="H32" s="44"/>
      <c r="I32" s="48"/>
      <c r="J32" s="48"/>
      <c r="K32" s="44"/>
      <c r="L32" s="44"/>
      <c r="M32" s="2" t="str">
        <f>IF(A32="","",COUNTIF(Companies!$A$6:$A$55,A32))</f>
        <v/>
      </c>
      <c r="N32" s="2" t="str">
        <f>IF(B32="","",COUNTIF(Counterparties!$A$6:$A$80,B32))</f>
        <v/>
      </c>
      <c r="O32" s="2" t="str">
        <f t="shared" si="1"/>
        <v/>
      </c>
      <c r="P32" s="2" t="str">
        <f t="array" ref="P32">IF(B32="","",IF(N32&lt;&gt;1,"n.a.",INDEX(Counterparties!$C$6:$C$80,MATCH(B32,Counterparties!$A$6:$A$80,0))))</f>
        <v/>
      </c>
      <c r="Q32" s="2" t="str">
        <f t="array" ref="Q32">IF(B32="","",IF(N32&lt;&gt;1,"n.a.",INDEX(Counterparties!$G$6:$G$80,MATCH(B32,Counterparties!$A$6:$A$80,0))))</f>
        <v/>
      </c>
      <c r="R32" s="2">
        <f t="array" ref="R32">IF(A32="",0,IF(M32&lt;&gt;1,0,IF(AND(INDEX(Companies!$R$6:$R$55,MATCH(A32,Companies!$A$6:$A$55,0))=1,INDEX(Companies!$I$6:$I$55,MATCH(A32,Companies!$A$6:$A$55,0))&gt;=MAX(10,Rules!$B$22)),1,0)))</f>
        <v>0</v>
      </c>
      <c r="S32" s="2" t="str">
        <f t="array" ref="S32">IF(B32="","",IF(N32&lt;&gt;1,"Check counterparty ID",INDEX(Counterparties!$N$6:$N$80,MATCH(B32,Counterparties!$A$6:$A$80,0))))</f>
        <v/>
      </c>
      <c r="T32" s="2" t="str">
        <f t="shared" si="2"/>
        <v/>
      </c>
      <c r="U32" s="2">
        <f t="shared" si="3"/>
        <v>0</v>
      </c>
      <c r="V32" s="2">
        <f t="shared" si="4"/>
        <v>0</v>
      </c>
      <c r="W32" s="2">
        <f>IF(COUNTA(A32:L32)=0,0,IF(AND(OR(C32="Client",C32="Partner",C32="Client and partner"),D32&lt;&gt;"",E32="Active",H32&lt;&gt;"",ISNUMBER(I32),ISNUMBER(J32),I32&lt;=J32,J32&lt;=Rules!$B$6,Rules!$B$6-J32&lt;=Rules!$B$42,K32="Yes",OR(F32="",AND(ISNUMBER(F32),F32&lt;=Rules!$B$6)),OR(G32="",AND(ISNUMBER(G32),G32&gt;=Rules!$B$6)),OR(F32="",G32="",G32&gt;=F32)),1,0))</f>
        <v>0</v>
      </c>
    </row>
    <row r="33" ht="21.0" customHeight="1">
      <c r="A33" s="44"/>
      <c r="B33" s="44"/>
      <c r="C33" s="44"/>
      <c r="D33" s="44"/>
      <c r="E33" s="44"/>
      <c r="F33" s="48"/>
      <c r="G33" s="48"/>
      <c r="H33" s="44"/>
      <c r="I33" s="48"/>
      <c r="J33" s="48"/>
      <c r="K33" s="44"/>
      <c r="L33" s="44"/>
      <c r="M33" s="2" t="str">
        <f>IF(A33="","",COUNTIF(Companies!$A$6:$A$55,A33))</f>
        <v/>
      </c>
      <c r="N33" s="2" t="str">
        <f>IF(B33="","",COUNTIF(Counterparties!$A$6:$A$80,B33))</f>
        <v/>
      </c>
      <c r="O33" s="2" t="str">
        <f t="shared" si="1"/>
        <v/>
      </c>
      <c r="P33" s="2" t="str">
        <f t="array" ref="P33">IF(B33="","",IF(N33&lt;&gt;1,"n.a.",INDEX(Counterparties!$C$6:$C$80,MATCH(B33,Counterparties!$A$6:$A$80,0))))</f>
        <v/>
      </c>
      <c r="Q33" s="2" t="str">
        <f t="array" ref="Q33">IF(B33="","",IF(N33&lt;&gt;1,"n.a.",INDEX(Counterparties!$G$6:$G$80,MATCH(B33,Counterparties!$A$6:$A$80,0))))</f>
        <v/>
      </c>
      <c r="R33" s="2">
        <f t="array" ref="R33">IF(A33="",0,IF(M33&lt;&gt;1,0,IF(AND(INDEX(Companies!$R$6:$R$55,MATCH(A33,Companies!$A$6:$A$55,0))=1,INDEX(Companies!$I$6:$I$55,MATCH(A33,Companies!$A$6:$A$55,0))&gt;=MAX(10,Rules!$B$22)),1,0)))</f>
        <v>0</v>
      </c>
      <c r="S33" s="2" t="str">
        <f t="array" ref="S33">IF(B33="","",IF(N33&lt;&gt;1,"Check counterparty ID",INDEX(Counterparties!$N$6:$N$80,MATCH(B33,Counterparties!$A$6:$A$80,0))))</f>
        <v/>
      </c>
      <c r="T33" s="2" t="str">
        <f t="shared" si="2"/>
        <v/>
      </c>
      <c r="U33" s="2">
        <f t="shared" si="3"/>
        <v>0</v>
      </c>
      <c r="V33" s="2">
        <f t="shared" si="4"/>
        <v>0</v>
      </c>
      <c r="W33" s="2">
        <f>IF(COUNTA(A33:L33)=0,0,IF(AND(OR(C33="Client",C33="Partner",C33="Client and partner"),D33&lt;&gt;"",E33="Active",H33&lt;&gt;"",ISNUMBER(I33),ISNUMBER(J33),I33&lt;=J33,J33&lt;=Rules!$B$6,Rules!$B$6-J33&lt;=Rules!$B$42,K33="Yes",OR(F33="",AND(ISNUMBER(F33),F33&lt;=Rules!$B$6)),OR(G33="",AND(ISNUMBER(G33),G33&gt;=Rules!$B$6)),OR(F33="",G33="",G33&gt;=F33)),1,0))</f>
        <v>0</v>
      </c>
    </row>
    <row r="34" ht="21.0" customHeight="1">
      <c r="A34" s="44"/>
      <c r="B34" s="44"/>
      <c r="C34" s="44"/>
      <c r="D34" s="44"/>
      <c r="E34" s="44"/>
      <c r="F34" s="48"/>
      <c r="G34" s="48"/>
      <c r="H34" s="44"/>
      <c r="I34" s="48"/>
      <c r="J34" s="48"/>
      <c r="K34" s="44"/>
      <c r="L34" s="44"/>
      <c r="M34" s="2" t="str">
        <f>IF(A34="","",COUNTIF(Companies!$A$6:$A$55,A34))</f>
        <v/>
      </c>
      <c r="N34" s="2" t="str">
        <f>IF(B34="","",COUNTIF(Counterparties!$A$6:$A$80,B34))</f>
        <v/>
      </c>
      <c r="O34" s="2" t="str">
        <f t="shared" si="1"/>
        <v/>
      </c>
      <c r="P34" s="2" t="str">
        <f t="array" ref="P34">IF(B34="","",IF(N34&lt;&gt;1,"n.a.",INDEX(Counterparties!$C$6:$C$80,MATCH(B34,Counterparties!$A$6:$A$80,0))))</f>
        <v/>
      </c>
      <c r="Q34" s="2" t="str">
        <f t="array" ref="Q34">IF(B34="","",IF(N34&lt;&gt;1,"n.a.",INDEX(Counterparties!$G$6:$G$80,MATCH(B34,Counterparties!$A$6:$A$80,0))))</f>
        <v/>
      </c>
      <c r="R34" s="2">
        <f t="array" ref="R34">IF(A34="",0,IF(M34&lt;&gt;1,0,IF(AND(INDEX(Companies!$R$6:$R$55,MATCH(A34,Companies!$A$6:$A$55,0))=1,INDEX(Companies!$I$6:$I$55,MATCH(A34,Companies!$A$6:$A$55,0))&gt;=MAX(10,Rules!$B$22)),1,0)))</f>
        <v>0</v>
      </c>
      <c r="S34" s="2" t="str">
        <f t="array" ref="S34">IF(B34="","",IF(N34&lt;&gt;1,"Check counterparty ID",INDEX(Counterparties!$N$6:$N$80,MATCH(B34,Counterparties!$A$6:$A$80,0))))</f>
        <v/>
      </c>
      <c r="T34" s="2" t="str">
        <f t="shared" si="2"/>
        <v/>
      </c>
      <c r="U34" s="2">
        <f t="shared" si="3"/>
        <v>0</v>
      </c>
      <c r="V34" s="2">
        <f t="shared" si="4"/>
        <v>0</v>
      </c>
      <c r="W34" s="2">
        <f>IF(COUNTA(A34:L34)=0,0,IF(AND(OR(C34="Client",C34="Partner",C34="Client and partner"),D34&lt;&gt;"",E34="Active",H34&lt;&gt;"",ISNUMBER(I34),ISNUMBER(J34),I34&lt;=J34,J34&lt;=Rules!$B$6,Rules!$B$6-J34&lt;=Rules!$B$42,K34="Yes",OR(F34="",AND(ISNUMBER(F34),F34&lt;=Rules!$B$6)),OR(G34="",AND(ISNUMBER(G34),G34&gt;=Rules!$B$6)),OR(F34="",G34="",G34&gt;=F34)),1,0))</f>
        <v>0</v>
      </c>
    </row>
    <row r="35" ht="21.0" customHeight="1">
      <c r="A35" s="44"/>
      <c r="B35" s="44"/>
      <c r="C35" s="44"/>
      <c r="D35" s="44"/>
      <c r="E35" s="44"/>
      <c r="F35" s="48"/>
      <c r="G35" s="48"/>
      <c r="H35" s="44"/>
      <c r="I35" s="48"/>
      <c r="J35" s="48"/>
      <c r="K35" s="44"/>
      <c r="L35" s="44"/>
      <c r="M35" s="2" t="str">
        <f>IF(A35="","",COUNTIF(Companies!$A$6:$A$55,A35))</f>
        <v/>
      </c>
      <c r="N35" s="2" t="str">
        <f>IF(B35="","",COUNTIF(Counterparties!$A$6:$A$80,B35))</f>
        <v/>
      </c>
      <c r="O35" s="2" t="str">
        <f t="shared" si="1"/>
        <v/>
      </c>
      <c r="P35" s="2" t="str">
        <f t="array" ref="P35">IF(B35="","",IF(N35&lt;&gt;1,"n.a.",INDEX(Counterparties!$C$6:$C$80,MATCH(B35,Counterparties!$A$6:$A$80,0))))</f>
        <v/>
      </c>
      <c r="Q35" s="2" t="str">
        <f t="array" ref="Q35">IF(B35="","",IF(N35&lt;&gt;1,"n.a.",INDEX(Counterparties!$G$6:$G$80,MATCH(B35,Counterparties!$A$6:$A$80,0))))</f>
        <v/>
      </c>
      <c r="R35" s="2">
        <f t="array" ref="R35">IF(A35="",0,IF(M35&lt;&gt;1,0,IF(AND(INDEX(Companies!$R$6:$R$55,MATCH(A35,Companies!$A$6:$A$55,0))=1,INDEX(Companies!$I$6:$I$55,MATCH(A35,Companies!$A$6:$A$55,0))&gt;=MAX(10,Rules!$B$22)),1,0)))</f>
        <v>0</v>
      </c>
      <c r="S35" s="2" t="str">
        <f t="array" ref="S35">IF(B35="","",IF(N35&lt;&gt;1,"Check counterparty ID",INDEX(Counterparties!$N$6:$N$80,MATCH(B35,Counterparties!$A$6:$A$80,0))))</f>
        <v/>
      </c>
      <c r="T35" s="2" t="str">
        <f t="shared" si="2"/>
        <v/>
      </c>
      <c r="U35" s="2">
        <f t="shared" si="3"/>
        <v>0</v>
      </c>
      <c r="V35" s="2">
        <f t="shared" si="4"/>
        <v>0</v>
      </c>
      <c r="W35" s="2">
        <f>IF(COUNTA(A35:L35)=0,0,IF(AND(OR(C35="Client",C35="Partner",C35="Client and partner"),D35&lt;&gt;"",E35="Active",H35&lt;&gt;"",ISNUMBER(I35),ISNUMBER(J35),I35&lt;=J35,J35&lt;=Rules!$B$6,Rules!$B$6-J35&lt;=Rules!$B$42,K35="Yes",OR(F35="",AND(ISNUMBER(F35),F35&lt;=Rules!$B$6)),OR(G35="",AND(ISNUMBER(G35),G35&gt;=Rules!$B$6)),OR(F35="",G35="",G35&gt;=F35)),1,0))</f>
        <v>0</v>
      </c>
    </row>
    <row r="36" ht="21.0" customHeight="1">
      <c r="A36" s="44"/>
      <c r="B36" s="44"/>
      <c r="C36" s="44"/>
      <c r="D36" s="44"/>
      <c r="E36" s="44"/>
      <c r="F36" s="48"/>
      <c r="G36" s="48"/>
      <c r="H36" s="44"/>
      <c r="I36" s="48"/>
      <c r="J36" s="48"/>
      <c r="K36" s="44"/>
      <c r="L36" s="44"/>
      <c r="M36" s="2" t="str">
        <f>IF(A36="","",COUNTIF(Companies!$A$6:$A$55,A36))</f>
        <v/>
      </c>
      <c r="N36" s="2" t="str">
        <f>IF(B36="","",COUNTIF(Counterparties!$A$6:$A$80,B36))</f>
        <v/>
      </c>
      <c r="O36" s="2" t="str">
        <f t="shared" si="1"/>
        <v/>
      </c>
      <c r="P36" s="2" t="str">
        <f t="array" ref="P36">IF(B36="","",IF(N36&lt;&gt;1,"n.a.",INDEX(Counterparties!$C$6:$C$80,MATCH(B36,Counterparties!$A$6:$A$80,0))))</f>
        <v/>
      </c>
      <c r="Q36" s="2" t="str">
        <f t="array" ref="Q36">IF(B36="","",IF(N36&lt;&gt;1,"n.a.",INDEX(Counterparties!$G$6:$G$80,MATCH(B36,Counterparties!$A$6:$A$80,0))))</f>
        <v/>
      </c>
      <c r="R36" s="2">
        <f t="array" ref="R36">IF(A36="",0,IF(M36&lt;&gt;1,0,IF(AND(INDEX(Companies!$R$6:$R$55,MATCH(A36,Companies!$A$6:$A$55,0))=1,INDEX(Companies!$I$6:$I$55,MATCH(A36,Companies!$A$6:$A$55,0))&gt;=MAX(10,Rules!$B$22)),1,0)))</f>
        <v>0</v>
      </c>
      <c r="S36" s="2" t="str">
        <f t="array" ref="S36">IF(B36="","",IF(N36&lt;&gt;1,"Check counterparty ID",INDEX(Counterparties!$N$6:$N$80,MATCH(B36,Counterparties!$A$6:$A$80,0))))</f>
        <v/>
      </c>
      <c r="T36" s="2" t="str">
        <f t="shared" si="2"/>
        <v/>
      </c>
      <c r="U36" s="2">
        <f t="shared" si="3"/>
        <v>0</v>
      </c>
      <c r="V36" s="2">
        <f t="shared" si="4"/>
        <v>0</v>
      </c>
      <c r="W36" s="2">
        <f>IF(COUNTA(A36:L36)=0,0,IF(AND(OR(C36="Client",C36="Partner",C36="Client and partner"),D36&lt;&gt;"",E36="Active",H36&lt;&gt;"",ISNUMBER(I36),ISNUMBER(J36),I36&lt;=J36,J36&lt;=Rules!$B$6,Rules!$B$6-J36&lt;=Rules!$B$42,K36="Yes",OR(F36="",AND(ISNUMBER(F36),F36&lt;=Rules!$B$6)),OR(G36="",AND(ISNUMBER(G36),G36&gt;=Rules!$B$6)),OR(F36="",G36="",G36&gt;=F36)),1,0))</f>
        <v>0</v>
      </c>
    </row>
    <row r="37" ht="21.0" customHeight="1">
      <c r="A37" s="44"/>
      <c r="B37" s="44"/>
      <c r="C37" s="44"/>
      <c r="D37" s="44"/>
      <c r="E37" s="44"/>
      <c r="F37" s="48"/>
      <c r="G37" s="48"/>
      <c r="H37" s="44"/>
      <c r="I37" s="48"/>
      <c r="J37" s="48"/>
      <c r="K37" s="44"/>
      <c r="L37" s="44"/>
      <c r="M37" s="2" t="str">
        <f>IF(A37="","",COUNTIF(Companies!$A$6:$A$55,A37))</f>
        <v/>
      </c>
      <c r="N37" s="2" t="str">
        <f>IF(B37="","",COUNTIF(Counterparties!$A$6:$A$80,B37))</f>
        <v/>
      </c>
      <c r="O37" s="2" t="str">
        <f t="shared" si="1"/>
        <v/>
      </c>
      <c r="P37" s="2" t="str">
        <f t="array" ref="P37">IF(B37="","",IF(N37&lt;&gt;1,"n.a.",INDEX(Counterparties!$C$6:$C$80,MATCH(B37,Counterparties!$A$6:$A$80,0))))</f>
        <v/>
      </c>
      <c r="Q37" s="2" t="str">
        <f t="array" ref="Q37">IF(B37="","",IF(N37&lt;&gt;1,"n.a.",INDEX(Counterparties!$G$6:$G$80,MATCH(B37,Counterparties!$A$6:$A$80,0))))</f>
        <v/>
      </c>
      <c r="R37" s="2">
        <f t="array" ref="R37">IF(A37="",0,IF(M37&lt;&gt;1,0,IF(AND(INDEX(Companies!$R$6:$R$55,MATCH(A37,Companies!$A$6:$A$55,0))=1,INDEX(Companies!$I$6:$I$55,MATCH(A37,Companies!$A$6:$A$55,0))&gt;=MAX(10,Rules!$B$22)),1,0)))</f>
        <v>0</v>
      </c>
      <c r="S37" s="2" t="str">
        <f t="array" ref="S37">IF(B37="","",IF(N37&lt;&gt;1,"Check counterparty ID",INDEX(Counterparties!$N$6:$N$80,MATCH(B37,Counterparties!$A$6:$A$80,0))))</f>
        <v/>
      </c>
      <c r="T37" s="2" t="str">
        <f t="shared" si="2"/>
        <v/>
      </c>
      <c r="U37" s="2">
        <f t="shared" si="3"/>
        <v>0</v>
      </c>
      <c r="V37" s="2">
        <f t="shared" si="4"/>
        <v>0</v>
      </c>
      <c r="W37" s="2">
        <f>IF(COUNTA(A37:L37)=0,0,IF(AND(OR(C37="Client",C37="Partner",C37="Client and partner"),D37&lt;&gt;"",E37="Active",H37&lt;&gt;"",ISNUMBER(I37),ISNUMBER(J37),I37&lt;=J37,J37&lt;=Rules!$B$6,Rules!$B$6-J37&lt;=Rules!$B$42,K37="Yes",OR(F37="",AND(ISNUMBER(F37),F37&lt;=Rules!$B$6)),OR(G37="",AND(ISNUMBER(G37),G37&gt;=Rules!$B$6)),OR(F37="",G37="",G37&gt;=F37)),1,0))</f>
        <v>0</v>
      </c>
    </row>
    <row r="38" ht="21.0" customHeight="1">
      <c r="A38" s="44"/>
      <c r="B38" s="44"/>
      <c r="C38" s="44"/>
      <c r="D38" s="44"/>
      <c r="E38" s="44"/>
      <c r="F38" s="48"/>
      <c r="G38" s="48"/>
      <c r="H38" s="44"/>
      <c r="I38" s="48"/>
      <c r="J38" s="48"/>
      <c r="K38" s="44"/>
      <c r="L38" s="44"/>
      <c r="M38" s="2" t="str">
        <f>IF(A38="","",COUNTIF(Companies!$A$6:$A$55,A38))</f>
        <v/>
      </c>
      <c r="N38" s="2" t="str">
        <f>IF(B38="","",COUNTIF(Counterparties!$A$6:$A$80,B38))</f>
        <v/>
      </c>
      <c r="O38" s="2" t="str">
        <f t="shared" si="1"/>
        <v/>
      </c>
      <c r="P38" s="2" t="str">
        <f t="array" ref="P38">IF(B38="","",IF(N38&lt;&gt;1,"n.a.",INDEX(Counterparties!$C$6:$C$80,MATCH(B38,Counterparties!$A$6:$A$80,0))))</f>
        <v/>
      </c>
      <c r="Q38" s="2" t="str">
        <f t="array" ref="Q38">IF(B38="","",IF(N38&lt;&gt;1,"n.a.",INDEX(Counterparties!$G$6:$G$80,MATCH(B38,Counterparties!$A$6:$A$80,0))))</f>
        <v/>
      </c>
      <c r="R38" s="2">
        <f t="array" ref="R38">IF(A38="",0,IF(M38&lt;&gt;1,0,IF(AND(INDEX(Companies!$R$6:$R$55,MATCH(A38,Companies!$A$6:$A$55,0))=1,INDEX(Companies!$I$6:$I$55,MATCH(A38,Companies!$A$6:$A$55,0))&gt;=MAX(10,Rules!$B$22)),1,0)))</f>
        <v>0</v>
      </c>
      <c r="S38" s="2" t="str">
        <f t="array" ref="S38">IF(B38="","",IF(N38&lt;&gt;1,"Check counterparty ID",INDEX(Counterparties!$N$6:$N$80,MATCH(B38,Counterparties!$A$6:$A$80,0))))</f>
        <v/>
      </c>
      <c r="T38" s="2" t="str">
        <f t="shared" si="2"/>
        <v/>
      </c>
      <c r="U38" s="2">
        <f t="shared" si="3"/>
        <v>0</v>
      </c>
      <c r="V38" s="2">
        <f t="shared" si="4"/>
        <v>0</v>
      </c>
      <c r="W38" s="2">
        <f>IF(COUNTA(A38:L38)=0,0,IF(AND(OR(C38="Client",C38="Partner",C38="Client and partner"),D38&lt;&gt;"",E38="Active",H38&lt;&gt;"",ISNUMBER(I38),ISNUMBER(J38),I38&lt;=J38,J38&lt;=Rules!$B$6,Rules!$B$6-J38&lt;=Rules!$B$42,K38="Yes",OR(F38="",AND(ISNUMBER(F38),F38&lt;=Rules!$B$6)),OR(G38="",AND(ISNUMBER(G38),G38&gt;=Rules!$B$6)),OR(F38="",G38="",G38&gt;=F38)),1,0))</f>
        <v>0</v>
      </c>
    </row>
    <row r="39" ht="21.0" customHeight="1">
      <c r="A39" s="44"/>
      <c r="B39" s="44"/>
      <c r="C39" s="44"/>
      <c r="D39" s="44"/>
      <c r="E39" s="44"/>
      <c r="F39" s="48"/>
      <c r="G39" s="48"/>
      <c r="H39" s="44"/>
      <c r="I39" s="48"/>
      <c r="J39" s="48"/>
      <c r="K39" s="44"/>
      <c r="L39" s="44"/>
      <c r="M39" s="2" t="str">
        <f>IF(A39="","",COUNTIF(Companies!$A$6:$A$55,A39))</f>
        <v/>
      </c>
      <c r="N39" s="2" t="str">
        <f>IF(B39="","",COUNTIF(Counterparties!$A$6:$A$80,B39))</f>
        <v/>
      </c>
      <c r="O39" s="2" t="str">
        <f t="shared" si="1"/>
        <v/>
      </c>
      <c r="P39" s="2" t="str">
        <f t="array" ref="P39">IF(B39="","",IF(N39&lt;&gt;1,"n.a.",INDEX(Counterparties!$C$6:$C$80,MATCH(B39,Counterparties!$A$6:$A$80,0))))</f>
        <v/>
      </c>
      <c r="Q39" s="2" t="str">
        <f t="array" ref="Q39">IF(B39="","",IF(N39&lt;&gt;1,"n.a.",INDEX(Counterparties!$G$6:$G$80,MATCH(B39,Counterparties!$A$6:$A$80,0))))</f>
        <v/>
      </c>
      <c r="R39" s="2">
        <f t="array" ref="R39">IF(A39="",0,IF(M39&lt;&gt;1,0,IF(AND(INDEX(Companies!$R$6:$R$55,MATCH(A39,Companies!$A$6:$A$55,0))=1,INDEX(Companies!$I$6:$I$55,MATCH(A39,Companies!$A$6:$A$55,0))&gt;=MAX(10,Rules!$B$22)),1,0)))</f>
        <v>0</v>
      </c>
      <c r="S39" s="2" t="str">
        <f t="array" ref="S39">IF(B39="","",IF(N39&lt;&gt;1,"Check counterparty ID",INDEX(Counterparties!$N$6:$N$80,MATCH(B39,Counterparties!$A$6:$A$80,0))))</f>
        <v/>
      </c>
      <c r="T39" s="2" t="str">
        <f t="shared" si="2"/>
        <v/>
      </c>
      <c r="U39" s="2">
        <f t="shared" si="3"/>
        <v>0</v>
      </c>
      <c r="V39" s="2">
        <f t="shared" si="4"/>
        <v>0</v>
      </c>
      <c r="W39" s="2">
        <f>IF(COUNTA(A39:L39)=0,0,IF(AND(OR(C39="Client",C39="Partner",C39="Client and partner"),D39&lt;&gt;"",E39="Active",H39&lt;&gt;"",ISNUMBER(I39),ISNUMBER(J39),I39&lt;=J39,J39&lt;=Rules!$B$6,Rules!$B$6-J39&lt;=Rules!$B$42,K39="Yes",OR(F39="",AND(ISNUMBER(F39),F39&lt;=Rules!$B$6)),OR(G39="",AND(ISNUMBER(G39),G39&gt;=Rules!$B$6)),OR(F39="",G39="",G39&gt;=F39)),1,0))</f>
        <v>0</v>
      </c>
    </row>
    <row r="40" ht="21.0" customHeight="1">
      <c r="A40" s="44"/>
      <c r="B40" s="44"/>
      <c r="C40" s="44"/>
      <c r="D40" s="44"/>
      <c r="E40" s="44"/>
      <c r="F40" s="48"/>
      <c r="G40" s="48"/>
      <c r="H40" s="44"/>
      <c r="I40" s="48"/>
      <c r="J40" s="48"/>
      <c r="K40" s="44"/>
      <c r="L40" s="44"/>
      <c r="M40" s="2" t="str">
        <f>IF(A40="","",COUNTIF(Companies!$A$6:$A$55,A40))</f>
        <v/>
      </c>
      <c r="N40" s="2" t="str">
        <f>IF(B40="","",COUNTIF(Counterparties!$A$6:$A$80,B40))</f>
        <v/>
      </c>
      <c r="O40" s="2" t="str">
        <f t="shared" si="1"/>
        <v/>
      </c>
      <c r="P40" s="2" t="str">
        <f t="array" ref="P40">IF(B40="","",IF(N40&lt;&gt;1,"n.a.",INDEX(Counterparties!$C$6:$C$80,MATCH(B40,Counterparties!$A$6:$A$80,0))))</f>
        <v/>
      </c>
      <c r="Q40" s="2" t="str">
        <f t="array" ref="Q40">IF(B40="","",IF(N40&lt;&gt;1,"n.a.",INDEX(Counterparties!$G$6:$G$80,MATCH(B40,Counterparties!$A$6:$A$80,0))))</f>
        <v/>
      </c>
      <c r="R40" s="2">
        <f t="array" ref="R40">IF(A40="",0,IF(M40&lt;&gt;1,0,IF(AND(INDEX(Companies!$R$6:$R$55,MATCH(A40,Companies!$A$6:$A$55,0))=1,INDEX(Companies!$I$6:$I$55,MATCH(A40,Companies!$A$6:$A$55,0))&gt;=MAX(10,Rules!$B$22)),1,0)))</f>
        <v>0</v>
      </c>
      <c r="S40" s="2" t="str">
        <f t="array" ref="S40">IF(B40="","",IF(N40&lt;&gt;1,"Check counterparty ID",INDEX(Counterparties!$N$6:$N$80,MATCH(B40,Counterparties!$A$6:$A$80,0))))</f>
        <v/>
      </c>
      <c r="T40" s="2" t="str">
        <f t="shared" si="2"/>
        <v/>
      </c>
      <c r="U40" s="2">
        <f t="shared" si="3"/>
        <v>0</v>
      </c>
      <c r="V40" s="2">
        <f t="shared" si="4"/>
        <v>0</v>
      </c>
      <c r="W40" s="2">
        <f>IF(COUNTA(A40:L40)=0,0,IF(AND(OR(C40="Client",C40="Partner",C40="Client and partner"),D40&lt;&gt;"",E40="Active",H40&lt;&gt;"",ISNUMBER(I40),ISNUMBER(J40),I40&lt;=J40,J40&lt;=Rules!$B$6,Rules!$B$6-J40&lt;=Rules!$B$42,K40="Yes",OR(F40="",AND(ISNUMBER(F40),F40&lt;=Rules!$B$6)),OR(G40="",AND(ISNUMBER(G40),G40&gt;=Rules!$B$6)),OR(F40="",G40="",G40&gt;=F40)),1,0))</f>
        <v>0</v>
      </c>
    </row>
    <row r="41" ht="21.0" customHeight="1">
      <c r="A41" s="44"/>
      <c r="B41" s="44"/>
      <c r="C41" s="44"/>
      <c r="D41" s="44"/>
      <c r="E41" s="44"/>
      <c r="F41" s="48"/>
      <c r="G41" s="48"/>
      <c r="H41" s="44"/>
      <c r="I41" s="48"/>
      <c r="J41" s="48"/>
      <c r="K41" s="44"/>
      <c r="L41" s="44"/>
      <c r="M41" s="2" t="str">
        <f>IF(A41="","",COUNTIF(Companies!$A$6:$A$55,A41))</f>
        <v/>
      </c>
      <c r="N41" s="2" t="str">
        <f>IF(B41="","",COUNTIF(Counterparties!$A$6:$A$80,B41))</f>
        <v/>
      </c>
      <c r="O41" s="2" t="str">
        <f t="shared" si="1"/>
        <v/>
      </c>
      <c r="P41" s="2" t="str">
        <f t="array" ref="P41">IF(B41="","",IF(N41&lt;&gt;1,"n.a.",INDEX(Counterparties!$C$6:$C$80,MATCH(B41,Counterparties!$A$6:$A$80,0))))</f>
        <v/>
      </c>
      <c r="Q41" s="2" t="str">
        <f t="array" ref="Q41">IF(B41="","",IF(N41&lt;&gt;1,"n.a.",INDEX(Counterparties!$G$6:$G$80,MATCH(B41,Counterparties!$A$6:$A$80,0))))</f>
        <v/>
      </c>
      <c r="R41" s="2">
        <f t="array" ref="R41">IF(A41="",0,IF(M41&lt;&gt;1,0,IF(AND(INDEX(Companies!$R$6:$R$55,MATCH(A41,Companies!$A$6:$A$55,0))=1,INDEX(Companies!$I$6:$I$55,MATCH(A41,Companies!$A$6:$A$55,0))&gt;=MAX(10,Rules!$B$22)),1,0)))</f>
        <v>0</v>
      </c>
      <c r="S41" s="2" t="str">
        <f t="array" ref="S41">IF(B41="","",IF(N41&lt;&gt;1,"Check counterparty ID",INDEX(Counterparties!$N$6:$N$80,MATCH(B41,Counterparties!$A$6:$A$80,0))))</f>
        <v/>
      </c>
      <c r="T41" s="2" t="str">
        <f t="shared" si="2"/>
        <v/>
      </c>
      <c r="U41" s="2">
        <f t="shared" si="3"/>
        <v>0</v>
      </c>
      <c r="V41" s="2">
        <f t="shared" si="4"/>
        <v>0</v>
      </c>
      <c r="W41" s="2">
        <f>IF(COUNTA(A41:L41)=0,0,IF(AND(OR(C41="Client",C41="Partner",C41="Client and partner"),D41&lt;&gt;"",E41="Active",H41&lt;&gt;"",ISNUMBER(I41),ISNUMBER(J41),I41&lt;=J41,J41&lt;=Rules!$B$6,Rules!$B$6-J41&lt;=Rules!$B$42,K41="Yes",OR(F41="",AND(ISNUMBER(F41),F41&lt;=Rules!$B$6)),OR(G41="",AND(ISNUMBER(G41),G41&gt;=Rules!$B$6)),OR(F41="",G41="",G41&gt;=F41)),1,0))</f>
        <v>0</v>
      </c>
    </row>
    <row r="42" ht="21.0" customHeight="1">
      <c r="A42" s="44"/>
      <c r="B42" s="44"/>
      <c r="C42" s="44"/>
      <c r="D42" s="44"/>
      <c r="E42" s="44"/>
      <c r="F42" s="48"/>
      <c r="G42" s="48"/>
      <c r="H42" s="44"/>
      <c r="I42" s="48"/>
      <c r="J42" s="48"/>
      <c r="K42" s="44"/>
      <c r="L42" s="44"/>
      <c r="M42" s="2" t="str">
        <f>IF(A42="","",COUNTIF(Companies!$A$6:$A$55,A42))</f>
        <v/>
      </c>
      <c r="N42" s="2" t="str">
        <f>IF(B42="","",COUNTIF(Counterparties!$A$6:$A$80,B42))</f>
        <v/>
      </c>
      <c r="O42" s="2" t="str">
        <f t="shared" si="1"/>
        <v/>
      </c>
      <c r="P42" s="2" t="str">
        <f t="array" ref="P42">IF(B42="","",IF(N42&lt;&gt;1,"n.a.",INDEX(Counterparties!$C$6:$C$80,MATCH(B42,Counterparties!$A$6:$A$80,0))))</f>
        <v/>
      </c>
      <c r="Q42" s="2" t="str">
        <f t="array" ref="Q42">IF(B42="","",IF(N42&lt;&gt;1,"n.a.",INDEX(Counterparties!$G$6:$G$80,MATCH(B42,Counterparties!$A$6:$A$80,0))))</f>
        <v/>
      </c>
      <c r="R42" s="2">
        <f t="array" ref="R42">IF(A42="",0,IF(M42&lt;&gt;1,0,IF(AND(INDEX(Companies!$R$6:$R$55,MATCH(A42,Companies!$A$6:$A$55,0))=1,INDEX(Companies!$I$6:$I$55,MATCH(A42,Companies!$A$6:$A$55,0))&gt;=MAX(10,Rules!$B$22)),1,0)))</f>
        <v>0</v>
      </c>
      <c r="S42" s="2" t="str">
        <f t="array" ref="S42">IF(B42="","",IF(N42&lt;&gt;1,"Check counterparty ID",INDEX(Counterparties!$N$6:$N$80,MATCH(B42,Counterparties!$A$6:$A$80,0))))</f>
        <v/>
      </c>
      <c r="T42" s="2" t="str">
        <f t="shared" si="2"/>
        <v/>
      </c>
      <c r="U42" s="2">
        <f t="shared" si="3"/>
        <v>0</v>
      </c>
      <c r="V42" s="2">
        <f t="shared" si="4"/>
        <v>0</v>
      </c>
      <c r="W42" s="2">
        <f>IF(COUNTA(A42:L42)=0,0,IF(AND(OR(C42="Client",C42="Partner",C42="Client and partner"),D42&lt;&gt;"",E42="Active",H42&lt;&gt;"",ISNUMBER(I42),ISNUMBER(J42),I42&lt;=J42,J42&lt;=Rules!$B$6,Rules!$B$6-J42&lt;=Rules!$B$42,K42="Yes",OR(F42="",AND(ISNUMBER(F42),F42&lt;=Rules!$B$6)),OR(G42="",AND(ISNUMBER(G42),G42&gt;=Rules!$B$6)),OR(F42="",G42="",G42&gt;=F42)),1,0))</f>
        <v>0</v>
      </c>
    </row>
    <row r="43" ht="21.0" customHeight="1">
      <c r="A43" s="44"/>
      <c r="B43" s="44"/>
      <c r="C43" s="44"/>
      <c r="D43" s="44"/>
      <c r="E43" s="44"/>
      <c r="F43" s="48"/>
      <c r="G43" s="48"/>
      <c r="H43" s="44"/>
      <c r="I43" s="48"/>
      <c r="J43" s="48"/>
      <c r="K43" s="44"/>
      <c r="L43" s="44"/>
      <c r="M43" s="2" t="str">
        <f>IF(A43="","",COUNTIF(Companies!$A$6:$A$55,A43))</f>
        <v/>
      </c>
      <c r="N43" s="2" t="str">
        <f>IF(B43="","",COUNTIF(Counterparties!$A$6:$A$80,B43))</f>
        <v/>
      </c>
      <c r="O43" s="2" t="str">
        <f t="shared" si="1"/>
        <v/>
      </c>
      <c r="P43" s="2" t="str">
        <f t="array" ref="P43">IF(B43="","",IF(N43&lt;&gt;1,"n.a.",INDEX(Counterparties!$C$6:$C$80,MATCH(B43,Counterparties!$A$6:$A$80,0))))</f>
        <v/>
      </c>
      <c r="Q43" s="2" t="str">
        <f t="array" ref="Q43">IF(B43="","",IF(N43&lt;&gt;1,"n.a.",INDEX(Counterparties!$G$6:$G$80,MATCH(B43,Counterparties!$A$6:$A$80,0))))</f>
        <v/>
      </c>
      <c r="R43" s="2">
        <f t="array" ref="R43">IF(A43="",0,IF(M43&lt;&gt;1,0,IF(AND(INDEX(Companies!$R$6:$R$55,MATCH(A43,Companies!$A$6:$A$55,0))=1,INDEX(Companies!$I$6:$I$55,MATCH(A43,Companies!$A$6:$A$55,0))&gt;=MAX(10,Rules!$B$22)),1,0)))</f>
        <v>0</v>
      </c>
      <c r="S43" s="2" t="str">
        <f t="array" ref="S43">IF(B43="","",IF(N43&lt;&gt;1,"Check counterparty ID",INDEX(Counterparties!$N$6:$N$80,MATCH(B43,Counterparties!$A$6:$A$80,0))))</f>
        <v/>
      </c>
      <c r="T43" s="2" t="str">
        <f t="shared" si="2"/>
        <v/>
      </c>
      <c r="U43" s="2">
        <f t="shared" si="3"/>
        <v>0</v>
      </c>
      <c r="V43" s="2">
        <f t="shared" si="4"/>
        <v>0</v>
      </c>
      <c r="W43" s="2">
        <f>IF(COUNTA(A43:L43)=0,0,IF(AND(OR(C43="Client",C43="Partner",C43="Client and partner"),D43&lt;&gt;"",E43="Active",H43&lt;&gt;"",ISNUMBER(I43),ISNUMBER(J43),I43&lt;=J43,J43&lt;=Rules!$B$6,Rules!$B$6-J43&lt;=Rules!$B$42,K43="Yes",OR(F43="",AND(ISNUMBER(F43),F43&lt;=Rules!$B$6)),OR(G43="",AND(ISNUMBER(G43),G43&gt;=Rules!$B$6)),OR(F43="",G43="",G43&gt;=F43)),1,0))</f>
        <v>0</v>
      </c>
    </row>
    <row r="44" ht="21.0" customHeight="1">
      <c r="A44" s="44"/>
      <c r="B44" s="44"/>
      <c r="C44" s="44"/>
      <c r="D44" s="44"/>
      <c r="E44" s="44"/>
      <c r="F44" s="48"/>
      <c r="G44" s="48"/>
      <c r="H44" s="44"/>
      <c r="I44" s="48"/>
      <c r="J44" s="48"/>
      <c r="K44" s="44"/>
      <c r="L44" s="44"/>
      <c r="M44" s="2" t="str">
        <f>IF(A44="","",COUNTIF(Companies!$A$6:$A$55,A44))</f>
        <v/>
      </c>
      <c r="N44" s="2" t="str">
        <f>IF(B44="","",COUNTIF(Counterparties!$A$6:$A$80,B44))</f>
        <v/>
      </c>
      <c r="O44" s="2" t="str">
        <f t="shared" si="1"/>
        <v/>
      </c>
      <c r="P44" s="2" t="str">
        <f t="array" ref="P44">IF(B44="","",IF(N44&lt;&gt;1,"n.a.",INDEX(Counterparties!$C$6:$C$80,MATCH(B44,Counterparties!$A$6:$A$80,0))))</f>
        <v/>
      </c>
      <c r="Q44" s="2" t="str">
        <f t="array" ref="Q44">IF(B44="","",IF(N44&lt;&gt;1,"n.a.",INDEX(Counterparties!$G$6:$G$80,MATCH(B44,Counterparties!$A$6:$A$80,0))))</f>
        <v/>
      </c>
      <c r="R44" s="2">
        <f t="array" ref="R44">IF(A44="",0,IF(M44&lt;&gt;1,0,IF(AND(INDEX(Companies!$R$6:$R$55,MATCH(A44,Companies!$A$6:$A$55,0))=1,INDEX(Companies!$I$6:$I$55,MATCH(A44,Companies!$A$6:$A$55,0))&gt;=MAX(10,Rules!$B$22)),1,0)))</f>
        <v>0</v>
      </c>
      <c r="S44" s="2" t="str">
        <f t="array" ref="S44">IF(B44="","",IF(N44&lt;&gt;1,"Check counterparty ID",INDEX(Counterparties!$N$6:$N$80,MATCH(B44,Counterparties!$A$6:$A$80,0))))</f>
        <v/>
      </c>
      <c r="T44" s="2" t="str">
        <f t="shared" si="2"/>
        <v/>
      </c>
      <c r="U44" s="2">
        <f t="shared" si="3"/>
        <v>0</v>
      </c>
      <c r="V44" s="2">
        <f t="shared" si="4"/>
        <v>0</v>
      </c>
      <c r="W44" s="2">
        <f>IF(COUNTA(A44:L44)=0,0,IF(AND(OR(C44="Client",C44="Partner",C44="Client and partner"),D44&lt;&gt;"",E44="Active",H44&lt;&gt;"",ISNUMBER(I44),ISNUMBER(J44),I44&lt;=J44,J44&lt;=Rules!$B$6,Rules!$B$6-J44&lt;=Rules!$B$42,K44="Yes",OR(F44="",AND(ISNUMBER(F44),F44&lt;=Rules!$B$6)),OR(G44="",AND(ISNUMBER(G44),G44&gt;=Rules!$B$6)),OR(F44="",G44="",G44&gt;=F44)),1,0))</f>
        <v>0</v>
      </c>
    </row>
    <row r="45" ht="21.0" customHeight="1">
      <c r="A45" s="44"/>
      <c r="B45" s="44"/>
      <c r="C45" s="44"/>
      <c r="D45" s="44"/>
      <c r="E45" s="44"/>
      <c r="F45" s="48"/>
      <c r="G45" s="48"/>
      <c r="H45" s="44"/>
      <c r="I45" s="48"/>
      <c r="J45" s="48"/>
      <c r="K45" s="44"/>
      <c r="L45" s="44"/>
      <c r="M45" s="2" t="str">
        <f>IF(A45="","",COUNTIF(Companies!$A$6:$A$55,A45))</f>
        <v/>
      </c>
      <c r="N45" s="2" t="str">
        <f>IF(B45="","",COUNTIF(Counterparties!$A$6:$A$80,B45))</f>
        <v/>
      </c>
      <c r="O45" s="2" t="str">
        <f t="shared" si="1"/>
        <v/>
      </c>
      <c r="P45" s="2" t="str">
        <f t="array" ref="P45">IF(B45="","",IF(N45&lt;&gt;1,"n.a.",INDEX(Counterparties!$C$6:$C$80,MATCH(B45,Counterparties!$A$6:$A$80,0))))</f>
        <v/>
      </c>
      <c r="Q45" s="2" t="str">
        <f t="array" ref="Q45">IF(B45="","",IF(N45&lt;&gt;1,"n.a.",INDEX(Counterparties!$G$6:$G$80,MATCH(B45,Counterparties!$A$6:$A$80,0))))</f>
        <v/>
      </c>
      <c r="R45" s="2">
        <f t="array" ref="R45">IF(A45="",0,IF(M45&lt;&gt;1,0,IF(AND(INDEX(Companies!$R$6:$R$55,MATCH(A45,Companies!$A$6:$A$55,0))=1,INDEX(Companies!$I$6:$I$55,MATCH(A45,Companies!$A$6:$A$55,0))&gt;=MAX(10,Rules!$B$22)),1,0)))</f>
        <v>0</v>
      </c>
      <c r="S45" s="2" t="str">
        <f t="array" ref="S45">IF(B45="","",IF(N45&lt;&gt;1,"Check counterparty ID",INDEX(Counterparties!$N$6:$N$80,MATCH(B45,Counterparties!$A$6:$A$80,0))))</f>
        <v/>
      </c>
      <c r="T45" s="2" t="str">
        <f t="shared" si="2"/>
        <v/>
      </c>
      <c r="U45" s="2">
        <f t="shared" si="3"/>
        <v>0</v>
      </c>
      <c r="V45" s="2">
        <f t="shared" si="4"/>
        <v>0</v>
      </c>
      <c r="W45" s="2">
        <f>IF(COUNTA(A45:L45)=0,0,IF(AND(OR(C45="Client",C45="Partner",C45="Client and partner"),D45&lt;&gt;"",E45="Active",H45&lt;&gt;"",ISNUMBER(I45),ISNUMBER(J45),I45&lt;=J45,J45&lt;=Rules!$B$6,Rules!$B$6-J45&lt;=Rules!$B$42,K45="Yes",OR(F45="",AND(ISNUMBER(F45),F45&lt;=Rules!$B$6)),OR(G45="",AND(ISNUMBER(G45),G45&gt;=Rules!$B$6)),OR(F45="",G45="",G45&gt;=F45)),1,0))</f>
        <v>0</v>
      </c>
    </row>
    <row r="46" ht="21.0" customHeight="1">
      <c r="A46" s="44"/>
      <c r="B46" s="44"/>
      <c r="C46" s="44"/>
      <c r="D46" s="44"/>
      <c r="E46" s="44"/>
      <c r="F46" s="48"/>
      <c r="G46" s="48"/>
      <c r="H46" s="44"/>
      <c r="I46" s="48"/>
      <c r="J46" s="48"/>
      <c r="K46" s="44"/>
      <c r="L46" s="44"/>
      <c r="M46" s="2" t="str">
        <f>IF(A46="","",COUNTIF(Companies!$A$6:$A$55,A46))</f>
        <v/>
      </c>
      <c r="N46" s="2" t="str">
        <f>IF(B46="","",COUNTIF(Counterparties!$A$6:$A$80,B46))</f>
        <v/>
      </c>
      <c r="O46" s="2" t="str">
        <f t="shared" si="1"/>
        <v/>
      </c>
      <c r="P46" s="2" t="str">
        <f t="array" ref="P46">IF(B46="","",IF(N46&lt;&gt;1,"n.a.",INDEX(Counterparties!$C$6:$C$80,MATCH(B46,Counterparties!$A$6:$A$80,0))))</f>
        <v/>
      </c>
      <c r="Q46" s="2" t="str">
        <f t="array" ref="Q46">IF(B46="","",IF(N46&lt;&gt;1,"n.a.",INDEX(Counterparties!$G$6:$G$80,MATCH(B46,Counterparties!$A$6:$A$80,0))))</f>
        <v/>
      </c>
      <c r="R46" s="2">
        <f t="array" ref="R46">IF(A46="",0,IF(M46&lt;&gt;1,0,IF(AND(INDEX(Companies!$R$6:$R$55,MATCH(A46,Companies!$A$6:$A$55,0))=1,INDEX(Companies!$I$6:$I$55,MATCH(A46,Companies!$A$6:$A$55,0))&gt;=MAX(10,Rules!$B$22)),1,0)))</f>
        <v>0</v>
      </c>
      <c r="S46" s="2" t="str">
        <f t="array" ref="S46">IF(B46="","",IF(N46&lt;&gt;1,"Check counterparty ID",INDEX(Counterparties!$N$6:$N$80,MATCH(B46,Counterparties!$A$6:$A$80,0))))</f>
        <v/>
      </c>
      <c r="T46" s="2" t="str">
        <f t="shared" si="2"/>
        <v/>
      </c>
      <c r="U46" s="2">
        <f t="shared" si="3"/>
        <v>0</v>
      </c>
      <c r="V46" s="2">
        <f t="shared" si="4"/>
        <v>0</v>
      </c>
      <c r="W46" s="2">
        <f>IF(COUNTA(A46:L46)=0,0,IF(AND(OR(C46="Client",C46="Partner",C46="Client and partner"),D46&lt;&gt;"",E46="Active",H46&lt;&gt;"",ISNUMBER(I46),ISNUMBER(J46),I46&lt;=J46,J46&lt;=Rules!$B$6,Rules!$B$6-J46&lt;=Rules!$B$42,K46="Yes",OR(F46="",AND(ISNUMBER(F46),F46&lt;=Rules!$B$6)),OR(G46="",AND(ISNUMBER(G46),G46&gt;=Rules!$B$6)),OR(F46="",G46="",G46&gt;=F46)),1,0))</f>
        <v>0</v>
      </c>
    </row>
    <row r="47" ht="21.0" customHeight="1">
      <c r="A47" s="44"/>
      <c r="B47" s="44"/>
      <c r="C47" s="44"/>
      <c r="D47" s="44"/>
      <c r="E47" s="44"/>
      <c r="F47" s="48"/>
      <c r="G47" s="48"/>
      <c r="H47" s="44"/>
      <c r="I47" s="48"/>
      <c r="J47" s="48"/>
      <c r="K47" s="44"/>
      <c r="L47" s="44"/>
      <c r="M47" s="2" t="str">
        <f>IF(A47="","",COUNTIF(Companies!$A$6:$A$55,A47))</f>
        <v/>
      </c>
      <c r="N47" s="2" t="str">
        <f>IF(B47="","",COUNTIF(Counterparties!$A$6:$A$80,B47))</f>
        <v/>
      </c>
      <c r="O47" s="2" t="str">
        <f t="shared" si="1"/>
        <v/>
      </c>
      <c r="P47" s="2" t="str">
        <f t="array" ref="P47">IF(B47="","",IF(N47&lt;&gt;1,"n.a.",INDEX(Counterparties!$C$6:$C$80,MATCH(B47,Counterparties!$A$6:$A$80,0))))</f>
        <v/>
      </c>
      <c r="Q47" s="2" t="str">
        <f t="array" ref="Q47">IF(B47="","",IF(N47&lt;&gt;1,"n.a.",INDEX(Counterparties!$G$6:$G$80,MATCH(B47,Counterparties!$A$6:$A$80,0))))</f>
        <v/>
      </c>
      <c r="R47" s="2">
        <f t="array" ref="R47">IF(A47="",0,IF(M47&lt;&gt;1,0,IF(AND(INDEX(Companies!$R$6:$R$55,MATCH(A47,Companies!$A$6:$A$55,0))=1,INDEX(Companies!$I$6:$I$55,MATCH(A47,Companies!$A$6:$A$55,0))&gt;=MAX(10,Rules!$B$22)),1,0)))</f>
        <v>0</v>
      </c>
      <c r="S47" s="2" t="str">
        <f t="array" ref="S47">IF(B47="","",IF(N47&lt;&gt;1,"Check counterparty ID",INDEX(Counterparties!$N$6:$N$80,MATCH(B47,Counterparties!$A$6:$A$80,0))))</f>
        <v/>
      </c>
      <c r="T47" s="2" t="str">
        <f t="shared" si="2"/>
        <v/>
      </c>
      <c r="U47" s="2">
        <f t="shared" si="3"/>
        <v>0</v>
      </c>
      <c r="V47" s="2">
        <f t="shared" si="4"/>
        <v>0</v>
      </c>
      <c r="W47" s="2">
        <f>IF(COUNTA(A47:L47)=0,0,IF(AND(OR(C47="Client",C47="Partner",C47="Client and partner"),D47&lt;&gt;"",E47="Active",H47&lt;&gt;"",ISNUMBER(I47),ISNUMBER(J47),I47&lt;=J47,J47&lt;=Rules!$B$6,Rules!$B$6-J47&lt;=Rules!$B$42,K47="Yes",OR(F47="",AND(ISNUMBER(F47),F47&lt;=Rules!$B$6)),OR(G47="",AND(ISNUMBER(G47),G47&gt;=Rules!$B$6)),OR(F47="",G47="",G47&gt;=F47)),1,0))</f>
        <v>0</v>
      </c>
    </row>
    <row r="48" ht="21.0" customHeight="1">
      <c r="A48" s="44"/>
      <c r="B48" s="44"/>
      <c r="C48" s="44"/>
      <c r="D48" s="44"/>
      <c r="E48" s="44"/>
      <c r="F48" s="48"/>
      <c r="G48" s="48"/>
      <c r="H48" s="44"/>
      <c r="I48" s="48"/>
      <c r="J48" s="48"/>
      <c r="K48" s="44"/>
      <c r="L48" s="44"/>
      <c r="M48" s="2" t="str">
        <f>IF(A48="","",COUNTIF(Companies!$A$6:$A$55,A48))</f>
        <v/>
      </c>
      <c r="N48" s="2" t="str">
        <f>IF(B48="","",COUNTIF(Counterparties!$A$6:$A$80,B48))</f>
        <v/>
      </c>
      <c r="O48" s="2" t="str">
        <f t="shared" si="1"/>
        <v/>
      </c>
      <c r="P48" s="2" t="str">
        <f t="array" ref="P48">IF(B48="","",IF(N48&lt;&gt;1,"n.a.",INDEX(Counterparties!$C$6:$C$80,MATCH(B48,Counterparties!$A$6:$A$80,0))))</f>
        <v/>
      </c>
      <c r="Q48" s="2" t="str">
        <f t="array" ref="Q48">IF(B48="","",IF(N48&lt;&gt;1,"n.a.",INDEX(Counterparties!$G$6:$G$80,MATCH(B48,Counterparties!$A$6:$A$80,0))))</f>
        <v/>
      </c>
      <c r="R48" s="2">
        <f t="array" ref="R48">IF(A48="",0,IF(M48&lt;&gt;1,0,IF(AND(INDEX(Companies!$R$6:$R$55,MATCH(A48,Companies!$A$6:$A$55,0))=1,INDEX(Companies!$I$6:$I$55,MATCH(A48,Companies!$A$6:$A$55,0))&gt;=MAX(10,Rules!$B$22)),1,0)))</f>
        <v>0</v>
      </c>
      <c r="S48" s="2" t="str">
        <f t="array" ref="S48">IF(B48="","",IF(N48&lt;&gt;1,"Check counterparty ID",INDEX(Counterparties!$N$6:$N$80,MATCH(B48,Counterparties!$A$6:$A$80,0))))</f>
        <v/>
      </c>
      <c r="T48" s="2" t="str">
        <f t="shared" si="2"/>
        <v/>
      </c>
      <c r="U48" s="2">
        <f t="shared" si="3"/>
        <v>0</v>
      </c>
      <c r="V48" s="2">
        <f t="shared" si="4"/>
        <v>0</v>
      </c>
      <c r="W48" s="2">
        <f>IF(COUNTA(A48:L48)=0,0,IF(AND(OR(C48="Client",C48="Partner",C48="Client and partner"),D48&lt;&gt;"",E48="Active",H48&lt;&gt;"",ISNUMBER(I48),ISNUMBER(J48),I48&lt;=J48,J48&lt;=Rules!$B$6,Rules!$B$6-J48&lt;=Rules!$B$42,K48="Yes",OR(F48="",AND(ISNUMBER(F48),F48&lt;=Rules!$B$6)),OR(G48="",AND(ISNUMBER(G48),G48&gt;=Rules!$B$6)),OR(F48="",G48="",G48&gt;=F48)),1,0))</f>
        <v>0</v>
      </c>
    </row>
    <row r="49" ht="21.0" customHeight="1">
      <c r="A49" s="44"/>
      <c r="B49" s="44"/>
      <c r="C49" s="44"/>
      <c r="D49" s="44"/>
      <c r="E49" s="44"/>
      <c r="F49" s="48"/>
      <c r="G49" s="48"/>
      <c r="H49" s="44"/>
      <c r="I49" s="48"/>
      <c r="J49" s="48"/>
      <c r="K49" s="44"/>
      <c r="L49" s="44"/>
      <c r="M49" s="2" t="str">
        <f>IF(A49="","",COUNTIF(Companies!$A$6:$A$55,A49))</f>
        <v/>
      </c>
      <c r="N49" s="2" t="str">
        <f>IF(B49="","",COUNTIF(Counterparties!$A$6:$A$80,B49))</f>
        <v/>
      </c>
      <c r="O49" s="2" t="str">
        <f t="shared" si="1"/>
        <v/>
      </c>
      <c r="P49" s="2" t="str">
        <f t="array" ref="P49">IF(B49="","",IF(N49&lt;&gt;1,"n.a.",INDEX(Counterparties!$C$6:$C$80,MATCH(B49,Counterparties!$A$6:$A$80,0))))</f>
        <v/>
      </c>
      <c r="Q49" s="2" t="str">
        <f t="array" ref="Q49">IF(B49="","",IF(N49&lt;&gt;1,"n.a.",INDEX(Counterparties!$G$6:$G$80,MATCH(B49,Counterparties!$A$6:$A$80,0))))</f>
        <v/>
      </c>
      <c r="R49" s="2">
        <f t="array" ref="R49">IF(A49="",0,IF(M49&lt;&gt;1,0,IF(AND(INDEX(Companies!$R$6:$R$55,MATCH(A49,Companies!$A$6:$A$55,0))=1,INDEX(Companies!$I$6:$I$55,MATCH(A49,Companies!$A$6:$A$55,0))&gt;=MAX(10,Rules!$B$22)),1,0)))</f>
        <v>0</v>
      </c>
      <c r="S49" s="2" t="str">
        <f t="array" ref="S49">IF(B49="","",IF(N49&lt;&gt;1,"Check counterparty ID",INDEX(Counterparties!$N$6:$N$80,MATCH(B49,Counterparties!$A$6:$A$80,0))))</f>
        <v/>
      </c>
      <c r="T49" s="2" t="str">
        <f t="shared" si="2"/>
        <v/>
      </c>
      <c r="U49" s="2">
        <f t="shared" si="3"/>
        <v>0</v>
      </c>
      <c r="V49" s="2">
        <f t="shared" si="4"/>
        <v>0</v>
      </c>
      <c r="W49" s="2">
        <f>IF(COUNTA(A49:L49)=0,0,IF(AND(OR(C49="Client",C49="Partner",C49="Client and partner"),D49&lt;&gt;"",E49="Active",H49&lt;&gt;"",ISNUMBER(I49),ISNUMBER(J49),I49&lt;=J49,J49&lt;=Rules!$B$6,Rules!$B$6-J49&lt;=Rules!$B$42,K49="Yes",OR(F49="",AND(ISNUMBER(F49),F49&lt;=Rules!$B$6)),OR(G49="",AND(ISNUMBER(G49),G49&gt;=Rules!$B$6)),OR(F49="",G49="",G49&gt;=F49)),1,0))</f>
        <v>0</v>
      </c>
    </row>
    <row r="50" ht="21.0" customHeight="1">
      <c r="A50" s="44"/>
      <c r="B50" s="44"/>
      <c r="C50" s="44"/>
      <c r="D50" s="44"/>
      <c r="E50" s="44"/>
      <c r="F50" s="48"/>
      <c r="G50" s="48"/>
      <c r="H50" s="44"/>
      <c r="I50" s="48"/>
      <c r="J50" s="48"/>
      <c r="K50" s="44"/>
      <c r="L50" s="44"/>
      <c r="M50" s="2" t="str">
        <f>IF(A50="","",COUNTIF(Companies!$A$6:$A$55,A50))</f>
        <v/>
      </c>
      <c r="N50" s="2" t="str">
        <f>IF(B50="","",COUNTIF(Counterparties!$A$6:$A$80,B50))</f>
        <v/>
      </c>
      <c r="O50" s="2" t="str">
        <f t="shared" si="1"/>
        <v/>
      </c>
      <c r="P50" s="2" t="str">
        <f t="array" ref="P50">IF(B50="","",IF(N50&lt;&gt;1,"n.a.",INDEX(Counterparties!$C$6:$C$80,MATCH(B50,Counterparties!$A$6:$A$80,0))))</f>
        <v/>
      </c>
      <c r="Q50" s="2" t="str">
        <f t="array" ref="Q50">IF(B50="","",IF(N50&lt;&gt;1,"n.a.",INDEX(Counterparties!$G$6:$G$80,MATCH(B50,Counterparties!$A$6:$A$80,0))))</f>
        <v/>
      </c>
      <c r="R50" s="2">
        <f t="array" ref="R50">IF(A50="",0,IF(M50&lt;&gt;1,0,IF(AND(INDEX(Companies!$R$6:$R$55,MATCH(A50,Companies!$A$6:$A$55,0))=1,INDEX(Companies!$I$6:$I$55,MATCH(A50,Companies!$A$6:$A$55,0))&gt;=MAX(10,Rules!$B$22)),1,0)))</f>
        <v>0</v>
      </c>
      <c r="S50" s="2" t="str">
        <f t="array" ref="S50">IF(B50="","",IF(N50&lt;&gt;1,"Check counterparty ID",INDEX(Counterparties!$N$6:$N$80,MATCH(B50,Counterparties!$A$6:$A$80,0))))</f>
        <v/>
      </c>
      <c r="T50" s="2" t="str">
        <f t="shared" si="2"/>
        <v/>
      </c>
      <c r="U50" s="2">
        <f t="shared" si="3"/>
        <v>0</v>
      </c>
      <c r="V50" s="2">
        <f t="shared" si="4"/>
        <v>0</v>
      </c>
      <c r="W50" s="2">
        <f>IF(COUNTA(A50:L50)=0,0,IF(AND(OR(C50="Client",C50="Partner",C50="Client and partner"),D50&lt;&gt;"",E50="Active",H50&lt;&gt;"",ISNUMBER(I50),ISNUMBER(J50),I50&lt;=J50,J50&lt;=Rules!$B$6,Rules!$B$6-J50&lt;=Rules!$B$42,K50="Yes",OR(F50="",AND(ISNUMBER(F50),F50&lt;=Rules!$B$6)),OR(G50="",AND(ISNUMBER(G50),G50&gt;=Rules!$B$6)),OR(F50="",G50="",G50&gt;=F50)),1,0))</f>
        <v>0</v>
      </c>
    </row>
    <row r="51" ht="21.0" customHeight="1">
      <c r="A51" s="44"/>
      <c r="B51" s="44"/>
      <c r="C51" s="44"/>
      <c r="D51" s="44"/>
      <c r="E51" s="44"/>
      <c r="F51" s="48"/>
      <c r="G51" s="48"/>
      <c r="H51" s="44"/>
      <c r="I51" s="48"/>
      <c r="J51" s="48"/>
      <c r="K51" s="44"/>
      <c r="L51" s="44"/>
      <c r="M51" s="2" t="str">
        <f>IF(A51="","",COUNTIF(Companies!$A$6:$A$55,A51))</f>
        <v/>
      </c>
      <c r="N51" s="2" t="str">
        <f>IF(B51="","",COUNTIF(Counterparties!$A$6:$A$80,B51))</f>
        <v/>
      </c>
      <c r="O51" s="2" t="str">
        <f t="shared" si="1"/>
        <v/>
      </c>
      <c r="P51" s="2" t="str">
        <f t="array" ref="P51">IF(B51="","",IF(N51&lt;&gt;1,"n.a.",INDEX(Counterparties!$C$6:$C$80,MATCH(B51,Counterparties!$A$6:$A$80,0))))</f>
        <v/>
      </c>
      <c r="Q51" s="2" t="str">
        <f t="array" ref="Q51">IF(B51="","",IF(N51&lt;&gt;1,"n.a.",INDEX(Counterparties!$G$6:$G$80,MATCH(B51,Counterparties!$A$6:$A$80,0))))</f>
        <v/>
      </c>
      <c r="R51" s="2">
        <f t="array" ref="R51">IF(A51="",0,IF(M51&lt;&gt;1,0,IF(AND(INDEX(Companies!$R$6:$R$55,MATCH(A51,Companies!$A$6:$A$55,0))=1,INDEX(Companies!$I$6:$I$55,MATCH(A51,Companies!$A$6:$A$55,0))&gt;=MAX(10,Rules!$B$22)),1,0)))</f>
        <v>0</v>
      </c>
      <c r="S51" s="2" t="str">
        <f t="array" ref="S51">IF(B51="","",IF(N51&lt;&gt;1,"Check counterparty ID",INDEX(Counterparties!$N$6:$N$80,MATCH(B51,Counterparties!$A$6:$A$80,0))))</f>
        <v/>
      </c>
      <c r="T51" s="2" t="str">
        <f t="shared" si="2"/>
        <v/>
      </c>
      <c r="U51" s="2">
        <f t="shared" si="3"/>
        <v>0</v>
      </c>
      <c r="V51" s="2">
        <f t="shared" si="4"/>
        <v>0</v>
      </c>
      <c r="W51" s="2">
        <f>IF(COUNTA(A51:L51)=0,0,IF(AND(OR(C51="Client",C51="Partner",C51="Client and partner"),D51&lt;&gt;"",E51="Active",H51&lt;&gt;"",ISNUMBER(I51),ISNUMBER(J51),I51&lt;=J51,J51&lt;=Rules!$B$6,Rules!$B$6-J51&lt;=Rules!$B$42,K51="Yes",OR(F51="",AND(ISNUMBER(F51),F51&lt;=Rules!$B$6)),OR(G51="",AND(ISNUMBER(G51),G51&gt;=Rules!$B$6)),OR(F51="",G51="",G51&gt;=F51)),1,0))</f>
        <v>0</v>
      </c>
    </row>
    <row r="52" ht="21.0" customHeight="1">
      <c r="A52" s="44"/>
      <c r="B52" s="44"/>
      <c r="C52" s="44"/>
      <c r="D52" s="44"/>
      <c r="E52" s="44"/>
      <c r="F52" s="48"/>
      <c r="G52" s="48"/>
      <c r="H52" s="44"/>
      <c r="I52" s="48"/>
      <c r="J52" s="48"/>
      <c r="K52" s="44"/>
      <c r="L52" s="44"/>
      <c r="M52" s="2" t="str">
        <f>IF(A52="","",COUNTIF(Companies!$A$6:$A$55,A52))</f>
        <v/>
      </c>
      <c r="N52" s="2" t="str">
        <f>IF(B52="","",COUNTIF(Counterparties!$A$6:$A$80,B52))</f>
        <v/>
      </c>
      <c r="O52" s="2" t="str">
        <f t="shared" si="1"/>
        <v/>
      </c>
      <c r="P52" s="2" t="str">
        <f t="array" ref="P52">IF(B52="","",IF(N52&lt;&gt;1,"n.a.",INDEX(Counterparties!$C$6:$C$80,MATCH(B52,Counterparties!$A$6:$A$80,0))))</f>
        <v/>
      </c>
      <c r="Q52" s="2" t="str">
        <f t="array" ref="Q52">IF(B52="","",IF(N52&lt;&gt;1,"n.a.",INDEX(Counterparties!$G$6:$G$80,MATCH(B52,Counterparties!$A$6:$A$80,0))))</f>
        <v/>
      </c>
      <c r="R52" s="2">
        <f t="array" ref="R52">IF(A52="",0,IF(M52&lt;&gt;1,0,IF(AND(INDEX(Companies!$R$6:$R$55,MATCH(A52,Companies!$A$6:$A$55,0))=1,INDEX(Companies!$I$6:$I$55,MATCH(A52,Companies!$A$6:$A$55,0))&gt;=MAX(10,Rules!$B$22)),1,0)))</f>
        <v>0</v>
      </c>
      <c r="S52" s="2" t="str">
        <f t="array" ref="S52">IF(B52="","",IF(N52&lt;&gt;1,"Check counterparty ID",INDEX(Counterparties!$N$6:$N$80,MATCH(B52,Counterparties!$A$6:$A$80,0))))</f>
        <v/>
      </c>
      <c r="T52" s="2" t="str">
        <f t="shared" si="2"/>
        <v/>
      </c>
      <c r="U52" s="2">
        <f t="shared" si="3"/>
        <v>0</v>
      </c>
      <c r="V52" s="2">
        <f t="shared" si="4"/>
        <v>0</v>
      </c>
      <c r="W52" s="2">
        <f>IF(COUNTA(A52:L52)=0,0,IF(AND(OR(C52="Client",C52="Partner",C52="Client and partner"),D52&lt;&gt;"",E52="Active",H52&lt;&gt;"",ISNUMBER(I52),ISNUMBER(J52),I52&lt;=J52,J52&lt;=Rules!$B$6,Rules!$B$6-J52&lt;=Rules!$B$42,K52="Yes",OR(F52="",AND(ISNUMBER(F52),F52&lt;=Rules!$B$6)),OR(G52="",AND(ISNUMBER(G52),G52&gt;=Rules!$B$6)),OR(F52="",G52="",G52&gt;=F52)),1,0))</f>
        <v>0</v>
      </c>
    </row>
    <row r="53" ht="21.0" customHeight="1">
      <c r="A53" s="44"/>
      <c r="B53" s="44"/>
      <c r="C53" s="44"/>
      <c r="D53" s="44"/>
      <c r="E53" s="44"/>
      <c r="F53" s="48"/>
      <c r="G53" s="48"/>
      <c r="H53" s="44"/>
      <c r="I53" s="48"/>
      <c r="J53" s="48"/>
      <c r="K53" s="44"/>
      <c r="L53" s="44"/>
      <c r="M53" s="2" t="str">
        <f>IF(A53="","",COUNTIF(Companies!$A$6:$A$55,A53))</f>
        <v/>
      </c>
      <c r="N53" s="2" t="str">
        <f>IF(B53="","",COUNTIF(Counterparties!$A$6:$A$80,B53))</f>
        <v/>
      </c>
      <c r="O53" s="2" t="str">
        <f t="shared" si="1"/>
        <v/>
      </c>
      <c r="P53" s="2" t="str">
        <f t="array" ref="P53">IF(B53="","",IF(N53&lt;&gt;1,"n.a.",INDEX(Counterparties!$C$6:$C$80,MATCH(B53,Counterparties!$A$6:$A$80,0))))</f>
        <v/>
      </c>
      <c r="Q53" s="2" t="str">
        <f t="array" ref="Q53">IF(B53="","",IF(N53&lt;&gt;1,"n.a.",INDEX(Counterparties!$G$6:$G$80,MATCH(B53,Counterparties!$A$6:$A$80,0))))</f>
        <v/>
      </c>
      <c r="R53" s="2">
        <f t="array" ref="R53">IF(A53="",0,IF(M53&lt;&gt;1,0,IF(AND(INDEX(Companies!$R$6:$R$55,MATCH(A53,Companies!$A$6:$A$55,0))=1,INDEX(Companies!$I$6:$I$55,MATCH(A53,Companies!$A$6:$A$55,0))&gt;=MAX(10,Rules!$B$22)),1,0)))</f>
        <v>0</v>
      </c>
      <c r="S53" s="2" t="str">
        <f t="array" ref="S53">IF(B53="","",IF(N53&lt;&gt;1,"Check counterparty ID",INDEX(Counterparties!$N$6:$N$80,MATCH(B53,Counterparties!$A$6:$A$80,0))))</f>
        <v/>
      </c>
      <c r="T53" s="2" t="str">
        <f t="shared" si="2"/>
        <v/>
      </c>
      <c r="U53" s="2">
        <f t="shared" si="3"/>
        <v>0</v>
      </c>
      <c r="V53" s="2">
        <f t="shared" si="4"/>
        <v>0</v>
      </c>
      <c r="W53" s="2">
        <f>IF(COUNTA(A53:L53)=0,0,IF(AND(OR(C53="Client",C53="Partner",C53="Client and partner"),D53&lt;&gt;"",E53="Active",H53&lt;&gt;"",ISNUMBER(I53),ISNUMBER(J53),I53&lt;=J53,J53&lt;=Rules!$B$6,Rules!$B$6-J53&lt;=Rules!$B$42,K53="Yes",OR(F53="",AND(ISNUMBER(F53),F53&lt;=Rules!$B$6)),OR(G53="",AND(ISNUMBER(G53),G53&gt;=Rules!$B$6)),OR(F53="",G53="",G53&gt;=F53)),1,0))</f>
        <v>0</v>
      </c>
    </row>
    <row r="54" ht="21.0" customHeight="1">
      <c r="A54" s="44"/>
      <c r="B54" s="44"/>
      <c r="C54" s="44"/>
      <c r="D54" s="44"/>
      <c r="E54" s="44"/>
      <c r="F54" s="48"/>
      <c r="G54" s="48"/>
      <c r="H54" s="44"/>
      <c r="I54" s="48"/>
      <c r="J54" s="48"/>
      <c r="K54" s="44"/>
      <c r="L54" s="44"/>
      <c r="M54" s="2" t="str">
        <f>IF(A54="","",COUNTIF(Companies!$A$6:$A$55,A54))</f>
        <v/>
      </c>
      <c r="N54" s="2" t="str">
        <f>IF(B54="","",COUNTIF(Counterparties!$A$6:$A$80,B54))</f>
        <v/>
      </c>
      <c r="O54" s="2" t="str">
        <f t="shared" si="1"/>
        <v/>
      </c>
      <c r="P54" s="2" t="str">
        <f t="array" ref="P54">IF(B54="","",IF(N54&lt;&gt;1,"n.a.",INDEX(Counterparties!$C$6:$C$80,MATCH(B54,Counterparties!$A$6:$A$80,0))))</f>
        <v/>
      </c>
      <c r="Q54" s="2" t="str">
        <f t="array" ref="Q54">IF(B54="","",IF(N54&lt;&gt;1,"n.a.",INDEX(Counterparties!$G$6:$G$80,MATCH(B54,Counterparties!$A$6:$A$80,0))))</f>
        <v/>
      </c>
      <c r="R54" s="2">
        <f t="array" ref="R54">IF(A54="",0,IF(M54&lt;&gt;1,0,IF(AND(INDEX(Companies!$R$6:$R$55,MATCH(A54,Companies!$A$6:$A$55,0))=1,INDEX(Companies!$I$6:$I$55,MATCH(A54,Companies!$A$6:$A$55,0))&gt;=MAX(10,Rules!$B$22)),1,0)))</f>
        <v>0</v>
      </c>
      <c r="S54" s="2" t="str">
        <f t="array" ref="S54">IF(B54="","",IF(N54&lt;&gt;1,"Check counterparty ID",INDEX(Counterparties!$N$6:$N$80,MATCH(B54,Counterparties!$A$6:$A$80,0))))</f>
        <v/>
      </c>
      <c r="T54" s="2" t="str">
        <f t="shared" si="2"/>
        <v/>
      </c>
      <c r="U54" s="2">
        <f t="shared" si="3"/>
        <v>0</v>
      </c>
      <c r="V54" s="2">
        <f t="shared" si="4"/>
        <v>0</v>
      </c>
      <c r="W54" s="2">
        <f>IF(COUNTA(A54:L54)=0,0,IF(AND(OR(C54="Client",C54="Partner",C54="Client and partner"),D54&lt;&gt;"",E54="Active",H54&lt;&gt;"",ISNUMBER(I54),ISNUMBER(J54),I54&lt;=J54,J54&lt;=Rules!$B$6,Rules!$B$6-J54&lt;=Rules!$B$42,K54="Yes",OR(F54="",AND(ISNUMBER(F54),F54&lt;=Rules!$B$6)),OR(G54="",AND(ISNUMBER(G54),G54&gt;=Rules!$B$6)),OR(F54="",G54="",G54&gt;=F54)),1,0))</f>
        <v>0</v>
      </c>
    </row>
    <row r="55" ht="21.0" customHeight="1">
      <c r="A55" s="44"/>
      <c r="B55" s="44"/>
      <c r="C55" s="44"/>
      <c r="D55" s="44"/>
      <c r="E55" s="44"/>
      <c r="F55" s="48"/>
      <c r="G55" s="48"/>
      <c r="H55" s="44"/>
      <c r="I55" s="48"/>
      <c r="J55" s="48"/>
      <c r="K55" s="44"/>
      <c r="L55" s="44"/>
      <c r="M55" s="2" t="str">
        <f>IF(A55="","",COUNTIF(Companies!$A$6:$A$55,A55))</f>
        <v/>
      </c>
      <c r="N55" s="2" t="str">
        <f>IF(B55="","",COUNTIF(Counterparties!$A$6:$A$80,B55))</f>
        <v/>
      </c>
      <c r="O55" s="2" t="str">
        <f t="shared" si="1"/>
        <v/>
      </c>
      <c r="P55" s="2" t="str">
        <f t="array" ref="P55">IF(B55="","",IF(N55&lt;&gt;1,"n.a.",INDEX(Counterparties!$C$6:$C$80,MATCH(B55,Counterparties!$A$6:$A$80,0))))</f>
        <v/>
      </c>
      <c r="Q55" s="2" t="str">
        <f t="array" ref="Q55">IF(B55="","",IF(N55&lt;&gt;1,"n.a.",INDEX(Counterparties!$G$6:$G$80,MATCH(B55,Counterparties!$A$6:$A$80,0))))</f>
        <v/>
      </c>
      <c r="R55" s="2">
        <f t="array" ref="R55">IF(A55="",0,IF(M55&lt;&gt;1,0,IF(AND(INDEX(Companies!$R$6:$R$55,MATCH(A55,Companies!$A$6:$A$55,0))=1,INDEX(Companies!$I$6:$I$55,MATCH(A55,Companies!$A$6:$A$55,0))&gt;=MAX(10,Rules!$B$22)),1,0)))</f>
        <v>0</v>
      </c>
      <c r="S55" s="2" t="str">
        <f t="array" ref="S55">IF(B55="","",IF(N55&lt;&gt;1,"Check counterparty ID",INDEX(Counterparties!$N$6:$N$80,MATCH(B55,Counterparties!$A$6:$A$80,0))))</f>
        <v/>
      </c>
      <c r="T55" s="2" t="str">
        <f t="shared" si="2"/>
        <v/>
      </c>
      <c r="U55" s="2">
        <f t="shared" si="3"/>
        <v>0</v>
      </c>
      <c r="V55" s="2">
        <f t="shared" si="4"/>
        <v>0</v>
      </c>
      <c r="W55" s="2">
        <f>IF(COUNTA(A55:L55)=0,0,IF(AND(OR(C55="Client",C55="Partner",C55="Client and partner"),D55&lt;&gt;"",E55="Active",H55&lt;&gt;"",ISNUMBER(I55),ISNUMBER(J55),I55&lt;=J55,J55&lt;=Rules!$B$6,Rules!$B$6-J55&lt;=Rules!$B$42,K55="Yes",OR(F55="",AND(ISNUMBER(F55),F55&lt;=Rules!$B$6)),OR(G55="",AND(ISNUMBER(G55),G55&gt;=Rules!$B$6)),OR(F55="",G55="",G55&gt;=F55)),1,0))</f>
        <v>0</v>
      </c>
    </row>
    <row r="56" ht="21.0" customHeight="1">
      <c r="A56" s="44"/>
      <c r="B56" s="44"/>
      <c r="C56" s="44"/>
      <c r="D56" s="44"/>
      <c r="E56" s="44"/>
      <c r="F56" s="48"/>
      <c r="G56" s="48"/>
      <c r="H56" s="44"/>
      <c r="I56" s="48"/>
      <c r="J56" s="48"/>
      <c r="K56" s="44"/>
      <c r="L56" s="44"/>
      <c r="M56" s="2" t="str">
        <f>IF(A56="","",COUNTIF(Companies!$A$6:$A$55,A56))</f>
        <v/>
      </c>
      <c r="N56" s="2" t="str">
        <f>IF(B56="","",COUNTIF(Counterparties!$A$6:$A$80,B56))</f>
        <v/>
      </c>
      <c r="O56" s="2" t="str">
        <f t="shared" si="1"/>
        <v/>
      </c>
      <c r="P56" s="2" t="str">
        <f t="array" ref="P56">IF(B56="","",IF(N56&lt;&gt;1,"n.a.",INDEX(Counterparties!$C$6:$C$80,MATCH(B56,Counterparties!$A$6:$A$80,0))))</f>
        <v/>
      </c>
      <c r="Q56" s="2" t="str">
        <f t="array" ref="Q56">IF(B56="","",IF(N56&lt;&gt;1,"n.a.",INDEX(Counterparties!$G$6:$G$80,MATCH(B56,Counterparties!$A$6:$A$80,0))))</f>
        <v/>
      </c>
      <c r="R56" s="2">
        <f t="array" ref="R56">IF(A56="",0,IF(M56&lt;&gt;1,0,IF(AND(INDEX(Companies!$R$6:$R$55,MATCH(A56,Companies!$A$6:$A$55,0))=1,INDEX(Companies!$I$6:$I$55,MATCH(A56,Companies!$A$6:$A$55,0))&gt;=MAX(10,Rules!$B$22)),1,0)))</f>
        <v>0</v>
      </c>
      <c r="S56" s="2" t="str">
        <f t="array" ref="S56">IF(B56="","",IF(N56&lt;&gt;1,"Check counterparty ID",INDEX(Counterparties!$N$6:$N$80,MATCH(B56,Counterparties!$A$6:$A$80,0))))</f>
        <v/>
      </c>
      <c r="T56" s="2" t="str">
        <f t="shared" si="2"/>
        <v/>
      </c>
      <c r="U56" s="2">
        <f t="shared" si="3"/>
        <v>0</v>
      </c>
      <c r="V56" s="2">
        <f t="shared" si="4"/>
        <v>0</v>
      </c>
      <c r="W56" s="2">
        <f>IF(COUNTA(A56:L56)=0,0,IF(AND(OR(C56="Client",C56="Partner",C56="Client and partner"),D56&lt;&gt;"",E56="Active",H56&lt;&gt;"",ISNUMBER(I56),ISNUMBER(J56),I56&lt;=J56,J56&lt;=Rules!$B$6,Rules!$B$6-J56&lt;=Rules!$B$42,K56="Yes",OR(F56="",AND(ISNUMBER(F56),F56&lt;=Rules!$B$6)),OR(G56="",AND(ISNUMBER(G56),G56&gt;=Rules!$B$6)),OR(F56="",G56="",G56&gt;=F56)),1,0))</f>
        <v>0</v>
      </c>
    </row>
    <row r="57" ht="21.0" customHeight="1">
      <c r="A57" s="44"/>
      <c r="B57" s="44"/>
      <c r="C57" s="44"/>
      <c r="D57" s="44"/>
      <c r="E57" s="44"/>
      <c r="F57" s="48"/>
      <c r="G57" s="48"/>
      <c r="H57" s="44"/>
      <c r="I57" s="48"/>
      <c r="J57" s="48"/>
      <c r="K57" s="44"/>
      <c r="L57" s="44"/>
      <c r="M57" s="2" t="str">
        <f>IF(A57="","",COUNTIF(Companies!$A$6:$A$55,A57))</f>
        <v/>
      </c>
      <c r="N57" s="2" t="str">
        <f>IF(B57="","",COUNTIF(Counterparties!$A$6:$A$80,B57))</f>
        <v/>
      </c>
      <c r="O57" s="2" t="str">
        <f t="shared" si="1"/>
        <v/>
      </c>
      <c r="P57" s="2" t="str">
        <f t="array" ref="P57">IF(B57="","",IF(N57&lt;&gt;1,"n.a.",INDEX(Counterparties!$C$6:$C$80,MATCH(B57,Counterparties!$A$6:$A$80,0))))</f>
        <v/>
      </c>
      <c r="Q57" s="2" t="str">
        <f t="array" ref="Q57">IF(B57="","",IF(N57&lt;&gt;1,"n.a.",INDEX(Counterparties!$G$6:$G$80,MATCH(B57,Counterparties!$A$6:$A$80,0))))</f>
        <v/>
      </c>
      <c r="R57" s="2">
        <f t="array" ref="R57">IF(A57="",0,IF(M57&lt;&gt;1,0,IF(AND(INDEX(Companies!$R$6:$R$55,MATCH(A57,Companies!$A$6:$A$55,0))=1,INDEX(Companies!$I$6:$I$55,MATCH(A57,Companies!$A$6:$A$55,0))&gt;=MAX(10,Rules!$B$22)),1,0)))</f>
        <v>0</v>
      </c>
      <c r="S57" s="2" t="str">
        <f t="array" ref="S57">IF(B57="","",IF(N57&lt;&gt;1,"Check counterparty ID",INDEX(Counterparties!$N$6:$N$80,MATCH(B57,Counterparties!$A$6:$A$80,0))))</f>
        <v/>
      </c>
      <c r="T57" s="2" t="str">
        <f t="shared" si="2"/>
        <v/>
      </c>
      <c r="U57" s="2">
        <f t="shared" si="3"/>
        <v>0</v>
      </c>
      <c r="V57" s="2">
        <f t="shared" si="4"/>
        <v>0</v>
      </c>
      <c r="W57" s="2">
        <f>IF(COUNTA(A57:L57)=0,0,IF(AND(OR(C57="Client",C57="Partner",C57="Client and partner"),D57&lt;&gt;"",E57="Active",H57&lt;&gt;"",ISNUMBER(I57),ISNUMBER(J57),I57&lt;=J57,J57&lt;=Rules!$B$6,Rules!$B$6-J57&lt;=Rules!$B$42,K57="Yes",OR(F57="",AND(ISNUMBER(F57),F57&lt;=Rules!$B$6)),OR(G57="",AND(ISNUMBER(G57),G57&gt;=Rules!$B$6)),OR(F57="",G57="",G57&gt;=F57)),1,0))</f>
        <v>0</v>
      </c>
    </row>
    <row r="58" ht="21.0" customHeight="1">
      <c r="A58" s="44"/>
      <c r="B58" s="44"/>
      <c r="C58" s="44"/>
      <c r="D58" s="44"/>
      <c r="E58" s="44"/>
      <c r="F58" s="48"/>
      <c r="G58" s="48"/>
      <c r="H58" s="44"/>
      <c r="I58" s="48"/>
      <c r="J58" s="48"/>
      <c r="K58" s="44"/>
      <c r="L58" s="44"/>
      <c r="M58" s="2" t="str">
        <f>IF(A58="","",COUNTIF(Companies!$A$6:$A$55,A58))</f>
        <v/>
      </c>
      <c r="N58" s="2" t="str">
        <f>IF(B58="","",COUNTIF(Counterparties!$A$6:$A$80,B58))</f>
        <v/>
      </c>
      <c r="O58" s="2" t="str">
        <f t="shared" si="1"/>
        <v/>
      </c>
      <c r="P58" s="2" t="str">
        <f t="array" ref="P58">IF(B58="","",IF(N58&lt;&gt;1,"n.a.",INDEX(Counterparties!$C$6:$C$80,MATCH(B58,Counterparties!$A$6:$A$80,0))))</f>
        <v/>
      </c>
      <c r="Q58" s="2" t="str">
        <f t="array" ref="Q58">IF(B58="","",IF(N58&lt;&gt;1,"n.a.",INDEX(Counterparties!$G$6:$G$80,MATCH(B58,Counterparties!$A$6:$A$80,0))))</f>
        <v/>
      </c>
      <c r="R58" s="2">
        <f t="array" ref="R58">IF(A58="",0,IF(M58&lt;&gt;1,0,IF(AND(INDEX(Companies!$R$6:$R$55,MATCH(A58,Companies!$A$6:$A$55,0))=1,INDEX(Companies!$I$6:$I$55,MATCH(A58,Companies!$A$6:$A$55,0))&gt;=MAX(10,Rules!$B$22)),1,0)))</f>
        <v>0</v>
      </c>
      <c r="S58" s="2" t="str">
        <f t="array" ref="S58">IF(B58="","",IF(N58&lt;&gt;1,"Check counterparty ID",INDEX(Counterparties!$N$6:$N$80,MATCH(B58,Counterparties!$A$6:$A$80,0))))</f>
        <v/>
      </c>
      <c r="T58" s="2" t="str">
        <f t="shared" si="2"/>
        <v/>
      </c>
      <c r="U58" s="2">
        <f t="shared" si="3"/>
        <v>0</v>
      </c>
      <c r="V58" s="2">
        <f t="shared" si="4"/>
        <v>0</v>
      </c>
      <c r="W58" s="2">
        <f>IF(COUNTA(A58:L58)=0,0,IF(AND(OR(C58="Client",C58="Partner",C58="Client and partner"),D58&lt;&gt;"",E58="Active",H58&lt;&gt;"",ISNUMBER(I58),ISNUMBER(J58),I58&lt;=J58,J58&lt;=Rules!$B$6,Rules!$B$6-J58&lt;=Rules!$B$42,K58="Yes",OR(F58="",AND(ISNUMBER(F58),F58&lt;=Rules!$B$6)),OR(G58="",AND(ISNUMBER(G58),G58&gt;=Rules!$B$6)),OR(F58="",G58="",G58&gt;=F58)),1,0))</f>
        <v>0</v>
      </c>
    </row>
    <row r="59" ht="21.0" customHeight="1">
      <c r="A59" s="44"/>
      <c r="B59" s="44"/>
      <c r="C59" s="44"/>
      <c r="D59" s="44"/>
      <c r="E59" s="44"/>
      <c r="F59" s="48"/>
      <c r="G59" s="48"/>
      <c r="H59" s="44"/>
      <c r="I59" s="48"/>
      <c r="J59" s="48"/>
      <c r="K59" s="44"/>
      <c r="L59" s="44"/>
      <c r="M59" s="2" t="str">
        <f>IF(A59="","",COUNTIF(Companies!$A$6:$A$55,A59))</f>
        <v/>
      </c>
      <c r="N59" s="2" t="str">
        <f>IF(B59="","",COUNTIF(Counterparties!$A$6:$A$80,B59))</f>
        <v/>
      </c>
      <c r="O59" s="2" t="str">
        <f t="shared" si="1"/>
        <v/>
      </c>
      <c r="P59" s="2" t="str">
        <f t="array" ref="P59">IF(B59="","",IF(N59&lt;&gt;1,"n.a.",INDEX(Counterparties!$C$6:$C$80,MATCH(B59,Counterparties!$A$6:$A$80,0))))</f>
        <v/>
      </c>
      <c r="Q59" s="2" t="str">
        <f t="array" ref="Q59">IF(B59="","",IF(N59&lt;&gt;1,"n.a.",INDEX(Counterparties!$G$6:$G$80,MATCH(B59,Counterparties!$A$6:$A$80,0))))</f>
        <v/>
      </c>
      <c r="R59" s="2">
        <f t="array" ref="R59">IF(A59="",0,IF(M59&lt;&gt;1,0,IF(AND(INDEX(Companies!$R$6:$R$55,MATCH(A59,Companies!$A$6:$A$55,0))=1,INDEX(Companies!$I$6:$I$55,MATCH(A59,Companies!$A$6:$A$55,0))&gt;=MAX(10,Rules!$B$22)),1,0)))</f>
        <v>0</v>
      </c>
      <c r="S59" s="2" t="str">
        <f t="array" ref="S59">IF(B59="","",IF(N59&lt;&gt;1,"Check counterparty ID",INDEX(Counterparties!$N$6:$N$80,MATCH(B59,Counterparties!$A$6:$A$80,0))))</f>
        <v/>
      </c>
      <c r="T59" s="2" t="str">
        <f t="shared" si="2"/>
        <v/>
      </c>
      <c r="U59" s="2">
        <f t="shared" si="3"/>
        <v>0</v>
      </c>
      <c r="V59" s="2">
        <f t="shared" si="4"/>
        <v>0</v>
      </c>
      <c r="W59" s="2">
        <f>IF(COUNTA(A59:L59)=0,0,IF(AND(OR(C59="Client",C59="Partner",C59="Client and partner"),D59&lt;&gt;"",E59="Active",H59&lt;&gt;"",ISNUMBER(I59),ISNUMBER(J59),I59&lt;=J59,J59&lt;=Rules!$B$6,Rules!$B$6-J59&lt;=Rules!$B$42,K59="Yes",OR(F59="",AND(ISNUMBER(F59),F59&lt;=Rules!$B$6)),OR(G59="",AND(ISNUMBER(G59),G59&gt;=Rules!$B$6)),OR(F59="",G59="",G59&gt;=F59)),1,0))</f>
        <v>0</v>
      </c>
    </row>
    <row r="60" ht="21.0" customHeight="1">
      <c r="A60" s="44"/>
      <c r="B60" s="44"/>
      <c r="C60" s="44"/>
      <c r="D60" s="44"/>
      <c r="E60" s="44"/>
      <c r="F60" s="48"/>
      <c r="G60" s="48"/>
      <c r="H60" s="44"/>
      <c r="I60" s="48"/>
      <c r="J60" s="48"/>
      <c r="K60" s="44"/>
      <c r="L60" s="44"/>
      <c r="M60" s="2" t="str">
        <f>IF(A60="","",COUNTIF(Companies!$A$6:$A$55,A60))</f>
        <v/>
      </c>
      <c r="N60" s="2" t="str">
        <f>IF(B60="","",COUNTIF(Counterparties!$A$6:$A$80,B60))</f>
        <v/>
      </c>
      <c r="O60" s="2" t="str">
        <f t="shared" si="1"/>
        <v/>
      </c>
      <c r="P60" s="2" t="str">
        <f t="array" ref="P60">IF(B60="","",IF(N60&lt;&gt;1,"n.a.",INDEX(Counterparties!$C$6:$C$80,MATCH(B60,Counterparties!$A$6:$A$80,0))))</f>
        <v/>
      </c>
      <c r="Q60" s="2" t="str">
        <f t="array" ref="Q60">IF(B60="","",IF(N60&lt;&gt;1,"n.a.",INDEX(Counterparties!$G$6:$G$80,MATCH(B60,Counterparties!$A$6:$A$80,0))))</f>
        <v/>
      </c>
      <c r="R60" s="2">
        <f t="array" ref="R60">IF(A60="",0,IF(M60&lt;&gt;1,0,IF(AND(INDEX(Companies!$R$6:$R$55,MATCH(A60,Companies!$A$6:$A$55,0))=1,INDEX(Companies!$I$6:$I$55,MATCH(A60,Companies!$A$6:$A$55,0))&gt;=MAX(10,Rules!$B$22)),1,0)))</f>
        <v>0</v>
      </c>
      <c r="S60" s="2" t="str">
        <f t="array" ref="S60">IF(B60="","",IF(N60&lt;&gt;1,"Check counterparty ID",INDEX(Counterparties!$N$6:$N$80,MATCH(B60,Counterparties!$A$6:$A$80,0))))</f>
        <v/>
      </c>
      <c r="T60" s="2" t="str">
        <f t="shared" si="2"/>
        <v/>
      </c>
      <c r="U60" s="2">
        <f t="shared" si="3"/>
        <v>0</v>
      </c>
      <c r="V60" s="2">
        <f t="shared" si="4"/>
        <v>0</v>
      </c>
      <c r="W60" s="2">
        <f>IF(COUNTA(A60:L60)=0,0,IF(AND(OR(C60="Client",C60="Partner",C60="Client and partner"),D60&lt;&gt;"",E60="Active",H60&lt;&gt;"",ISNUMBER(I60),ISNUMBER(J60),I60&lt;=J60,J60&lt;=Rules!$B$6,Rules!$B$6-J60&lt;=Rules!$B$42,K60="Yes",OR(F60="",AND(ISNUMBER(F60),F60&lt;=Rules!$B$6)),OR(G60="",AND(ISNUMBER(G60),G60&gt;=Rules!$B$6)),OR(F60="",G60="",G60&gt;=F60)),1,0))</f>
        <v>0</v>
      </c>
    </row>
    <row r="61" ht="21.0" customHeight="1">
      <c r="A61" s="44"/>
      <c r="B61" s="44"/>
      <c r="C61" s="44"/>
      <c r="D61" s="44"/>
      <c r="E61" s="44"/>
      <c r="F61" s="48"/>
      <c r="G61" s="48"/>
      <c r="H61" s="44"/>
      <c r="I61" s="48"/>
      <c r="J61" s="48"/>
      <c r="K61" s="44"/>
      <c r="L61" s="44"/>
      <c r="M61" s="2" t="str">
        <f>IF(A61="","",COUNTIF(Companies!$A$6:$A$55,A61))</f>
        <v/>
      </c>
      <c r="N61" s="2" t="str">
        <f>IF(B61="","",COUNTIF(Counterparties!$A$6:$A$80,B61))</f>
        <v/>
      </c>
      <c r="O61" s="2" t="str">
        <f t="shared" si="1"/>
        <v/>
      </c>
      <c r="P61" s="2" t="str">
        <f t="array" ref="P61">IF(B61="","",IF(N61&lt;&gt;1,"n.a.",INDEX(Counterparties!$C$6:$C$80,MATCH(B61,Counterparties!$A$6:$A$80,0))))</f>
        <v/>
      </c>
      <c r="Q61" s="2" t="str">
        <f t="array" ref="Q61">IF(B61="","",IF(N61&lt;&gt;1,"n.a.",INDEX(Counterparties!$G$6:$G$80,MATCH(B61,Counterparties!$A$6:$A$80,0))))</f>
        <v/>
      </c>
      <c r="R61" s="2">
        <f t="array" ref="R61">IF(A61="",0,IF(M61&lt;&gt;1,0,IF(AND(INDEX(Companies!$R$6:$R$55,MATCH(A61,Companies!$A$6:$A$55,0))=1,INDEX(Companies!$I$6:$I$55,MATCH(A61,Companies!$A$6:$A$55,0))&gt;=MAX(10,Rules!$B$22)),1,0)))</f>
        <v>0</v>
      </c>
      <c r="S61" s="2" t="str">
        <f t="array" ref="S61">IF(B61="","",IF(N61&lt;&gt;1,"Check counterparty ID",INDEX(Counterparties!$N$6:$N$80,MATCH(B61,Counterparties!$A$6:$A$80,0))))</f>
        <v/>
      </c>
      <c r="T61" s="2" t="str">
        <f t="shared" si="2"/>
        <v/>
      </c>
      <c r="U61" s="2">
        <f t="shared" si="3"/>
        <v>0</v>
      </c>
      <c r="V61" s="2">
        <f t="shared" si="4"/>
        <v>0</v>
      </c>
      <c r="W61" s="2">
        <f>IF(COUNTA(A61:L61)=0,0,IF(AND(OR(C61="Client",C61="Partner",C61="Client and partner"),D61&lt;&gt;"",E61="Active",H61&lt;&gt;"",ISNUMBER(I61),ISNUMBER(J61),I61&lt;=J61,J61&lt;=Rules!$B$6,Rules!$B$6-J61&lt;=Rules!$B$42,K61="Yes",OR(F61="",AND(ISNUMBER(F61),F61&lt;=Rules!$B$6)),OR(G61="",AND(ISNUMBER(G61),G61&gt;=Rules!$B$6)),OR(F61="",G61="",G61&gt;=F61)),1,0))</f>
        <v>0</v>
      </c>
    </row>
    <row r="62" ht="21.0" customHeight="1">
      <c r="A62" s="44"/>
      <c r="B62" s="44"/>
      <c r="C62" s="44"/>
      <c r="D62" s="44"/>
      <c r="E62" s="44"/>
      <c r="F62" s="48"/>
      <c r="G62" s="48"/>
      <c r="H62" s="44"/>
      <c r="I62" s="48"/>
      <c r="J62" s="48"/>
      <c r="K62" s="44"/>
      <c r="L62" s="44"/>
      <c r="M62" s="2" t="str">
        <f>IF(A62="","",COUNTIF(Companies!$A$6:$A$55,A62))</f>
        <v/>
      </c>
      <c r="N62" s="2" t="str">
        <f>IF(B62="","",COUNTIF(Counterparties!$A$6:$A$80,B62))</f>
        <v/>
      </c>
      <c r="O62" s="2" t="str">
        <f t="shared" si="1"/>
        <v/>
      </c>
      <c r="P62" s="2" t="str">
        <f t="array" ref="P62">IF(B62="","",IF(N62&lt;&gt;1,"n.a.",INDEX(Counterparties!$C$6:$C$80,MATCH(B62,Counterparties!$A$6:$A$80,0))))</f>
        <v/>
      </c>
      <c r="Q62" s="2" t="str">
        <f t="array" ref="Q62">IF(B62="","",IF(N62&lt;&gt;1,"n.a.",INDEX(Counterparties!$G$6:$G$80,MATCH(B62,Counterparties!$A$6:$A$80,0))))</f>
        <v/>
      </c>
      <c r="R62" s="2">
        <f t="array" ref="R62">IF(A62="",0,IF(M62&lt;&gt;1,0,IF(AND(INDEX(Companies!$R$6:$R$55,MATCH(A62,Companies!$A$6:$A$55,0))=1,INDEX(Companies!$I$6:$I$55,MATCH(A62,Companies!$A$6:$A$55,0))&gt;=MAX(10,Rules!$B$22)),1,0)))</f>
        <v>0</v>
      </c>
      <c r="S62" s="2" t="str">
        <f t="array" ref="S62">IF(B62="","",IF(N62&lt;&gt;1,"Check counterparty ID",INDEX(Counterparties!$N$6:$N$80,MATCH(B62,Counterparties!$A$6:$A$80,0))))</f>
        <v/>
      </c>
      <c r="T62" s="2" t="str">
        <f t="shared" si="2"/>
        <v/>
      </c>
      <c r="U62" s="2">
        <f t="shared" si="3"/>
        <v>0</v>
      </c>
      <c r="V62" s="2">
        <f t="shared" si="4"/>
        <v>0</v>
      </c>
      <c r="W62" s="2">
        <f>IF(COUNTA(A62:L62)=0,0,IF(AND(OR(C62="Client",C62="Partner",C62="Client and partner"),D62&lt;&gt;"",E62="Active",H62&lt;&gt;"",ISNUMBER(I62),ISNUMBER(J62),I62&lt;=J62,J62&lt;=Rules!$B$6,Rules!$B$6-J62&lt;=Rules!$B$42,K62="Yes",OR(F62="",AND(ISNUMBER(F62),F62&lt;=Rules!$B$6)),OR(G62="",AND(ISNUMBER(G62),G62&gt;=Rules!$B$6)),OR(F62="",G62="",G62&gt;=F62)),1,0))</f>
        <v>0</v>
      </c>
    </row>
    <row r="63" ht="21.0" customHeight="1">
      <c r="A63" s="44"/>
      <c r="B63" s="44"/>
      <c r="C63" s="44"/>
      <c r="D63" s="44"/>
      <c r="E63" s="44"/>
      <c r="F63" s="48"/>
      <c r="G63" s="48"/>
      <c r="H63" s="44"/>
      <c r="I63" s="48"/>
      <c r="J63" s="48"/>
      <c r="K63" s="44"/>
      <c r="L63" s="44"/>
      <c r="M63" s="2" t="str">
        <f>IF(A63="","",COUNTIF(Companies!$A$6:$A$55,A63))</f>
        <v/>
      </c>
      <c r="N63" s="2" t="str">
        <f>IF(B63="","",COUNTIF(Counterparties!$A$6:$A$80,B63))</f>
        <v/>
      </c>
      <c r="O63" s="2" t="str">
        <f t="shared" si="1"/>
        <v/>
      </c>
      <c r="P63" s="2" t="str">
        <f t="array" ref="P63">IF(B63="","",IF(N63&lt;&gt;1,"n.a.",INDEX(Counterparties!$C$6:$C$80,MATCH(B63,Counterparties!$A$6:$A$80,0))))</f>
        <v/>
      </c>
      <c r="Q63" s="2" t="str">
        <f t="array" ref="Q63">IF(B63="","",IF(N63&lt;&gt;1,"n.a.",INDEX(Counterparties!$G$6:$G$80,MATCH(B63,Counterparties!$A$6:$A$80,0))))</f>
        <v/>
      </c>
      <c r="R63" s="2">
        <f t="array" ref="R63">IF(A63="",0,IF(M63&lt;&gt;1,0,IF(AND(INDEX(Companies!$R$6:$R$55,MATCH(A63,Companies!$A$6:$A$55,0))=1,INDEX(Companies!$I$6:$I$55,MATCH(A63,Companies!$A$6:$A$55,0))&gt;=MAX(10,Rules!$B$22)),1,0)))</f>
        <v>0</v>
      </c>
      <c r="S63" s="2" t="str">
        <f t="array" ref="S63">IF(B63="","",IF(N63&lt;&gt;1,"Check counterparty ID",INDEX(Counterparties!$N$6:$N$80,MATCH(B63,Counterparties!$A$6:$A$80,0))))</f>
        <v/>
      </c>
      <c r="T63" s="2" t="str">
        <f t="shared" si="2"/>
        <v/>
      </c>
      <c r="U63" s="2">
        <f t="shared" si="3"/>
        <v>0</v>
      </c>
      <c r="V63" s="2">
        <f t="shared" si="4"/>
        <v>0</v>
      </c>
      <c r="W63" s="2">
        <f>IF(COUNTA(A63:L63)=0,0,IF(AND(OR(C63="Client",C63="Partner",C63="Client and partner"),D63&lt;&gt;"",E63="Active",H63&lt;&gt;"",ISNUMBER(I63),ISNUMBER(J63),I63&lt;=J63,J63&lt;=Rules!$B$6,Rules!$B$6-J63&lt;=Rules!$B$42,K63="Yes",OR(F63="",AND(ISNUMBER(F63),F63&lt;=Rules!$B$6)),OR(G63="",AND(ISNUMBER(G63),G63&gt;=Rules!$B$6)),OR(F63="",G63="",G63&gt;=F63)),1,0))</f>
        <v>0</v>
      </c>
    </row>
    <row r="64" ht="21.0" customHeight="1">
      <c r="A64" s="44"/>
      <c r="B64" s="44"/>
      <c r="C64" s="44"/>
      <c r="D64" s="44"/>
      <c r="E64" s="44"/>
      <c r="F64" s="48"/>
      <c r="G64" s="48"/>
      <c r="H64" s="44"/>
      <c r="I64" s="48"/>
      <c r="J64" s="48"/>
      <c r="K64" s="44"/>
      <c r="L64" s="44"/>
      <c r="M64" s="2" t="str">
        <f>IF(A64="","",COUNTIF(Companies!$A$6:$A$55,A64))</f>
        <v/>
      </c>
      <c r="N64" s="2" t="str">
        <f>IF(B64="","",COUNTIF(Counterparties!$A$6:$A$80,B64))</f>
        <v/>
      </c>
      <c r="O64" s="2" t="str">
        <f t="shared" si="1"/>
        <v/>
      </c>
      <c r="P64" s="2" t="str">
        <f t="array" ref="P64">IF(B64="","",IF(N64&lt;&gt;1,"n.a.",INDEX(Counterparties!$C$6:$C$80,MATCH(B64,Counterparties!$A$6:$A$80,0))))</f>
        <v/>
      </c>
      <c r="Q64" s="2" t="str">
        <f t="array" ref="Q64">IF(B64="","",IF(N64&lt;&gt;1,"n.a.",INDEX(Counterparties!$G$6:$G$80,MATCH(B64,Counterparties!$A$6:$A$80,0))))</f>
        <v/>
      </c>
      <c r="R64" s="2">
        <f t="array" ref="R64">IF(A64="",0,IF(M64&lt;&gt;1,0,IF(AND(INDEX(Companies!$R$6:$R$55,MATCH(A64,Companies!$A$6:$A$55,0))=1,INDEX(Companies!$I$6:$I$55,MATCH(A64,Companies!$A$6:$A$55,0))&gt;=MAX(10,Rules!$B$22)),1,0)))</f>
        <v>0</v>
      </c>
      <c r="S64" s="2" t="str">
        <f t="array" ref="S64">IF(B64="","",IF(N64&lt;&gt;1,"Check counterparty ID",INDEX(Counterparties!$N$6:$N$80,MATCH(B64,Counterparties!$A$6:$A$80,0))))</f>
        <v/>
      </c>
      <c r="T64" s="2" t="str">
        <f t="shared" si="2"/>
        <v/>
      </c>
      <c r="U64" s="2">
        <f t="shared" si="3"/>
        <v>0</v>
      </c>
      <c r="V64" s="2">
        <f t="shared" si="4"/>
        <v>0</v>
      </c>
      <c r="W64" s="2">
        <f>IF(COUNTA(A64:L64)=0,0,IF(AND(OR(C64="Client",C64="Partner",C64="Client and partner"),D64&lt;&gt;"",E64="Active",H64&lt;&gt;"",ISNUMBER(I64),ISNUMBER(J64),I64&lt;=J64,J64&lt;=Rules!$B$6,Rules!$B$6-J64&lt;=Rules!$B$42,K64="Yes",OR(F64="",AND(ISNUMBER(F64),F64&lt;=Rules!$B$6)),OR(G64="",AND(ISNUMBER(G64),G64&gt;=Rules!$B$6)),OR(F64="",G64="",G64&gt;=F64)),1,0))</f>
        <v>0</v>
      </c>
    </row>
    <row r="65" ht="21.0" customHeight="1">
      <c r="A65" s="44"/>
      <c r="B65" s="44"/>
      <c r="C65" s="44"/>
      <c r="D65" s="44"/>
      <c r="E65" s="44"/>
      <c r="F65" s="48"/>
      <c r="G65" s="48"/>
      <c r="H65" s="44"/>
      <c r="I65" s="48"/>
      <c r="J65" s="48"/>
      <c r="K65" s="44"/>
      <c r="L65" s="44"/>
      <c r="M65" s="2" t="str">
        <f>IF(A65="","",COUNTIF(Companies!$A$6:$A$55,A65))</f>
        <v/>
      </c>
      <c r="N65" s="2" t="str">
        <f>IF(B65="","",COUNTIF(Counterparties!$A$6:$A$80,B65))</f>
        <v/>
      </c>
      <c r="O65" s="2" t="str">
        <f t="shared" si="1"/>
        <v/>
      </c>
      <c r="P65" s="2" t="str">
        <f t="array" ref="P65">IF(B65="","",IF(N65&lt;&gt;1,"n.a.",INDEX(Counterparties!$C$6:$C$80,MATCH(B65,Counterparties!$A$6:$A$80,0))))</f>
        <v/>
      </c>
      <c r="Q65" s="2" t="str">
        <f t="array" ref="Q65">IF(B65="","",IF(N65&lt;&gt;1,"n.a.",INDEX(Counterparties!$G$6:$G$80,MATCH(B65,Counterparties!$A$6:$A$80,0))))</f>
        <v/>
      </c>
      <c r="R65" s="2">
        <f t="array" ref="R65">IF(A65="",0,IF(M65&lt;&gt;1,0,IF(AND(INDEX(Companies!$R$6:$R$55,MATCH(A65,Companies!$A$6:$A$55,0))=1,INDEX(Companies!$I$6:$I$55,MATCH(A65,Companies!$A$6:$A$55,0))&gt;=MAX(10,Rules!$B$22)),1,0)))</f>
        <v>0</v>
      </c>
      <c r="S65" s="2" t="str">
        <f t="array" ref="S65">IF(B65="","",IF(N65&lt;&gt;1,"Check counterparty ID",INDEX(Counterparties!$N$6:$N$80,MATCH(B65,Counterparties!$A$6:$A$80,0))))</f>
        <v/>
      </c>
      <c r="T65" s="2" t="str">
        <f t="shared" si="2"/>
        <v/>
      </c>
      <c r="U65" s="2">
        <f t="shared" si="3"/>
        <v>0</v>
      </c>
      <c r="V65" s="2">
        <f t="shared" si="4"/>
        <v>0</v>
      </c>
      <c r="W65" s="2">
        <f>IF(COUNTA(A65:L65)=0,0,IF(AND(OR(C65="Client",C65="Partner",C65="Client and partner"),D65&lt;&gt;"",E65="Active",H65&lt;&gt;"",ISNUMBER(I65),ISNUMBER(J65),I65&lt;=J65,J65&lt;=Rules!$B$6,Rules!$B$6-J65&lt;=Rules!$B$42,K65="Yes",OR(F65="",AND(ISNUMBER(F65),F65&lt;=Rules!$B$6)),OR(G65="",AND(ISNUMBER(G65),G65&gt;=Rules!$B$6)),OR(F65="",G65="",G65&gt;=F65)),1,0))</f>
        <v>0</v>
      </c>
    </row>
    <row r="66" ht="21.0" customHeight="1">
      <c r="A66" s="44"/>
      <c r="B66" s="44"/>
      <c r="C66" s="44"/>
      <c r="D66" s="44"/>
      <c r="E66" s="44"/>
      <c r="F66" s="48"/>
      <c r="G66" s="48"/>
      <c r="H66" s="44"/>
      <c r="I66" s="48"/>
      <c r="J66" s="48"/>
      <c r="K66" s="44"/>
      <c r="L66" s="44"/>
      <c r="M66" s="2" t="str">
        <f>IF(A66="","",COUNTIF(Companies!$A$6:$A$55,A66))</f>
        <v/>
      </c>
      <c r="N66" s="2" t="str">
        <f>IF(B66="","",COUNTIF(Counterparties!$A$6:$A$80,B66))</f>
        <v/>
      </c>
      <c r="O66" s="2" t="str">
        <f t="shared" si="1"/>
        <v/>
      </c>
      <c r="P66" s="2" t="str">
        <f t="array" ref="P66">IF(B66="","",IF(N66&lt;&gt;1,"n.a.",INDEX(Counterparties!$C$6:$C$80,MATCH(B66,Counterparties!$A$6:$A$80,0))))</f>
        <v/>
      </c>
      <c r="Q66" s="2" t="str">
        <f t="array" ref="Q66">IF(B66="","",IF(N66&lt;&gt;1,"n.a.",INDEX(Counterparties!$G$6:$G$80,MATCH(B66,Counterparties!$A$6:$A$80,0))))</f>
        <v/>
      </c>
      <c r="R66" s="2">
        <f t="array" ref="R66">IF(A66="",0,IF(M66&lt;&gt;1,0,IF(AND(INDEX(Companies!$R$6:$R$55,MATCH(A66,Companies!$A$6:$A$55,0))=1,INDEX(Companies!$I$6:$I$55,MATCH(A66,Companies!$A$6:$A$55,0))&gt;=MAX(10,Rules!$B$22)),1,0)))</f>
        <v>0</v>
      </c>
      <c r="S66" s="2" t="str">
        <f t="array" ref="S66">IF(B66="","",IF(N66&lt;&gt;1,"Check counterparty ID",INDEX(Counterparties!$N$6:$N$80,MATCH(B66,Counterparties!$A$6:$A$80,0))))</f>
        <v/>
      </c>
      <c r="T66" s="2" t="str">
        <f t="shared" si="2"/>
        <v/>
      </c>
      <c r="U66" s="2">
        <f t="shared" si="3"/>
        <v>0</v>
      </c>
      <c r="V66" s="2">
        <f t="shared" si="4"/>
        <v>0</v>
      </c>
      <c r="W66" s="2">
        <f>IF(COUNTA(A66:L66)=0,0,IF(AND(OR(C66="Client",C66="Partner",C66="Client and partner"),D66&lt;&gt;"",E66="Active",H66&lt;&gt;"",ISNUMBER(I66),ISNUMBER(J66),I66&lt;=J66,J66&lt;=Rules!$B$6,Rules!$B$6-J66&lt;=Rules!$B$42,K66="Yes",OR(F66="",AND(ISNUMBER(F66),F66&lt;=Rules!$B$6)),OR(G66="",AND(ISNUMBER(G66),G66&gt;=Rules!$B$6)),OR(F66="",G66="",G66&gt;=F66)),1,0))</f>
        <v>0</v>
      </c>
    </row>
    <row r="67" ht="21.0" customHeight="1">
      <c r="A67" s="44"/>
      <c r="B67" s="44"/>
      <c r="C67" s="44"/>
      <c r="D67" s="44"/>
      <c r="E67" s="44"/>
      <c r="F67" s="48"/>
      <c r="G67" s="48"/>
      <c r="H67" s="44"/>
      <c r="I67" s="48"/>
      <c r="J67" s="48"/>
      <c r="K67" s="44"/>
      <c r="L67" s="44"/>
      <c r="M67" s="2" t="str">
        <f>IF(A67="","",COUNTIF(Companies!$A$6:$A$55,A67))</f>
        <v/>
      </c>
      <c r="N67" s="2" t="str">
        <f>IF(B67="","",COUNTIF(Counterparties!$A$6:$A$80,B67))</f>
        <v/>
      </c>
      <c r="O67" s="2" t="str">
        <f t="shared" si="1"/>
        <v/>
      </c>
      <c r="P67" s="2" t="str">
        <f t="array" ref="P67">IF(B67="","",IF(N67&lt;&gt;1,"n.a.",INDEX(Counterparties!$C$6:$C$80,MATCH(B67,Counterparties!$A$6:$A$80,0))))</f>
        <v/>
      </c>
      <c r="Q67" s="2" t="str">
        <f t="array" ref="Q67">IF(B67="","",IF(N67&lt;&gt;1,"n.a.",INDEX(Counterparties!$G$6:$G$80,MATCH(B67,Counterparties!$A$6:$A$80,0))))</f>
        <v/>
      </c>
      <c r="R67" s="2">
        <f t="array" ref="R67">IF(A67="",0,IF(M67&lt;&gt;1,0,IF(AND(INDEX(Companies!$R$6:$R$55,MATCH(A67,Companies!$A$6:$A$55,0))=1,INDEX(Companies!$I$6:$I$55,MATCH(A67,Companies!$A$6:$A$55,0))&gt;=MAX(10,Rules!$B$22)),1,0)))</f>
        <v>0</v>
      </c>
      <c r="S67" s="2" t="str">
        <f t="array" ref="S67">IF(B67="","",IF(N67&lt;&gt;1,"Check counterparty ID",INDEX(Counterparties!$N$6:$N$80,MATCH(B67,Counterparties!$A$6:$A$80,0))))</f>
        <v/>
      </c>
      <c r="T67" s="2" t="str">
        <f t="shared" si="2"/>
        <v/>
      </c>
      <c r="U67" s="2">
        <f t="shared" si="3"/>
        <v>0</v>
      </c>
      <c r="V67" s="2">
        <f t="shared" si="4"/>
        <v>0</v>
      </c>
      <c r="W67" s="2">
        <f>IF(COUNTA(A67:L67)=0,0,IF(AND(OR(C67="Client",C67="Partner",C67="Client and partner"),D67&lt;&gt;"",E67="Active",H67&lt;&gt;"",ISNUMBER(I67),ISNUMBER(J67),I67&lt;=J67,J67&lt;=Rules!$B$6,Rules!$B$6-J67&lt;=Rules!$B$42,K67="Yes",OR(F67="",AND(ISNUMBER(F67),F67&lt;=Rules!$B$6)),OR(G67="",AND(ISNUMBER(G67),G67&gt;=Rules!$B$6)),OR(F67="",G67="",G67&gt;=F67)),1,0))</f>
        <v>0</v>
      </c>
    </row>
    <row r="68" ht="21.0" customHeight="1">
      <c r="A68" s="44"/>
      <c r="B68" s="44"/>
      <c r="C68" s="44"/>
      <c r="D68" s="44"/>
      <c r="E68" s="44"/>
      <c r="F68" s="48"/>
      <c r="G68" s="48"/>
      <c r="H68" s="44"/>
      <c r="I68" s="48"/>
      <c r="J68" s="48"/>
      <c r="K68" s="44"/>
      <c r="L68" s="44"/>
      <c r="M68" s="2" t="str">
        <f>IF(A68="","",COUNTIF(Companies!$A$6:$A$55,A68))</f>
        <v/>
      </c>
      <c r="N68" s="2" t="str">
        <f>IF(B68="","",COUNTIF(Counterparties!$A$6:$A$80,B68))</f>
        <v/>
      </c>
      <c r="O68" s="2" t="str">
        <f t="shared" si="1"/>
        <v/>
      </c>
      <c r="P68" s="2" t="str">
        <f t="array" ref="P68">IF(B68="","",IF(N68&lt;&gt;1,"n.a.",INDEX(Counterparties!$C$6:$C$80,MATCH(B68,Counterparties!$A$6:$A$80,0))))</f>
        <v/>
      </c>
      <c r="Q68" s="2" t="str">
        <f t="array" ref="Q68">IF(B68="","",IF(N68&lt;&gt;1,"n.a.",INDEX(Counterparties!$G$6:$G$80,MATCH(B68,Counterparties!$A$6:$A$80,0))))</f>
        <v/>
      </c>
      <c r="R68" s="2">
        <f t="array" ref="R68">IF(A68="",0,IF(M68&lt;&gt;1,0,IF(AND(INDEX(Companies!$R$6:$R$55,MATCH(A68,Companies!$A$6:$A$55,0))=1,INDEX(Companies!$I$6:$I$55,MATCH(A68,Companies!$A$6:$A$55,0))&gt;=MAX(10,Rules!$B$22)),1,0)))</f>
        <v>0</v>
      </c>
      <c r="S68" s="2" t="str">
        <f t="array" ref="S68">IF(B68="","",IF(N68&lt;&gt;1,"Check counterparty ID",INDEX(Counterparties!$N$6:$N$80,MATCH(B68,Counterparties!$A$6:$A$80,0))))</f>
        <v/>
      </c>
      <c r="T68" s="2" t="str">
        <f t="shared" si="2"/>
        <v/>
      </c>
      <c r="U68" s="2">
        <f t="shared" si="3"/>
        <v>0</v>
      </c>
      <c r="V68" s="2">
        <f t="shared" si="4"/>
        <v>0</v>
      </c>
      <c r="W68" s="2">
        <f>IF(COUNTA(A68:L68)=0,0,IF(AND(OR(C68="Client",C68="Partner",C68="Client and partner"),D68&lt;&gt;"",E68="Active",H68&lt;&gt;"",ISNUMBER(I68),ISNUMBER(J68),I68&lt;=J68,J68&lt;=Rules!$B$6,Rules!$B$6-J68&lt;=Rules!$B$42,K68="Yes",OR(F68="",AND(ISNUMBER(F68),F68&lt;=Rules!$B$6)),OR(G68="",AND(ISNUMBER(G68),G68&gt;=Rules!$B$6)),OR(F68="",G68="",G68&gt;=F68)),1,0))</f>
        <v>0</v>
      </c>
    </row>
    <row r="69" ht="21.0" customHeight="1">
      <c r="A69" s="44"/>
      <c r="B69" s="44"/>
      <c r="C69" s="44"/>
      <c r="D69" s="44"/>
      <c r="E69" s="44"/>
      <c r="F69" s="48"/>
      <c r="G69" s="48"/>
      <c r="H69" s="44"/>
      <c r="I69" s="48"/>
      <c r="J69" s="48"/>
      <c r="K69" s="44"/>
      <c r="L69" s="44"/>
      <c r="M69" s="2" t="str">
        <f>IF(A69="","",COUNTIF(Companies!$A$6:$A$55,A69))</f>
        <v/>
      </c>
      <c r="N69" s="2" t="str">
        <f>IF(B69="","",COUNTIF(Counterparties!$A$6:$A$80,B69))</f>
        <v/>
      </c>
      <c r="O69" s="2" t="str">
        <f t="shared" si="1"/>
        <v/>
      </c>
      <c r="P69" s="2" t="str">
        <f t="array" ref="P69">IF(B69="","",IF(N69&lt;&gt;1,"n.a.",INDEX(Counterparties!$C$6:$C$80,MATCH(B69,Counterparties!$A$6:$A$80,0))))</f>
        <v/>
      </c>
      <c r="Q69" s="2" t="str">
        <f t="array" ref="Q69">IF(B69="","",IF(N69&lt;&gt;1,"n.a.",INDEX(Counterparties!$G$6:$G$80,MATCH(B69,Counterparties!$A$6:$A$80,0))))</f>
        <v/>
      </c>
      <c r="R69" s="2">
        <f t="array" ref="R69">IF(A69="",0,IF(M69&lt;&gt;1,0,IF(AND(INDEX(Companies!$R$6:$R$55,MATCH(A69,Companies!$A$6:$A$55,0))=1,INDEX(Companies!$I$6:$I$55,MATCH(A69,Companies!$A$6:$A$55,0))&gt;=MAX(10,Rules!$B$22)),1,0)))</f>
        <v>0</v>
      </c>
      <c r="S69" s="2" t="str">
        <f t="array" ref="S69">IF(B69="","",IF(N69&lt;&gt;1,"Check counterparty ID",INDEX(Counterparties!$N$6:$N$80,MATCH(B69,Counterparties!$A$6:$A$80,0))))</f>
        <v/>
      </c>
      <c r="T69" s="2" t="str">
        <f t="shared" si="2"/>
        <v/>
      </c>
      <c r="U69" s="2">
        <f t="shared" si="3"/>
        <v>0</v>
      </c>
      <c r="V69" s="2">
        <f t="shared" si="4"/>
        <v>0</v>
      </c>
      <c r="W69" s="2">
        <f>IF(COUNTA(A69:L69)=0,0,IF(AND(OR(C69="Client",C69="Partner",C69="Client and partner"),D69&lt;&gt;"",E69="Active",H69&lt;&gt;"",ISNUMBER(I69),ISNUMBER(J69),I69&lt;=J69,J69&lt;=Rules!$B$6,Rules!$B$6-J69&lt;=Rules!$B$42,K69="Yes",OR(F69="",AND(ISNUMBER(F69),F69&lt;=Rules!$B$6)),OR(G69="",AND(ISNUMBER(G69),G69&gt;=Rules!$B$6)),OR(F69="",G69="",G69&gt;=F69)),1,0))</f>
        <v>0</v>
      </c>
    </row>
    <row r="70" ht="21.0" customHeight="1">
      <c r="A70" s="44"/>
      <c r="B70" s="44"/>
      <c r="C70" s="44"/>
      <c r="D70" s="44"/>
      <c r="E70" s="44"/>
      <c r="F70" s="48"/>
      <c r="G70" s="48"/>
      <c r="H70" s="44"/>
      <c r="I70" s="48"/>
      <c r="J70" s="48"/>
      <c r="K70" s="44"/>
      <c r="L70" s="44"/>
      <c r="M70" s="2" t="str">
        <f>IF(A70="","",COUNTIF(Companies!$A$6:$A$55,A70))</f>
        <v/>
      </c>
      <c r="N70" s="2" t="str">
        <f>IF(B70="","",COUNTIF(Counterparties!$A$6:$A$80,B70))</f>
        <v/>
      </c>
      <c r="O70" s="2" t="str">
        <f t="shared" si="1"/>
        <v/>
      </c>
      <c r="P70" s="2" t="str">
        <f t="array" ref="P70">IF(B70="","",IF(N70&lt;&gt;1,"n.a.",INDEX(Counterparties!$C$6:$C$80,MATCH(B70,Counterparties!$A$6:$A$80,0))))</f>
        <v/>
      </c>
      <c r="Q70" s="2" t="str">
        <f t="array" ref="Q70">IF(B70="","",IF(N70&lt;&gt;1,"n.a.",INDEX(Counterparties!$G$6:$G$80,MATCH(B70,Counterparties!$A$6:$A$80,0))))</f>
        <v/>
      </c>
      <c r="R70" s="2">
        <f t="array" ref="R70">IF(A70="",0,IF(M70&lt;&gt;1,0,IF(AND(INDEX(Companies!$R$6:$R$55,MATCH(A70,Companies!$A$6:$A$55,0))=1,INDEX(Companies!$I$6:$I$55,MATCH(A70,Companies!$A$6:$A$55,0))&gt;=MAX(10,Rules!$B$22)),1,0)))</f>
        <v>0</v>
      </c>
      <c r="S70" s="2" t="str">
        <f t="array" ref="S70">IF(B70="","",IF(N70&lt;&gt;1,"Check counterparty ID",INDEX(Counterparties!$N$6:$N$80,MATCH(B70,Counterparties!$A$6:$A$80,0))))</f>
        <v/>
      </c>
      <c r="T70" s="2" t="str">
        <f t="shared" si="2"/>
        <v/>
      </c>
      <c r="U70" s="2">
        <f t="shared" si="3"/>
        <v>0</v>
      </c>
      <c r="V70" s="2">
        <f t="shared" si="4"/>
        <v>0</v>
      </c>
      <c r="W70" s="2">
        <f>IF(COUNTA(A70:L70)=0,0,IF(AND(OR(C70="Client",C70="Partner",C70="Client and partner"),D70&lt;&gt;"",E70="Active",H70&lt;&gt;"",ISNUMBER(I70),ISNUMBER(J70),I70&lt;=J70,J70&lt;=Rules!$B$6,Rules!$B$6-J70&lt;=Rules!$B$42,K70="Yes",OR(F70="",AND(ISNUMBER(F70),F70&lt;=Rules!$B$6)),OR(G70="",AND(ISNUMBER(G70),G70&gt;=Rules!$B$6)),OR(F70="",G70="",G70&gt;=F70)),1,0))</f>
        <v>0</v>
      </c>
    </row>
    <row r="71" ht="21.0" customHeight="1">
      <c r="A71" s="44"/>
      <c r="B71" s="44"/>
      <c r="C71" s="44"/>
      <c r="D71" s="44"/>
      <c r="E71" s="44"/>
      <c r="F71" s="48"/>
      <c r="G71" s="48"/>
      <c r="H71" s="44"/>
      <c r="I71" s="48"/>
      <c r="J71" s="48"/>
      <c r="K71" s="44"/>
      <c r="L71" s="44"/>
      <c r="M71" s="2" t="str">
        <f>IF(A71="","",COUNTIF(Companies!$A$6:$A$55,A71))</f>
        <v/>
      </c>
      <c r="N71" s="2" t="str">
        <f>IF(B71="","",COUNTIF(Counterparties!$A$6:$A$80,B71))</f>
        <v/>
      </c>
      <c r="O71" s="2" t="str">
        <f t="shared" si="1"/>
        <v/>
      </c>
      <c r="P71" s="2" t="str">
        <f t="array" ref="P71">IF(B71="","",IF(N71&lt;&gt;1,"n.a.",INDEX(Counterparties!$C$6:$C$80,MATCH(B71,Counterparties!$A$6:$A$80,0))))</f>
        <v/>
      </c>
      <c r="Q71" s="2" t="str">
        <f t="array" ref="Q71">IF(B71="","",IF(N71&lt;&gt;1,"n.a.",INDEX(Counterparties!$G$6:$G$80,MATCH(B71,Counterparties!$A$6:$A$80,0))))</f>
        <v/>
      </c>
      <c r="R71" s="2">
        <f t="array" ref="R71">IF(A71="",0,IF(M71&lt;&gt;1,0,IF(AND(INDEX(Companies!$R$6:$R$55,MATCH(A71,Companies!$A$6:$A$55,0))=1,INDEX(Companies!$I$6:$I$55,MATCH(A71,Companies!$A$6:$A$55,0))&gt;=MAX(10,Rules!$B$22)),1,0)))</f>
        <v>0</v>
      </c>
      <c r="S71" s="2" t="str">
        <f t="array" ref="S71">IF(B71="","",IF(N71&lt;&gt;1,"Check counterparty ID",INDEX(Counterparties!$N$6:$N$80,MATCH(B71,Counterparties!$A$6:$A$80,0))))</f>
        <v/>
      </c>
      <c r="T71" s="2" t="str">
        <f t="shared" si="2"/>
        <v/>
      </c>
      <c r="U71" s="2">
        <f t="shared" si="3"/>
        <v>0</v>
      </c>
      <c r="V71" s="2">
        <f t="shared" si="4"/>
        <v>0</v>
      </c>
      <c r="W71" s="2">
        <f>IF(COUNTA(A71:L71)=0,0,IF(AND(OR(C71="Client",C71="Partner",C71="Client and partner"),D71&lt;&gt;"",E71="Active",H71&lt;&gt;"",ISNUMBER(I71),ISNUMBER(J71),I71&lt;=J71,J71&lt;=Rules!$B$6,Rules!$B$6-J71&lt;=Rules!$B$42,K71="Yes",OR(F71="",AND(ISNUMBER(F71),F71&lt;=Rules!$B$6)),OR(G71="",AND(ISNUMBER(G71),G71&gt;=Rules!$B$6)),OR(F71="",G71="",G71&gt;=F71)),1,0))</f>
        <v>0</v>
      </c>
    </row>
    <row r="72" ht="21.0" customHeight="1">
      <c r="A72" s="44"/>
      <c r="B72" s="44"/>
      <c r="C72" s="44"/>
      <c r="D72" s="44"/>
      <c r="E72" s="44"/>
      <c r="F72" s="48"/>
      <c r="G72" s="48"/>
      <c r="H72" s="44"/>
      <c r="I72" s="48"/>
      <c r="J72" s="48"/>
      <c r="K72" s="44"/>
      <c r="L72" s="44"/>
      <c r="M72" s="2" t="str">
        <f>IF(A72="","",COUNTIF(Companies!$A$6:$A$55,A72))</f>
        <v/>
      </c>
      <c r="N72" s="2" t="str">
        <f>IF(B72="","",COUNTIF(Counterparties!$A$6:$A$80,B72))</f>
        <v/>
      </c>
      <c r="O72" s="2" t="str">
        <f t="shared" si="1"/>
        <v/>
      </c>
      <c r="P72" s="2" t="str">
        <f t="array" ref="P72">IF(B72="","",IF(N72&lt;&gt;1,"n.a.",INDEX(Counterparties!$C$6:$C$80,MATCH(B72,Counterparties!$A$6:$A$80,0))))</f>
        <v/>
      </c>
      <c r="Q72" s="2" t="str">
        <f t="array" ref="Q72">IF(B72="","",IF(N72&lt;&gt;1,"n.a.",INDEX(Counterparties!$G$6:$G$80,MATCH(B72,Counterparties!$A$6:$A$80,0))))</f>
        <v/>
      </c>
      <c r="R72" s="2">
        <f t="array" ref="R72">IF(A72="",0,IF(M72&lt;&gt;1,0,IF(AND(INDEX(Companies!$R$6:$R$55,MATCH(A72,Companies!$A$6:$A$55,0))=1,INDEX(Companies!$I$6:$I$55,MATCH(A72,Companies!$A$6:$A$55,0))&gt;=MAX(10,Rules!$B$22)),1,0)))</f>
        <v>0</v>
      </c>
      <c r="S72" s="2" t="str">
        <f t="array" ref="S72">IF(B72="","",IF(N72&lt;&gt;1,"Check counterparty ID",INDEX(Counterparties!$N$6:$N$80,MATCH(B72,Counterparties!$A$6:$A$80,0))))</f>
        <v/>
      </c>
      <c r="T72" s="2" t="str">
        <f t="shared" si="2"/>
        <v/>
      </c>
      <c r="U72" s="2">
        <f t="shared" si="3"/>
        <v>0</v>
      </c>
      <c r="V72" s="2">
        <f t="shared" si="4"/>
        <v>0</v>
      </c>
      <c r="W72" s="2">
        <f>IF(COUNTA(A72:L72)=0,0,IF(AND(OR(C72="Client",C72="Partner",C72="Client and partner"),D72&lt;&gt;"",E72="Active",H72&lt;&gt;"",ISNUMBER(I72),ISNUMBER(J72),I72&lt;=J72,J72&lt;=Rules!$B$6,Rules!$B$6-J72&lt;=Rules!$B$42,K72="Yes",OR(F72="",AND(ISNUMBER(F72),F72&lt;=Rules!$B$6)),OR(G72="",AND(ISNUMBER(G72),G72&gt;=Rules!$B$6)),OR(F72="",G72="",G72&gt;=F72)),1,0))</f>
        <v>0</v>
      </c>
    </row>
    <row r="73" ht="21.0" customHeight="1">
      <c r="A73" s="44"/>
      <c r="B73" s="44"/>
      <c r="C73" s="44"/>
      <c r="D73" s="44"/>
      <c r="E73" s="44"/>
      <c r="F73" s="48"/>
      <c r="G73" s="48"/>
      <c r="H73" s="44"/>
      <c r="I73" s="48"/>
      <c r="J73" s="48"/>
      <c r="K73" s="44"/>
      <c r="L73" s="44"/>
      <c r="M73" s="2" t="str">
        <f>IF(A73="","",COUNTIF(Companies!$A$6:$A$55,A73))</f>
        <v/>
      </c>
      <c r="N73" s="2" t="str">
        <f>IF(B73="","",COUNTIF(Counterparties!$A$6:$A$80,B73))</f>
        <v/>
      </c>
      <c r="O73" s="2" t="str">
        <f t="shared" si="1"/>
        <v/>
      </c>
      <c r="P73" s="2" t="str">
        <f t="array" ref="P73">IF(B73="","",IF(N73&lt;&gt;1,"n.a.",INDEX(Counterparties!$C$6:$C$80,MATCH(B73,Counterparties!$A$6:$A$80,0))))</f>
        <v/>
      </c>
      <c r="Q73" s="2" t="str">
        <f t="array" ref="Q73">IF(B73="","",IF(N73&lt;&gt;1,"n.a.",INDEX(Counterparties!$G$6:$G$80,MATCH(B73,Counterparties!$A$6:$A$80,0))))</f>
        <v/>
      </c>
      <c r="R73" s="2">
        <f t="array" ref="R73">IF(A73="",0,IF(M73&lt;&gt;1,0,IF(AND(INDEX(Companies!$R$6:$R$55,MATCH(A73,Companies!$A$6:$A$55,0))=1,INDEX(Companies!$I$6:$I$55,MATCH(A73,Companies!$A$6:$A$55,0))&gt;=MAX(10,Rules!$B$22)),1,0)))</f>
        <v>0</v>
      </c>
      <c r="S73" s="2" t="str">
        <f t="array" ref="S73">IF(B73="","",IF(N73&lt;&gt;1,"Check counterparty ID",INDEX(Counterparties!$N$6:$N$80,MATCH(B73,Counterparties!$A$6:$A$80,0))))</f>
        <v/>
      </c>
      <c r="T73" s="2" t="str">
        <f t="shared" si="2"/>
        <v/>
      </c>
      <c r="U73" s="2">
        <f t="shared" si="3"/>
        <v>0</v>
      </c>
      <c r="V73" s="2">
        <f t="shared" si="4"/>
        <v>0</v>
      </c>
      <c r="W73" s="2">
        <f>IF(COUNTA(A73:L73)=0,0,IF(AND(OR(C73="Client",C73="Partner",C73="Client and partner"),D73&lt;&gt;"",E73="Active",H73&lt;&gt;"",ISNUMBER(I73),ISNUMBER(J73),I73&lt;=J73,J73&lt;=Rules!$B$6,Rules!$B$6-J73&lt;=Rules!$B$42,K73="Yes",OR(F73="",AND(ISNUMBER(F73),F73&lt;=Rules!$B$6)),OR(G73="",AND(ISNUMBER(G73),G73&gt;=Rules!$B$6)),OR(F73="",G73="",G73&gt;=F73)),1,0))</f>
        <v>0</v>
      </c>
    </row>
    <row r="74" ht="21.0" customHeight="1">
      <c r="A74" s="44"/>
      <c r="B74" s="44"/>
      <c r="C74" s="44"/>
      <c r="D74" s="44"/>
      <c r="E74" s="44"/>
      <c r="F74" s="48"/>
      <c r="G74" s="48"/>
      <c r="H74" s="44"/>
      <c r="I74" s="48"/>
      <c r="J74" s="48"/>
      <c r="K74" s="44"/>
      <c r="L74" s="44"/>
      <c r="M74" s="2" t="str">
        <f>IF(A74="","",COUNTIF(Companies!$A$6:$A$55,A74))</f>
        <v/>
      </c>
      <c r="N74" s="2" t="str">
        <f>IF(B74="","",COUNTIF(Counterparties!$A$6:$A$80,B74))</f>
        <v/>
      </c>
      <c r="O74" s="2" t="str">
        <f t="shared" si="1"/>
        <v/>
      </c>
      <c r="P74" s="2" t="str">
        <f t="array" ref="P74">IF(B74="","",IF(N74&lt;&gt;1,"n.a.",INDEX(Counterparties!$C$6:$C$80,MATCH(B74,Counterparties!$A$6:$A$80,0))))</f>
        <v/>
      </c>
      <c r="Q74" s="2" t="str">
        <f t="array" ref="Q74">IF(B74="","",IF(N74&lt;&gt;1,"n.a.",INDEX(Counterparties!$G$6:$G$80,MATCH(B74,Counterparties!$A$6:$A$80,0))))</f>
        <v/>
      </c>
      <c r="R74" s="2">
        <f t="array" ref="R74">IF(A74="",0,IF(M74&lt;&gt;1,0,IF(AND(INDEX(Companies!$R$6:$R$55,MATCH(A74,Companies!$A$6:$A$55,0))=1,INDEX(Companies!$I$6:$I$55,MATCH(A74,Companies!$A$6:$A$55,0))&gt;=MAX(10,Rules!$B$22)),1,0)))</f>
        <v>0</v>
      </c>
      <c r="S74" s="2" t="str">
        <f t="array" ref="S74">IF(B74="","",IF(N74&lt;&gt;1,"Check counterparty ID",INDEX(Counterparties!$N$6:$N$80,MATCH(B74,Counterparties!$A$6:$A$80,0))))</f>
        <v/>
      </c>
      <c r="T74" s="2" t="str">
        <f t="shared" si="2"/>
        <v/>
      </c>
      <c r="U74" s="2">
        <f t="shared" si="3"/>
        <v>0</v>
      </c>
      <c r="V74" s="2">
        <f t="shared" si="4"/>
        <v>0</v>
      </c>
      <c r="W74" s="2">
        <f>IF(COUNTA(A74:L74)=0,0,IF(AND(OR(C74="Client",C74="Partner",C74="Client and partner"),D74&lt;&gt;"",E74="Active",H74&lt;&gt;"",ISNUMBER(I74),ISNUMBER(J74),I74&lt;=J74,J74&lt;=Rules!$B$6,Rules!$B$6-J74&lt;=Rules!$B$42,K74="Yes",OR(F74="",AND(ISNUMBER(F74),F74&lt;=Rules!$B$6)),OR(G74="",AND(ISNUMBER(G74),G74&gt;=Rules!$B$6)),OR(F74="",G74="",G74&gt;=F74)),1,0))</f>
        <v>0</v>
      </c>
    </row>
    <row r="75" ht="21.0" customHeight="1">
      <c r="A75" s="44"/>
      <c r="B75" s="44"/>
      <c r="C75" s="44"/>
      <c r="D75" s="44"/>
      <c r="E75" s="44"/>
      <c r="F75" s="48"/>
      <c r="G75" s="48"/>
      <c r="H75" s="44"/>
      <c r="I75" s="48"/>
      <c r="J75" s="48"/>
      <c r="K75" s="44"/>
      <c r="L75" s="44"/>
      <c r="M75" s="2" t="str">
        <f>IF(A75="","",COUNTIF(Companies!$A$6:$A$55,A75))</f>
        <v/>
      </c>
      <c r="N75" s="2" t="str">
        <f>IF(B75="","",COUNTIF(Counterparties!$A$6:$A$80,B75))</f>
        <v/>
      </c>
      <c r="O75" s="2" t="str">
        <f t="shared" si="1"/>
        <v/>
      </c>
      <c r="P75" s="2" t="str">
        <f t="array" ref="P75">IF(B75="","",IF(N75&lt;&gt;1,"n.a.",INDEX(Counterparties!$C$6:$C$80,MATCH(B75,Counterparties!$A$6:$A$80,0))))</f>
        <v/>
      </c>
      <c r="Q75" s="2" t="str">
        <f t="array" ref="Q75">IF(B75="","",IF(N75&lt;&gt;1,"n.a.",INDEX(Counterparties!$G$6:$G$80,MATCH(B75,Counterparties!$A$6:$A$80,0))))</f>
        <v/>
      </c>
      <c r="R75" s="2">
        <f t="array" ref="R75">IF(A75="",0,IF(M75&lt;&gt;1,0,IF(AND(INDEX(Companies!$R$6:$R$55,MATCH(A75,Companies!$A$6:$A$55,0))=1,INDEX(Companies!$I$6:$I$55,MATCH(A75,Companies!$A$6:$A$55,0))&gt;=MAX(10,Rules!$B$22)),1,0)))</f>
        <v>0</v>
      </c>
      <c r="S75" s="2" t="str">
        <f t="array" ref="S75">IF(B75="","",IF(N75&lt;&gt;1,"Check counterparty ID",INDEX(Counterparties!$N$6:$N$80,MATCH(B75,Counterparties!$A$6:$A$80,0))))</f>
        <v/>
      </c>
      <c r="T75" s="2" t="str">
        <f t="shared" si="2"/>
        <v/>
      </c>
      <c r="U75" s="2">
        <f t="shared" si="3"/>
        <v>0</v>
      </c>
      <c r="V75" s="2">
        <f t="shared" si="4"/>
        <v>0</v>
      </c>
      <c r="W75" s="2">
        <f>IF(COUNTA(A75:L75)=0,0,IF(AND(OR(C75="Client",C75="Partner",C75="Client and partner"),D75&lt;&gt;"",E75="Active",H75&lt;&gt;"",ISNUMBER(I75),ISNUMBER(J75),I75&lt;=J75,J75&lt;=Rules!$B$6,Rules!$B$6-J75&lt;=Rules!$B$42,K75="Yes",OR(F75="",AND(ISNUMBER(F75),F75&lt;=Rules!$B$6)),OR(G75="",AND(ISNUMBER(G75),G75&gt;=Rules!$B$6)),OR(F75="",G75="",G75&gt;=F75)),1,0))</f>
        <v>0</v>
      </c>
    </row>
    <row r="76" ht="21.0" customHeight="1">
      <c r="A76" s="44"/>
      <c r="B76" s="44"/>
      <c r="C76" s="44"/>
      <c r="D76" s="44"/>
      <c r="E76" s="44"/>
      <c r="F76" s="48"/>
      <c r="G76" s="48"/>
      <c r="H76" s="44"/>
      <c r="I76" s="48"/>
      <c r="J76" s="48"/>
      <c r="K76" s="44"/>
      <c r="L76" s="44"/>
      <c r="M76" s="2" t="str">
        <f>IF(A76="","",COUNTIF(Companies!$A$6:$A$55,A76))</f>
        <v/>
      </c>
      <c r="N76" s="2" t="str">
        <f>IF(B76="","",COUNTIF(Counterparties!$A$6:$A$80,B76))</f>
        <v/>
      </c>
      <c r="O76" s="2" t="str">
        <f t="shared" si="1"/>
        <v/>
      </c>
      <c r="P76" s="2" t="str">
        <f t="array" ref="P76">IF(B76="","",IF(N76&lt;&gt;1,"n.a.",INDEX(Counterparties!$C$6:$C$80,MATCH(B76,Counterparties!$A$6:$A$80,0))))</f>
        <v/>
      </c>
      <c r="Q76" s="2" t="str">
        <f t="array" ref="Q76">IF(B76="","",IF(N76&lt;&gt;1,"n.a.",INDEX(Counterparties!$G$6:$G$80,MATCH(B76,Counterparties!$A$6:$A$80,0))))</f>
        <v/>
      </c>
      <c r="R76" s="2">
        <f t="array" ref="R76">IF(A76="",0,IF(M76&lt;&gt;1,0,IF(AND(INDEX(Companies!$R$6:$R$55,MATCH(A76,Companies!$A$6:$A$55,0))=1,INDEX(Companies!$I$6:$I$55,MATCH(A76,Companies!$A$6:$A$55,0))&gt;=MAX(10,Rules!$B$22)),1,0)))</f>
        <v>0</v>
      </c>
      <c r="S76" s="2" t="str">
        <f t="array" ref="S76">IF(B76="","",IF(N76&lt;&gt;1,"Check counterparty ID",INDEX(Counterparties!$N$6:$N$80,MATCH(B76,Counterparties!$A$6:$A$80,0))))</f>
        <v/>
      </c>
      <c r="T76" s="2" t="str">
        <f t="shared" si="2"/>
        <v/>
      </c>
      <c r="U76" s="2">
        <f t="shared" si="3"/>
        <v>0</v>
      </c>
      <c r="V76" s="2">
        <f t="shared" si="4"/>
        <v>0</v>
      </c>
      <c r="W76" s="2">
        <f>IF(COUNTA(A76:L76)=0,0,IF(AND(OR(C76="Client",C76="Partner",C76="Client and partner"),D76&lt;&gt;"",E76="Active",H76&lt;&gt;"",ISNUMBER(I76),ISNUMBER(J76),I76&lt;=J76,J76&lt;=Rules!$B$6,Rules!$B$6-J76&lt;=Rules!$B$42,K76="Yes",OR(F76="",AND(ISNUMBER(F76),F76&lt;=Rules!$B$6)),OR(G76="",AND(ISNUMBER(G76),G76&gt;=Rules!$B$6)),OR(F76="",G76="",G76&gt;=F76)),1,0))</f>
        <v>0</v>
      </c>
    </row>
    <row r="77" ht="21.0" customHeight="1">
      <c r="A77" s="44"/>
      <c r="B77" s="44"/>
      <c r="C77" s="44"/>
      <c r="D77" s="44"/>
      <c r="E77" s="44"/>
      <c r="F77" s="48"/>
      <c r="G77" s="48"/>
      <c r="H77" s="44"/>
      <c r="I77" s="48"/>
      <c r="J77" s="48"/>
      <c r="K77" s="44"/>
      <c r="L77" s="44"/>
      <c r="M77" s="2" t="str">
        <f>IF(A77="","",COUNTIF(Companies!$A$6:$A$55,A77))</f>
        <v/>
      </c>
      <c r="N77" s="2" t="str">
        <f>IF(B77="","",COUNTIF(Counterparties!$A$6:$A$80,B77))</f>
        <v/>
      </c>
      <c r="O77" s="2" t="str">
        <f t="shared" si="1"/>
        <v/>
      </c>
      <c r="P77" s="2" t="str">
        <f t="array" ref="P77">IF(B77="","",IF(N77&lt;&gt;1,"n.a.",INDEX(Counterparties!$C$6:$C$80,MATCH(B77,Counterparties!$A$6:$A$80,0))))</f>
        <v/>
      </c>
      <c r="Q77" s="2" t="str">
        <f t="array" ref="Q77">IF(B77="","",IF(N77&lt;&gt;1,"n.a.",INDEX(Counterparties!$G$6:$G$80,MATCH(B77,Counterparties!$A$6:$A$80,0))))</f>
        <v/>
      </c>
      <c r="R77" s="2">
        <f t="array" ref="R77">IF(A77="",0,IF(M77&lt;&gt;1,0,IF(AND(INDEX(Companies!$R$6:$R$55,MATCH(A77,Companies!$A$6:$A$55,0))=1,INDEX(Companies!$I$6:$I$55,MATCH(A77,Companies!$A$6:$A$55,0))&gt;=MAX(10,Rules!$B$22)),1,0)))</f>
        <v>0</v>
      </c>
      <c r="S77" s="2" t="str">
        <f t="array" ref="S77">IF(B77="","",IF(N77&lt;&gt;1,"Check counterparty ID",INDEX(Counterparties!$N$6:$N$80,MATCH(B77,Counterparties!$A$6:$A$80,0))))</f>
        <v/>
      </c>
      <c r="T77" s="2" t="str">
        <f t="shared" si="2"/>
        <v/>
      </c>
      <c r="U77" s="2">
        <f t="shared" si="3"/>
        <v>0</v>
      </c>
      <c r="V77" s="2">
        <f t="shared" si="4"/>
        <v>0</v>
      </c>
      <c r="W77" s="2">
        <f>IF(COUNTA(A77:L77)=0,0,IF(AND(OR(C77="Client",C77="Partner",C77="Client and partner"),D77&lt;&gt;"",E77="Active",H77&lt;&gt;"",ISNUMBER(I77),ISNUMBER(J77),I77&lt;=J77,J77&lt;=Rules!$B$6,Rules!$B$6-J77&lt;=Rules!$B$42,K77="Yes",OR(F77="",AND(ISNUMBER(F77),F77&lt;=Rules!$B$6)),OR(G77="",AND(ISNUMBER(G77),G77&gt;=Rules!$B$6)),OR(F77="",G77="",G77&gt;=F77)),1,0))</f>
        <v>0</v>
      </c>
    </row>
    <row r="78" ht="21.0" customHeight="1">
      <c r="A78" s="44"/>
      <c r="B78" s="44"/>
      <c r="C78" s="44"/>
      <c r="D78" s="44"/>
      <c r="E78" s="44"/>
      <c r="F78" s="48"/>
      <c r="G78" s="48"/>
      <c r="H78" s="44"/>
      <c r="I78" s="48"/>
      <c r="J78" s="48"/>
      <c r="K78" s="44"/>
      <c r="L78" s="44"/>
      <c r="M78" s="2" t="str">
        <f>IF(A78="","",COUNTIF(Companies!$A$6:$A$55,A78))</f>
        <v/>
      </c>
      <c r="N78" s="2" t="str">
        <f>IF(B78="","",COUNTIF(Counterparties!$A$6:$A$80,B78))</f>
        <v/>
      </c>
      <c r="O78" s="2" t="str">
        <f t="shared" si="1"/>
        <v/>
      </c>
      <c r="P78" s="2" t="str">
        <f t="array" ref="P78">IF(B78="","",IF(N78&lt;&gt;1,"n.a.",INDEX(Counterparties!$C$6:$C$80,MATCH(B78,Counterparties!$A$6:$A$80,0))))</f>
        <v/>
      </c>
      <c r="Q78" s="2" t="str">
        <f t="array" ref="Q78">IF(B78="","",IF(N78&lt;&gt;1,"n.a.",INDEX(Counterparties!$G$6:$G$80,MATCH(B78,Counterparties!$A$6:$A$80,0))))</f>
        <v/>
      </c>
      <c r="R78" s="2">
        <f t="array" ref="R78">IF(A78="",0,IF(M78&lt;&gt;1,0,IF(AND(INDEX(Companies!$R$6:$R$55,MATCH(A78,Companies!$A$6:$A$55,0))=1,INDEX(Companies!$I$6:$I$55,MATCH(A78,Companies!$A$6:$A$55,0))&gt;=MAX(10,Rules!$B$22)),1,0)))</f>
        <v>0</v>
      </c>
      <c r="S78" s="2" t="str">
        <f t="array" ref="S78">IF(B78="","",IF(N78&lt;&gt;1,"Check counterparty ID",INDEX(Counterparties!$N$6:$N$80,MATCH(B78,Counterparties!$A$6:$A$80,0))))</f>
        <v/>
      </c>
      <c r="T78" s="2" t="str">
        <f t="shared" si="2"/>
        <v/>
      </c>
      <c r="U78" s="2">
        <f t="shared" si="3"/>
        <v>0</v>
      </c>
      <c r="V78" s="2">
        <f t="shared" si="4"/>
        <v>0</v>
      </c>
      <c r="W78" s="2">
        <f>IF(COUNTA(A78:L78)=0,0,IF(AND(OR(C78="Client",C78="Partner",C78="Client and partner"),D78&lt;&gt;"",E78="Active",H78&lt;&gt;"",ISNUMBER(I78),ISNUMBER(J78),I78&lt;=J78,J78&lt;=Rules!$B$6,Rules!$B$6-J78&lt;=Rules!$B$42,K78="Yes",OR(F78="",AND(ISNUMBER(F78),F78&lt;=Rules!$B$6)),OR(G78="",AND(ISNUMBER(G78),G78&gt;=Rules!$B$6)),OR(F78="",G78="",G78&gt;=F78)),1,0))</f>
        <v>0</v>
      </c>
    </row>
    <row r="79" ht="21.0" customHeight="1">
      <c r="A79" s="44"/>
      <c r="B79" s="44"/>
      <c r="C79" s="44"/>
      <c r="D79" s="44"/>
      <c r="E79" s="44"/>
      <c r="F79" s="48"/>
      <c r="G79" s="48"/>
      <c r="H79" s="44"/>
      <c r="I79" s="48"/>
      <c r="J79" s="48"/>
      <c r="K79" s="44"/>
      <c r="L79" s="44"/>
      <c r="M79" s="2" t="str">
        <f>IF(A79="","",COUNTIF(Companies!$A$6:$A$55,A79))</f>
        <v/>
      </c>
      <c r="N79" s="2" t="str">
        <f>IF(B79="","",COUNTIF(Counterparties!$A$6:$A$80,B79))</f>
        <v/>
      </c>
      <c r="O79" s="2" t="str">
        <f t="shared" si="1"/>
        <v/>
      </c>
      <c r="P79" s="2" t="str">
        <f t="array" ref="P79">IF(B79="","",IF(N79&lt;&gt;1,"n.a.",INDEX(Counterparties!$C$6:$C$80,MATCH(B79,Counterparties!$A$6:$A$80,0))))</f>
        <v/>
      </c>
      <c r="Q79" s="2" t="str">
        <f t="array" ref="Q79">IF(B79="","",IF(N79&lt;&gt;1,"n.a.",INDEX(Counterparties!$G$6:$G$80,MATCH(B79,Counterparties!$A$6:$A$80,0))))</f>
        <v/>
      </c>
      <c r="R79" s="2">
        <f t="array" ref="R79">IF(A79="",0,IF(M79&lt;&gt;1,0,IF(AND(INDEX(Companies!$R$6:$R$55,MATCH(A79,Companies!$A$6:$A$55,0))=1,INDEX(Companies!$I$6:$I$55,MATCH(A79,Companies!$A$6:$A$55,0))&gt;=MAX(10,Rules!$B$22)),1,0)))</f>
        <v>0</v>
      </c>
      <c r="S79" s="2" t="str">
        <f t="array" ref="S79">IF(B79="","",IF(N79&lt;&gt;1,"Check counterparty ID",INDEX(Counterparties!$N$6:$N$80,MATCH(B79,Counterparties!$A$6:$A$80,0))))</f>
        <v/>
      </c>
      <c r="T79" s="2" t="str">
        <f t="shared" si="2"/>
        <v/>
      </c>
      <c r="U79" s="2">
        <f t="shared" si="3"/>
        <v>0</v>
      </c>
      <c r="V79" s="2">
        <f t="shared" si="4"/>
        <v>0</v>
      </c>
      <c r="W79" s="2">
        <f>IF(COUNTA(A79:L79)=0,0,IF(AND(OR(C79="Client",C79="Partner",C79="Client and partner"),D79&lt;&gt;"",E79="Active",H79&lt;&gt;"",ISNUMBER(I79),ISNUMBER(J79),I79&lt;=J79,J79&lt;=Rules!$B$6,Rules!$B$6-J79&lt;=Rules!$B$42,K79="Yes",OR(F79="",AND(ISNUMBER(F79),F79&lt;=Rules!$B$6)),OR(G79="",AND(ISNUMBER(G79),G79&gt;=Rules!$B$6)),OR(F79="",G79="",G79&gt;=F79)),1,0))</f>
        <v>0</v>
      </c>
    </row>
    <row r="80" ht="21.0" customHeight="1">
      <c r="A80" s="44"/>
      <c r="B80" s="44"/>
      <c r="C80" s="44"/>
      <c r="D80" s="44"/>
      <c r="E80" s="44"/>
      <c r="F80" s="48"/>
      <c r="G80" s="48"/>
      <c r="H80" s="44"/>
      <c r="I80" s="48"/>
      <c r="J80" s="48"/>
      <c r="K80" s="44"/>
      <c r="L80" s="44"/>
      <c r="M80" s="2" t="str">
        <f>IF(A80="","",COUNTIF(Companies!$A$6:$A$55,A80))</f>
        <v/>
      </c>
      <c r="N80" s="2" t="str">
        <f>IF(B80="","",COUNTIF(Counterparties!$A$6:$A$80,B80))</f>
        <v/>
      </c>
      <c r="O80" s="2" t="str">
        <f t="shared" si="1"/>
        <v/>
      </c>
      <c r="P80" s="2" t="str">
        <f t="array" ref="P80">IF(B80="","",IF(N80&lt;&gt;1,"n.a.",INDEX(Counterparties!$C$6:$C$80,MATCH(B80,Counterparties!$A$6:$A$80,0))))</f>
        <v/>
      </c>
      <c r="Q80" s="2" t="str">
        <f t="array" ref="Q80">IF(B80="","",IF(N80&lt;&gt;1,"n.a.",INDEX(Counterparties!$G$6:$G$80,MATCH(B80,Counterparties!$A$6:$A$80,0))))</f>
        <v/>
      </c>
      <c r="R80" s="2">
        <f t="array" ref="R80">IF(A80="",0,IF(M80&lt;&gt;1,0,IF(AND(INDEX(Companies!$R$6:$R$55,MATCH(A80,Companies!$A$6:$A$55,0))=1,INDEX(Companies!$I$6:$I$55,MATCH(A80,Companies!$A$6:$A$55,0))&gt;=MAX(10,Rules!$B$22)),1,0)))</f>
        <v>0</v>
      </c>
      <c r="S80" s="2" t="str">
        <f t="array" ref="S80">IF(B80="","",IF(N80&lt;&gt;1,"Check counterparty ID",INDEX(Counterparties!$N$6:$N$80,MATCH(B80,Counterparties!$A$6:$A$80,0))))</f>
        <v/>
      </c>
      <c r="T80" s="2" t="str">
        <f t="shared" si="2"/>
        <v/>
      </c>
      <c r="U80" s="2">
        <f t="shared" si="3"/>
        <v>0</v>
      </c>
      <c r="V80" s="2">
        <f t="shared" si="4"/>
        <v>0</v>
      </c>
      <c r="W80" s="2">
        <f>IF(COUNTA(A80:L80)=0,0,IF(AND(OR(C80="Client",C80="Partner",C80="Client and partner"),D80&lt;&gt;"",E80="Active",H80&lt;&gt;"",ISNUMBER(I80),ISNUMBER(J80),I80&lt;=J80,J80&lt;=Rules!$B$6,Rules!$B$6-J80&lt;=Rules!$B$42,K80="Yes",OR(F80="",AND(ISNUMBER(F80),F80&lt;=Rules!$B$6)),OR(G80="",AND(ISNUMBER(G80),G80&gt;=Rules!$B$6)),OR(F80="",G80="",G80&gt;=F80)),1,0))</f>
        <v>0</v>
      </c>
    </row>
    <row r="81" ht="21.0" customHeight="1">
      <c r="A81" s="44"/>
      <c r="B81" s="44"/>
      <c r="C81" s="44"/>
      <c r="D81" s="44"/>
      <c r="E81" s="44"/>
      <c r="F81" s="48"/>
      <c r="G81" s="48"/>
      <c r="H81" s="44"/>
      <c r="I81" s="48"/>
      <c r="J81" s="48"/>
      <c r="K81" s="44"/>
      <c r="L81" s="44"/>
      <c r="M81" s="2" t="str">
        <f>IF(A81="","",COUNTIF(Companies!$A$6:$A$55,A81))</f>
        <v/>
      </c>
      <c r="N81" s="2" t="str">
        <f>IF(B81="","",COUNTIF(Counterparties!$A$6:$A$80,B81))</f>
        <v/>
      </c>
      <c r="O81" s="2" t="str">
        <f t="shared" si="1"/>
        <v/>
      </c>
      <c r="P81" s="2" t="str">
        <f t="array" ref="P81">IF(B81="","",IF(N81&lt;&gt;1,"n.a.",INDEX(Counterparties!$C$6:$C$80,MATCH(B81,Counterparties!$A$6:$A$80,0))))</f>
        <v/>
      </c>
      <c r="Q81" s="2" t="str">
        <f t="array" ref="Q81">IF(B81="","",IF(N81&lt;&gt;1,"n.a.",INDEX(Counterparties!$G$6:$G$80,MATCH(B81,Counterparties!$A$6:$A$80,0))))</f>
        <v/>
      </c>
      <c r="R81" s="2">
        <f t="array" ref="R81">IF(A81="",0,IF(M81&lt;&gt;1,0,IF(AND(INDEX(Companies!$R$6:$R$55,MATCH(A81,Companies!$A$6:$A$55,0))=1,INDEX(Companies!$I$6:$I$55,MATCH(A81,Companies!$A$6:$A$55,0))&gt;=MAX(10,Rules!$B$22)),1,0)))</f>
        <v>0</v>
      </c>
      <c r="S81" s="2" t="str">
        <f t="array" ref="S81">IF(B81="","",IF(N81&lt;&gt;1,"Check counterparty ID",INDEX(Counterparties!$N$6:$N$80,MATCH(B81,Counterparties!$A$6:$A$80,0))))</f>
        <v/>
      </c>
      <c r="T81" s="2" t="str">
        <f t="shared" si="2"/>
        <v/>
      </c>
      <c r="U81" s="2">
        <f t="shared" si="3"/>
        <v>0</v>
      </c>
      <c r="V81" s="2">
        <f t="shared" si="4"/>
        <v>0</v>
      </c>
      <c r="W81" s="2">
        <f>IF(COUNTA(A81:L81)=0,0,IF(AND(OR(C81="Client",C81="Partner",C81="Client and partner"),D81&lt;&gt;"",E81="Active",H81&lt;&gt;"",ISNUMBER(I81),ISNUMBER(J81),I81&lt;=J81,J81&lt;=Rules!$B$6,Rules!$B$6-J81&lt;=Rules!$B$42,K81="Yes",OR(F81="",AND(ISNUMBER(F81),F81&lt;=Rules!$B$6)),OR(G81="",AND(ISNUMBER(G81),G81&gt;=Rules!$B$6)),OR(F81="",G81="",G81&gt;=F81)),1,0))</f>
        <v>0</v>
      </c>
    </row>
    <row r="82" ht="21.0" customHeight="1">
      <c r="A82" s="44"/>
      <c r="B82" s="44"/>
      <c r="C82" s="44"/>
      <c r="D82" s="44"/>
      <c r="E82" s="44"/>
      <c r="F82" s="48"/>
      <c r="G82" s="48"/>
      <c r="H82" s="44"/>
      <c r="I82" s="48"/>
      <c r="J82" s="48"/>
      <c r="K82" s="44"/>
      <c r="L82" s="44"/>
      <c r="M82" s="2" t="str">
        <f>IF(A82="","",COUNTIF(Companies!$A$6:$A$55,A82))</f>
        <v/>
      </c>
      <c r="N82" s="2" t="str">
        <f>IF(B82="","",COUNTIF(Counterparties!$A$6:$A$80,B82))</f>
        <v/>
      </c>
      <c r="O82" s="2" t="str">
        <f t="shared" si="1"/>
        <v/>
      </c>
      <c r="P82" s="2" t="str">
        <f t="array" ref="P82">IF(B82="","",IF(N82&lt;&gt;1,"n.a.",INDEX(Counterparties!$C$6:$C$80,MATCH(B82,Counterparties!$A$6:$A$80,0))))</f>
        <v/>
      </c>
      <c r="Q82" s="2" t="str">
        <f t="array" ref="Q82">IF(B82="","",IF(N82&lt;&gt;1,"n.a.",INDEX(Counterparties!$G$6:$G$80,MATCH(B82,Counterparties!$A$6:$A$80,0))))</f>
        <v/>
      </c>
      <c r="R82" s="2">
        <f t="array" ref="R82">IF(A82="",0,IF(M82&lt;&gt;1,0,IF(AND(INDEX(Companies!$R$6:$R$55,MATCH(A82,Companies!$A$6:$A$55,0))=1,INDEX(Companies!$I$6:$I$55,MATCH(A82,Companies!$A$6:$A$55,0))&gt;=MAX(10,Rules!$B$22)),1,0)))</f>
        <v>0</v>
      </c>
      <c r="S82" s="2" t="str">
        <f t="array" ref="S82">IF(B82="","",IF(N82&lt;&gt;1,"Check counterparty ID",INDEX(Counterparties!$N$6:$N$80,MATCH(B82,Counterparties!$A$6:$A$80,0))))</f>
        <v/>
      </c>
      <c r="T82" s="2" t="str">
        <f t="shared" si="2"/>
        <v/>
      </c>
      <c r="U82" s="2">
        <f t="shared" si="3"/>
        <v>0</v>
      </c>
      <c r="V82" s="2">
        <f t="shared" si="4"/>
        <v>0</v>
      </c>
      <c r="W82" s="2">
        <f>IF(COUNTA(A82:L82)=0,0,IF(AND(OR(C82="Client",C82="Partner",C82="Client and partner"),D82&lt;&gt;"",E82="Active",H82&lt;&gt;"",ISNUMBER(I82),ISNUMBER(J82),I82&lt;=J82,J82&lt;=Rules!$B$6,Rules!$B$6-J82&lt;=Rules!$B$42,K82="Yes",OR(F82="",AND(ISNUMBER(F82),F82&lt;=Rules!$B$6)),OR(G82="",AND(ISNUMBER(G82),G82&gt;=Rules!$B$6)),OR(F82="",G82="",G82&gt;=F82)),1,0))</f>
        <v>0</v>
      </c>
    </row>
    <row r="83" ht="21.0" customHeight="1">
      <c r="A83" s="44"/>
      <c r="B83" s="44"/>
      <c r="C83" s="44"/>
      <c r="D83" s="44"/>
      <c r="E83" s="44"/>
      <c r="F83" s="48"/>
      <c r="G83" s="48"/>
      <c r="H83" s="44"/>
      <c r="I83" s="48"/>
      <c r="J83" s="48"/>
      <c r="K83" s="44"/>
      <c r="L83" s="44"/>
      <c r="M83" s="2" t="str">
        <f>IF(A83="","",COUNTIF(Companies!$A$6:$A$55,A83))</f>
        <v/>
      </c>
      <c r="N83" s="2" t="str">
        <f>IF(B83="","",COUNTIF(Counterparties!$A$6:$A$80,B83))</f>
        <v/>
      </c>
      <c r="O83" s="2" t="str">
        <f t="shared" si="1"/>
        <v/>
      </c>
      <c r="P83" s="2" t="str">
        <f t="array" ref="P83">IF(B83="","",IF(N83&lt;&gt;1,"n.a.",INDEX(Counterparties!$C$6:$C$80,MATCH(B83,Counterparties!$A$6:$A$80,0))))</f>
        <v/>
      </c>
      <c r="Q83" s="2" t="str">
        <f t="array" ref="Q83">IF(B83="","",IF(N83&lt;&gt;1,"n.a.",INDEX(Counterparties!$G$6:$G$80,MATCH(B83,Counterparties!$A$6:$A$80,0))))</f>
        <v/>
      </c>
      <c r="R83" s="2">
        <f t="array" ref="R83">IF(A83="",0,IF(M83&lt;&gt;1,0,IF(AND(INDEX(Companies!$R$6:$R$55,MATCH(A83,Companies!$A$6:$A$55,0))=1,INDEX(Companies!$I$6:$I$55,MATCH(A83,Companies!$A$6:$A$55,0))&gt;=MAX(10,Rules!$B$22)),1,0)))</f>
        <v>0</v>
      </c>
      <c r="S83" s="2" t="str">
        <f t="array" ref="S83">IF(B83="","",IF(N83&lt;&gt;1,"Check counterparty ID",INDEX(Counterparties!$N$6:$N$80,MATCH(B83,Counterparties!$A$6:$A$80,0))))</f>
        <v/>
      </c>
      <c r="T83" s="2" t="str">
        <f t="shared" si="2"/>
        <v/>
      </c>
      <c r="U83" s="2">
        <f t="shared" si="3"/>
        <v>0</v>
      </c>
      <c r="V83" s="2">
        <f t="shared" si="4"/>
        <v>0</v>
      </c>
      <c r="W83" s="2">
        <f>IF(COUNTA(A83:L83)=0,0,IF(AND(OR(C83="Client",C83="Partner",C83="Client and partner"),D83&lt;&gt;"",E83="Active",H83&lt;&gt;"",ISNUMBER(I83),ISNUMBER(J83),I83&lt;=J83,J83&lt;=Rules!$B$6,Rules!$B$6-J83&lt;=Rules!$B$42,K83="Yes",OR(F83="",AND(ISNUMBER(F83),F83&lt;=Rules!$B$6)),OR(G83="",AND(ISNUMBER(G83),G83&gt;=Rules!$B$6)),OR(F83="",G83="",G83&gt;=F83)),1,0))</f>
        <v>0</v>
      </c>
    </row>
    <row r="84" ht="21.0" customHeight="1">
      <c r="A84" s="44"/>
      <c r="B84" s="44"/>
      <c r="C84" s="44"/>
      <c r="D84" s="44"/>
      <c r="E84" s="44"/>
      <c r="F84" s="48"/>
      <c r="G84" s="48"/>
      <c r="H84" s="44"/>
      <c r="I84" s="48"/>
      <c r="J84" s="48"/>
      <c r="K84" s="44"/>
      <c r="L84" s="44"/>
      <c r="M84" s="2" t="str">
        <f>IF(A84="","",COUNTIF(Companies!$A$6:$A$55,A84))</f>
        <v/>
      </c>
      <c r="N84" s="2" t="str">
        <f>IF(B84="","",COUNTIF(Counterparties!$A$6:$A$80,B84))</f>
        <v/>
      </c>
      <c r="O84" s="2" t="str">
        <f t="shared" si="1"/>
        <v/>
      </c>
      <c r="P84" s="2" t="str">
        <f t="array" ref="P84">IF(B84="","",IF(N84&lt;&gt;1,"n.a.",INDEX(Counterparties!$C$6:$C$80,MATCH(B84,Counterparties!$A$6:$A$80,0))))</f>
        <v/>
      </c>
      <c r="Q84" s="2" t="str">
        <f t="array" ref="Q84">IF(B84="","",IF(N84&lt;&gt;1,"n.a.",INDEX(Counterparties!$G$6:$G$80,MATCH(B84,Counterparties!$A$6:$A$80,0))))</f>
        <v/>
      </c>
      <c r="R84" s="2">
        <f t="array" ref="R84">IF(A84="",0,IF(M84&lt;&gt;1,0,IF(AND(INDEX(Companies!$R$6:$R$55,MATCH(A84,Companies!$A$6:$A$55,0))=1,INDEX(Companies!$I$6:$I$55,MATCH(A84,Companies!$A$6:$A$55,0))&gt;=MAX(10,Rules!$B$22)),1,0)))</f>
        <v>0</v>
      </c>
      <c r="S84" s="2" t="str">
        <f t="array" ref="S84">IF(B84="","",IF(N84&lt;&gt;1,"Check counterparty ID",INDEX(Counterparties!$N$6:$N$80,MATCH(B84,Counterparties!$A$6:$A$80,0))))</f>
        <v/>
      </c>
      <c r="T84" s="2" t="str">
        <f t="shared" si="2"/>
        <v/>
      </c>
      <c r="U84" s="2">
        <f t="shared" si="3"/>
        <v>0</v>
      </c>
      <c r="V84" s="2">
        <f t="shared" si="4"/>
        <v>0</v>
      </c>
      <c r="W84" s="2">
        <f>IF(COUNTA(A84:L84)=0,0,IF(AND(OR(C84="Client",C84="Partner",C84="Client and partner"),D84&lt;&gt;"",E84="Active",H84&lt;&gt;"",ISNUMBER(I84),ISNUMBER(J84),I84&lt;=J84,J84&lt;=Rules!$B$6,Rules!$B$6-J84&lt;=Rules!$B$42,K84="Yes",OR(F84="",AND(ISNUMBER(F84),F84&lt;=Rules!$B$6)),OR(G84="",AND(ISNUMBER(G84),G84&gt;=Rules!$B$6)),OR(F84="",G84="",G84&gt;=F84)),1,0))</f>
        <v>0</v>
      </c>
    </row>
    <row r="85" ht="21.0" customHeight="1">
      <c r="A85" s="44"/>
      <c r="B85" s="44"/>
      <c r="C85" s="44"/>
      <c r="D85" s="44"/>
      <c r="E85" s="44"/>
      <c r="F85" s="48"/>
      <c r="G85" s="48"/>
      <c r="H85" s="44"/>
      <c r="I85" s="48"/>
      <c r="J85" s="48"/>
      <c r="K85" s="44"/>
      <c r="L85" s="44"/>
      <c r="M85" s="2" t="str">
        <f>IF(A85="","",COUNTIF(Companies!$A$6:$A$55,A85))</f>
        <v/>
      </c>
      <c r="N85" s="2" t="str">
        <f>IF(B85="","",COUNTIF(Counterparties!$A$6:$A$80,B85))</f>
        <v/>
      </c>
      <c r="O85" s="2" t="str">
        <f t="shared" si="1"/>
        <v/>
      </c>
      <c r="P85" s="2" t="str">
        <f t="array" ref="P85">IF(B85="","",IF(N85&lt;&gt;1,"n.a.",INDEX(Counterparties!$C$6:$C$80,MATCH(B85,Counterparties!$A$6:$A$80,0))))</f>
        <v/>
      </c>
      <c r="Q85" s="2" t="str">
        <f t="array" ref="Q85">IF(B85="","",IF(N85&lt;&gt;1,"n.a.",INDEX(Counterparties!$G$6:$G$80,MATCH(B85,Counterparties!$A$6:$A$80,0))))</f>
        <v/>
      </c>
      <c r="R85" s="2">
        <f t="array" ref="R85">IF(A85="",0,IF(M85&lt;&gt;1,0,IF(AND(INDEX(Companies!$R$6:$R$55,MATCH(A85,Companies!$A$6:$A$55,0))=1,INDEX(Companies!$I$6:$I$55,MATCH(A85,Companies!$A$6:$A$55,0))&gt;=MAX(10,Rules!$B$22)),1,0)))</f>
        <v>0</v>
      </c>
      <c r="S85" s="2" t="str">
        <f t="array" ref="S85">IF(B85="","",IF(N85&lt;&gt;1,"Check counterparty ID",INDEX(Counterparties!$N$6:$N$80,MATCH(B85,Counterparties!$A$6:$A$80,0))))</f>
        <v/>
      </c>
      <c r="T85" s="2" t="str">
        <f t="shared" si="2"/>
        <v/>
      </c>
      <c r="U85" s="2">
        <f t="shared" si="3"/>
        <v>0</v>
      </c>
      <c r="V85" s="2">
        <f t="shared" si="4"/>
        <v>0</v>
      </c>
      <c r="W85" s="2">
        <f>IF(COUNTA(A85:L85)=0,0,IF(AND(OR(C85="Client",C85="Partner",C85="Client and partner"),D85&lt;&gt;"",E85="Active",H85&lt;&gt;"",ISNUMBER(I85),ISNUMBER(J85),I85&lt;=J85,J85&lt;=Rules!$B$6,Rules!$B$6-J85&lt;=Rules!$B$42,K85="Yes",OR(F85="",AND(ISNUMBER(F85),F85&lt;=Rules!$B$6)),OR(G85="",AND(ISNUMBER(G85),G85&gt;=Rules!$B$6)),OR(F85="",G85="",G85&gt;=F85)),1,0))</f>
        <v>0</v>
      </c>
    </row>
    <row r="86" ht="21.0" customHeight="1">
      <c r="A86" s="44"/>
      <c r="B86" s="44"/>
      <c r="C86" s="44"/>
      <c r="D86" s="44"/>
      <c r="E86" s="44"/>
      <c r="F86" s="48"/>
      <c r="G86" s="48"/>
      <c r="H86" s="44"/>
      <c r="I86" s="48"/>
      <c r="J86" s="48"/>
      <c r="K86" s="44"/>
      <c r="L86" s="44"/>
      <c r="M86" s="2" t="str">
        <f>IF(A86="","",COUNTIF(Companies!$A$6:$A$55,A86))</f>
        <v/>
      </c>
      <c r="N86" s="2" t="str">
        <f>IF(B86="","",COUNTIF(Counterparties!$A$6:$A$80,B86))</f>
        <v/>
      </c>
      <c r="O86" s="2" t="str">
        <f t="shared" si="1"/>
        <v/>
      </c>
      <c r="P86" s="2" t="str">
        <f t="array" ref="P86">IF(B86="","",IF(N86&lt;&gt;1,"n.a.",INDEX(Counterparties!$C$6:$C$80,MATCH(B86,Counterparties!$A$6:$A$80,0))))</f>
        <v/>
      </c>
      <c r="Q86" s="2" t="str">
        <f t="array" ref="Q86">IF(B86="","",IF(N86&lt;&gt;1,"n.a.",INDEX(Counterparties!$G$6:$G$80,MATCH(B86,Counterparties!$A$6:$A$80,0))))</f>
        <v/>
      </c>
      <c r="R86" s="2">
        <f t="array" ref="R86">IF(A86="",0,IF(M86&lt;&gt;1,0,IF(AND(INDEX(Companies!$R$6:$R$55,MATCH(A86,Companies!$A$6:$A$55,0))=1,INDEX(Companies!$I$6:$I$55,MATCH(A86,Companies!$A$6:$A$55,0))&gt;=MAX(10,Rules!$B$22)),1,0)))</f>
        <v>0</v>
      </c>
      <c r="S86" s="2" t="str">
        <f t="array" ref="S86">IF(B86="","",IF(N86&lt;&gt;1,"Check counterparty ID",INDEX(Counterparties!$N$6:$N$80,MATCH(B86,Counterparties!$A$6:$A$80,0))))</f>
        <v/>
      </c>
      <c r="T86" s="2" t="str">
        <f t="shared" si="2"/>
        <v/>
      </c>
      <c r="U86" s="2">
        <f t="shared" si="3"/>
        <v>0</v>
      </c>
      <c r="V86" s="2">
        <f t="shared" si="4"/>
        <v>0</v>
      </c>
      <c r="W86" s="2">
        <f>IF(COUNTA(A86:L86)=0,0,IF(AND(OR(C86="Client",C86="Partner",C86="Client and partner"),D86&lt;&gt;"",E86="Active",H86&lt;&gt;"",ISNUMBER(I86),ISNUMBER(J86),I86&lt;=J86,J86&lt;=Rules!$B$6,Rules!$B$6-J86&lt;=Rules!$B$42,K86="Yes",OR(F86="",AND(ISNUMBER(F86),F86&lt;=Rules!$B$6)),OR(G86="",AND(ISNUMBER(G86),G86&gt;=Rules!$B$6)),OR(F86="",G86="",G86&gt;=F86)),1,0))</f>
        <v>0</v>
      </c>
    </row>
    <row r="87" ht="21.0" customHeight="1">
      <c r="A87" s="44"/>
      <c r="B87" s="44"/>
      <c r="C87" s="44"/>
      <c r="D87" s="44"/>
      <c r="E87" s="44"/>
      <c r="F87" s="48"/>
      <c r="G87" s="48"/>
      <c r="H87" s="44"/>
      <c r="I87" s="48"/>
      <c r="J87" s="48"/>
      <c r="K87" s="44"/>
      <c r="L87" s="44"/>
      <c r="M87" s="2" t="str">
        <f>IF(A87="","",COUNTIF(Companies!$A$6:$A$55,A87))</f>
        <v/>
      </c>
      <c r="N87" s="2" t="str">
        <f>IF(B87="","",COUNTIF(Counterparties!$A$6:$A$80,B87))</f>
        <v/>
      </c>
      <c r="O87" s="2" t="str">
        <f t="shared" si="1"/>
        <v/>
      </c>
      <c r="P87" s="2" t="str">
        <f t="array" ref="P87">IF(B87="","",IF(N87&lt;&gt;1,"n.a.",INDEX(Counterparties!$C$6:$C$80,MATCH(B87,Counterparties!$A$6:$A$80,0))))</f>
        <v/>
      </c>
      <c r="Q87" s="2" t="str">
        <f t="array" ref="Q87">IF(B87="","",IF(N87&lt;&gt;1,"n.a.",INDEX(Counterparties!$G$6:$G$80,MATCH(B87,Counterparties!$A$6:$A$80,0))))</f>
        <v/>
      </c>
      <c r="R87" s="2">
        <f t="array" ref="R87">IF(A87="",0,IF(M87&lt;&gt;1,0,IF(AND(INDEX(Companies!$R$6:$R$55,MATCH(A87,Companies!$A$6:$A$55,0))=1,INDEX(Companies!$I$6:$I$55,MATCH(A87,Companies!$A$6:$A$55,0))&gt;=MAX(10,Rules!$B$22)),1,0)))</f>
        <v>0</v>
      </c>
      <c r="S87" s="2" t="str">
        <f t="array" ref="S87">IF(B87="","",IF(N87&lt;&gt;1,"Check counterparty ID",INDEX(Counterparties!$N$6:$N$80,MATCH(B87,Counterparties!$A$6:$A$80,0))))</f>
        <v/>
      </c>
      <c r="T87" s="2" t="str">
        <f t="shared" si="2"/>
        <v/>
      </c>
      <c r="U87" s="2">
        <f t="shared" si="3"/>
        <v>0</v>
      </c>
      <c r="V87" s="2">
        <f t="shared" si="4"/>
        <v>0</v>
      </c>
      <c r="W87" s="2">
        <f>IF(COUNTA(A87:L87)=0,0,IF(AND(OR(C87="Client",C87="Partner",C87="Client and partner"),D87&lt;&gt;"",E87="Active",H87&lt;&gt;"",ISNUMBER(I87),ISNUMBER(J87),I87&lt;=J87,J87&lt;=Rules!$B$6,Rules!$B$6-J87&lt;=Rules!$B$42,K87="Yes",OR(F87="",AND(ISNUMBER(F87),F87&lt;=Rules!$B$6)),OR(G87="",AND(ISNUMBER(G87),G87&gt;=Rules!$B$6)),OR(F87="",G87="",G87&gt;=F87)),1,0))</f>
        <v>0</v>
      </c>
    </row>
    <row r="88" ht="21.0" customHeight="1">
      <c r="A88" s="44"/>
      <c r="B88" s="44"/>
      <c r="C88" s="44"/>
      <c r="D88" s="44"/>
      <c r="E88" s="44"/>
      <c r="F88" s="48"/>
      <c r="G88" s="48"/>
      <c r="H88" s="44"/>
      <c r="I88" s="48"/>
      <c r="J88" s="48"/>
      <c r="K88" s="44"/>
      <c r="L88" s="44"/>
      <c r="M88" s="2" t="str">
        <f>IF(A88="","",COUNTIF(Companies!$A$6:$A$55,A88))</f>
        <v/>
      </c>
      <c r="N88" s="2" t="str">
        <f>IF(B88="","",COUNTIF(Counterparties!$A$6:$A$80,B88))</f>
        <v/>
      </c>
      <c r="O88" s="2" t="str">
        <f t="shared" si="1"/>
        <v/>
      </c>
      <c r="P88" s="2" t="str">
        <f t="array" ref="P88">IF(B88="","",IF(N88&lt;&gt;1,"n.a.",INDEX(Counterparties!$C$6:$C$80,MATCH(B88,Counterparties!$A$6:$A$80,0))))</f>
        <v/>
      </c>
      <c r="Q88" s="2" t="str">
        <f t="array" ref="Q88">IF(B88="","",IF(N88&lt;&gt;1,"n.a.",INDEX(Counterparties!$G$6:$G$80,MATCH(B88,Counterparties!$A$6:$A$80,0))))</f>
        <v/>
      </c>
      <c r="R88" s="2">
        <f t="array" ref="R88">IF(A88="",0,IF(M88&lt;&gt;1,0,IF(AND(INDEX(Companies!$R$6:$R$55,MATCH(A88,Companies!$A$6:$A$55,0))=1,INDEX(Companies!$I$6:$I$55,MATCH(A88,Companies!$A$6:$A$55,0))&gt;=MAX(10,Rules!$B$22)),1,0)))</f>
        <v>0</v>
      </c>
      <c r="S88" s="2" t="str">
        <f t="array" ref="S88">IF(B88="","",IF(N88&lt;&gt;1,"Check counterparty ID",INDEX(Counterparties!$N$6:$N$80,MATCH(B88,Counterparties!$A$6:$A$80,0))))</f>
        <v/>
      </c>
      <c r="T88" s="2" t="str">
        <f t="shared" si="2"/>
        <v/>
      </c>
      <c r="U88" s="2">
        <f t="shared" si="3"/>
        <v>0</v>
      </c>
      <c r="V88" s="2">
        <f t="shared" si="4"/>
        <v>0</v>
      </c>
      <c r="W88" s="2">
        <f>IF(COUNTA(A88:L88)=0,0,IF(AND(OR(C88="Client",C88="Partner",C88="Client and partner"),D88&lt;&gt;"",E88="Active",H88&lt;&gt;"",ISNUMBER(I88),ISNUMBER(J88),I88&lt;=J88,J88&lt;=Rules!$B$6,Rules!$B$6-J88&lt;=Rules!$B$42,K88="Yes",OR(F88="",AND(ISNUMBER(F88),F88&lt;=Rules!$B$6)),OR(G88="",AND(ISNUMBER(G88),G88&gt;=Rules!$B$6)),OR(F88="",G88="",G88&gt;=F88)),1,0))</f>
        <v>0</v>
      </c>
    </row>
    <row r="89" ht="21.0" customHeight="1">
      <c r="A89" s="44"/>
      <c r="B89" s="44"/>
      <c r="C89" s="44"/>
      <c r="D89" s="44"/>
      <c r="E89" s="44"/>
      <c r="F89" s="48"/>
      <c r="G89" s="48"/>
      <c r="H89" s="44"/>
      <c r="I89" s="48"/>
      <c r="J89" s="48"/>
      <c r="K89" s="44"/>
      <c r="L89" s="44"/>
      <c r="M89" s="2" t="str">
        <f>IF(A89="","",COUNTIF(Companies!$A$6:$A$55,A89))</f>
        <v/>
      </c>
      <c r="N89" s="2" t="str">
        <f>IF(B89="","",COUNTIF(Counterparties!$A$6:$A$80,B89))</f>
        <v/>
      </c>
      <c r="O89" s="2" t="str">
        <f t="shared" si="1"/>
        <v/>
      </c>
      <c r="P89" s="2" t="str">
        <f t="array" ref="P89">IF(B89="","",IF(N89&lt;&gt;1,"n.a.",INDEX(Counterparties!$C$6:$C$80,MATCH(B89,Counterparties!$A$6:$A$80,0))))</f>
        <v/>
      </c>
      <c r="Q89" s="2" t="str">
        <f t="array" ref="Q89">IF(B89="","",IF(N89&lt;&gt;1,"n.a.",INDEX(Counterparties!$G$6:$G$80,MATCH(B89,Counterparties!$A$6:$A$80,0))))</f>
        <v/>
      </c>
      <c r="R89" s="2">
        <f t="array" ref="R89">IF(A89="",0,IF(M89&lt;&gt;1,0,IF(AND(INDEX(Companies!$R$6:$R$55,MATCH(A89,Companies!$A$6:$A$55,0))=1,INDEX(Companies!$I$6:$I$55,MATCH(A89,Companies!$A$6:$A$55,0))&gt;=MAX(10,Rules!$B$22)),1,0)))</f>
        <v>0</v>
      </c>
      <c r="S89" s="2" t="str">
        <f t="array" ref="S89">IF(B89="","",IF(N89&lt;&gt;1,"Check counterparty ID",INDEX(Counterparties!$N$6:$N$80,MATCH(B89,Counterparties!$A$6:$A$80,0))))</f>
        <v/>
      </c>
      <c r="T89" s="2" t="str">
        <f t="shared" si="2"/>
        <v/>
      </c>
      <c r="U89" s="2">
        <f t="shared" si="3"/>
        <v>0</v>
      </c>
      <c r="V89" s="2">
        <f t="shared" si="4"/>
        <v>0</v>
      </c>
      <c r="W89" s="2">
        <f>IF(COUNTA(A89:L89)=0,0,IF(AND(OR(C89="Client",C89="Partner",C89="Client and partner"),D89&lt;&gt;"",E89="Active",H89&lt;&gt;"",ISNUMBER(I89),ISNUMBER(J89),I89&lt;=J89,J89&lt;=Rules!$B$6,Rules!$B$6-J89&lt;=Rules!$B$42,K89="Yes",OR(F89="",AND(ISNUMBER(F89),F89&lt;=Rules!$B$6)),OR(G89="",AND(ISNUMBER(G89),G89&gt;=Rules!$B$6)),OR(F89="",G89="",G89&gt;=F89)),1,0))</f>
        <v>0</v>
      </c>
    </row>
    <row r="90" ht="21.0" customHeight="1">
      <c r="A90" s="44"/>
      <c r="B90" s="44"/>
      <c r="C90" s="44"/>
      <c r="D90" s="44"/>
      <c r="E90" s="44"/>
      <c r="F90" s="48"/>
      <c r="G90" s="48"/>
      <c r="H90" s="44"/>
      <c r="I90" s="48"/>
      <c r="J90" s="48"/>
      <c r="K90" s="44"/>
      <c r="L90" s="44"/>
      <c r="M90" s="2" t="str">
        <f>IF(A90="","",COUNTIF(Companies!$A$6:$A$55,A90))</f>
        <v/>
      </c>
      <c r="N90" s="2" t="str">
        <f>IF(B90="","",COUNTIF(Counterparties!$A$6:$A$80,B90))</f>
        <v/>
      </c>
      <c r="O90" s="2" t="str">
        <f t="shared" si="1"/>
        <v/>
      </c>
      <c r="P90" s="2" t="str">
        <f t="array" ref="P90">IF(B90="","",IF(N90&lt;&gt;1,"n.a.",INDEX(Counterparties!$C$6:$C$80,MATCH(B90,Counterparties!$A$6:$A$80,0))))</f>
        <v/>
      </c>
      <c r="Q90" s="2" t="str">
        <f t="array" ref="Q90">IF(B90="","",IF(N90&lt;&gt;1,"n.a.",INDEX(Counterparties!$G$6:$G$80,MATCH(B90,Counterparties!$A$6:$A$80,0))))</f>
        <v/>
      </c>
      <c r="R90" s="2">
        <f t="array" ref="R90">IF(A90="",0,IF(M90&lt;&gt;1,0,IF(AND(INDEX(Companies!$R$6:$R$55,MATCH(A90,Companies!$A$6:$A$55,0))=1,INDEX(Companies!$I$6:$I$55,MATCH(A90,Companies!$A$6:$A$55,0))&gt;=MAX(10,Rules!$B$22)),1,0)))</f>
        <v>0</v>
      </c>
      <c r="S90" s="2" t="str">
        <f t="array" ref="S90">IF(B90="","",IF(N90&lt;&gt;1,"Check counterparty ID",INDEX(Counterparties!$N$6:$N$80,MATCH(B90,Counterparties!$A$6:$A$80,0))))</f>
        <v/>
      </c>
      <c r="T90" s="2" t="str">
        <f t="shared" si="2"/>
        <v/>
      </c>
      <c r="U90" s="2">
        <f t="shared" si="3"/>
        <v>0</v>
      </c>
      <c r="V90" s="2">
        <f t="shared" si="4"/>
        <v>0</v>
      </c>
      <c r="W90" s="2">
        <f>IF(COUNTA(A90:L90)=0,0,IF(AND(OR(C90="Client",C90="Partner",C90="Client and partner"),D90&lt;&gt;"",E90="Active",H90&lt;&gt;"",ISNUMBER(I90),ISNUMBER(J90),I90&lt;=J90,J90&lt;=Rules!$B$6,Rules!$B$6-J90&lt;=Rules!$B$42,K90="Yes",OR(F90="",AND(ISNUMBER(F90),F90&lt;=Rules!$B$6)),OR(G90="",AND(ISNUMBER(G90),G90&gt;=Rules!$B$6)),OR(F90="",G90="",G90&gt;=F90)),1,0))</f>
        <v>0</v>
      </c>
    </row>
    <row r="91" ht="21.0" customHeight="1">
      <c r="A91" s="44"/>
      <c r="B91" s="44"/>
      <c r="C91" s="44"/>
      <c r="D91" s="44"/>
      <c r="E91" s="44"/>
      <c r="F91" s="48"/>
      <c r="G91" s="48"/>
      <c r="H91" s="44"/>
      <c r="I91" s="48"/>
      <c r="J91" s="48"/>
      <c r="K91" s="44"/>
      <c r="L91" s="44"/>
      <c r="M91" s="2" t="str">
        <f>IF(A91="","",COUNTIF(Companies!$A$6:$A$55,A91))</f>
        <v/>
      </c>
      <c r="N91" s="2" t="str">
        <f>IF(B91="","",COUNTIF(Counterparties!$A$6:$A$80,B91))</f>
        <v/>
      </c>
      <c r="O91" s="2" t="str">
        <f t="shared" si="1"/>
        <v/>
      </c>
      <c r="P91" s="2" t="str">
        <f t="array" ref="P91">IF(B91="","",IF(N91&lt;&gt;1,"n.a.",INDEX(Counterparties!$C$6:$C$80,MATCH(B91,Counterparties!$A$6:$A$80,0))))</f>
        <v/>
      </c>
      <c r="Q91" s="2" t="str">
        <f t="array" ref="Q91">IF(B91="","",IF(N91&lt;&gt;1,"n.a.",INDEX(Counterparties!$G$6:$G$80,MATCH(B91,Counterparties!$A$6:$A$80,0))))</f>
        <v/>
      </c>
      <c r="R91" s="2">
        <f t="array" ref="R91">IF(A91="",0,IF(M91&lt;&gt;1,0,IF(AND(INDEX(Companies!$R$6:$R$55,MATCH(A91,Companies!$A$6:$A$55,0))=1,INDEX(Companies!$I$6:$I$55,MATCH(A91,Companies!$A$6:$A$55,0))&gt;=MAX(10,Rules!$B$22)),1,0)))</f>
        <v>0</v>
      </c>
      <c r="S91" s="2" t="str">
        <f t="array" ref="S91">IF(B91="","",IF(N91&lt;&gt;1,"Check counterparty ID",INDEX(Counterparties!$N$6:$N$80,MATCH(B91,Counterparties!$A$6:$A$80,0))))</f>
        <v/>
      </c>
      <c r="T91" s="2" t="str">
        <f t="shared" si="2"/>
        <v/>
      </c>
      <c r="U91" s="2">
        <f t="shared" si="3"/>
        <v>0</v>
      </c>
      <c r="V91" s="2">
        <f t="shared" si="4"/>
        <v>0</v>
      </c>
      <c r="W91" s="2">
        <f>IF(COUNTA(A91:L91)=0,0,IF(AND(OR(C91="Client",C91="Partner",C91="Client and partner"),D91&lt;&gt;"",E91="Active",H91&lt;&gt;"",ISNUMBER(I91),ISNUMBER(J91),I91&lt;=J91,J91&lt;=Rules!$B$6,Rules!$B$6-J91&lt;=Rules!$B$42,K91="Yes",OR(F91="",AND(ISNUMBER(F91),F91&lt;=Rules!$B$6)),OR(G91="",AND(ISNUMBER(G91),G91&gt;=Rules!$B$6)),OR(F91="",G91="",G91&gt;=F91)),1,0))</f>
        <v>0</v>
      </c>
    </row>
    <row r="92" ht="21.0" customHeight="1">
      <c r="A92" s="44"/>
      <c r="B92" s="44"/>
      <c r="C92" s="44"/>
      <c r="D92" s="44"/>
      <c r="E92" s="44"/>
      <c r="F92" s="48"/>
      <c r="G92" s="48"/>
      <c r="H92" s="44"/>
      <c r="I92" s="48"/>
      <c r="J92" s="48"/>
      <c r="K92" s="44"/>
      <c r="L92" s="44"/>
      <c r="M92" s="2" t="str">
        <f>IF(A92="","",COUNTIF(Companies!$A$6:$A$55,A92))</f>
        <v/>
      </c>
      <c r="N92" s="2" t="str">
        <f>IF(B92="","",COUNTIF(Counterparties!$A$6:$A$80,B92))</f>
        <v/>
      </c>
      <c r="O92" s="2" t="str">
        <f t="shared" si="1"/>
        <v/>
      </c>
      <c r="P92" s="2" t="str">
        <f t="array" ref="P92">IF(B92="","",IF(N92&lt;&gt;1,"n.a.",INDEX(Counterparties!$C$6:$C$80,MATCH(B92,Counterparties!$A$6:$A$80,0))))</f>
        <v/>
      </c>
      <c r="Q92" s="2" t="str">
        <f t="array" ref="Q92">IF(B92="","",IF(N92&lt;&gt;1,"n.a.",INDEX(Counterparties!$G$6:$G$80,MATCH(B92,Counterparties!$A$6:$A$80,0))))</f>
        <v/>
      </c>
      <c r="R92" s="2">
        <f t="array" ref="R92">IF(A92="",0,IF(M92&lt;&gt;1,0,IF(AND(INDEX(Companies!$R$6:$R$55,MATCH(A92,Companies!$A$6:$A$55,0))=1,INDEX(Companies!$I$6:$I$55,MATCH(A92,Companies!$A$6:$A$55,0))&gt;=MAX(10,Rules!$B$22)),1,0)))</f>
        <v>0</v>
      </c>
      <c r="S92" s="2" t="str">
        <f t="array" ref="S92">IF(B92="","",IF(N92&lt;&gt;1,"Check counterparty ID",INDEX(Counterparties!$N$6:$N$80,MATCH(B92,Counterparties!$A$6:$A$80,0))))</f>
        <v/>
      </c>
      <c r="T92" s="2" t="str">
        <f t="shared" si="2"/>
        <v/>
      </c>
      <c r="U92" s="2">
        <f t="shared" si="3"/>
        <v>0</v>
      </c>
      <c r="V92" s="2">
        <f t="shared" si="4"/>
        <v>0</v>
      </c>
      <c r="W92" s="2">
        <f>IF(COUNTA(A92:L92)=0,0,IF(AND(OR(C92="Client",C92="Partner",C92="Client and partner"),D92&lt;&gt;"",E92="Active",H92&lt;&gt;"",ISNUMBER(I92),ISNUMBER(J92),I92&lt;=J92,J92&lt;=Rules!$B$6,Rules!$B$6-J92&lt;=Rules!$B$42,K92="Yes",OR(F92="",AND(ISNUMBER(F92),F92&lt;=Rules!$B$6)),OR(G92="",AND(ISNUMBER(G92),G92&gt;=Rules!$B$6)),OR(F92="",G92="",G92&gt;=F92)),1,0))</f>
        <v>0</v>
      </c>
    </row>
    <row r="93" ht="21.0" customHeight="1">
      <c r="A93" s="44"/>
      <c r="B93" s="44"/>
      <c r="C93" s="44"/>
      <c r="D93" s="44"/>
      <c r="E93" s="44"/>
      <c r="F93" s="48"/>
      <c r="G93" s="48"/>
      <c r="H93" s="44"/>
      <c r="I93" s="48"/>
      <c r="J93" s="48"/>
      <c r="K93" s="44"/>
      <c r="L93" s="44"/>
      <c r="M93" s="2" t="str">
        <f>IF(A93="","",COUNTIF(Companies!$A$6:$A$55,A93))</f>
        <v/>
      </c>
      <c r="N93" s="2" t="str">
        <f>IF(B93="","",COUNTIF(Counterparties!$A$6:$A$80,B93))</f>
        <v/>
      </c>
      <c r="O93" s="2" t="str">
        <f t="shared" si="1"/>
        <v/>
      </c>
      <c r="P93" s="2" t="str">
        <f t="array" ref="P93">IF(B93="","",IF(N93&lt;&gt;1,"n.a.",INDEX(Counterparties!$C$6:$C$80,MATCH(B93,Counterparties!$A$6:$A$80,0))))</f>
        <v/>
      </c>
      <c r="Q93" s="2" t="str">
        <f t="array" ref="Q93">IF(B93="","",IF(N93&lt;&gt;1,"n.a.",INDEX(Counterparties!$G$6:$G$80,MATCH(B93,Counterparties!$A$6:$A$80,0))))</f>
        <v/>
      </c>
      <c r="R93" s="2">
        <f t="array" ref="R93">IF(A93="",0,IF(M93&lt;&gt;1,0,IF(AND(INDEX(Companies!$R$6:$R$55,MATCH(A93,Companies!$A$6:$A$55,0))=1,INDEX(Companies!$I$6:$I$55,MATCH(A93,Companies!$A$6:$A$55,0))&gt;=MAX(10,Rules!$B$22)),1,0)))</f>
        <v>0</v>
      </c>
      <c r="S93" s="2" t="str">
        <f t="array" ref="S93">IF(B93="","",IF(N93&lt;&gt;1,"Check counterparty ID",INDEX(Counterparties!$N$6:$N$80,MATCH(B93,Counterparties!$A$6:$A$80,0))))</f>
        <v/>
      </c>
      <c r="T93" s="2" t="str">
        <f t="shared" si="2"/>
        <v/>
      </c>
      <c r="U93" s="2">
        <f t="shared" si="3"/>
        <v>0</v>
      </c>
      <c r="V93" s="2">
        <f t="shared" si="4"/>
        <v>0</v>
      </c>
      <c r="W93" s="2">
        <f>IF(COUNTA(A93:L93)=0,0,IF(AND(OR(C93="Client",C93="Partner",C93="Client and partner"),D93&lt;&gt;"",E93="Active",H93&lt;&gt;"",ISNUMBER(I93),ISNUMBER(J93),I93&lt;=J93,J93&lt;=Rules!$B$6,Rules!$B$6-J93&lt;=Rules!$B$42,K93="Yes",OR(F93="",AND(ISNUMBER(F93),F93&lt;=Rules!$B$6)),OR(G93="",AND(ISNUMBER(G93),G93&gt;=Rules!$B$6)),OR(F93="",G93="",G93&gt;=F93)),1,0))</f>
        <v>0</v>
      </c>
    </row>
    <row r="94" ht="21.0" customHeight="1">
      <c r="A94" s="44"/>
      <c r="B94" s="44"/>
      <c r="C94" s="44"/>
      <c r="D94" s="44"/>
      <c r="E94" s="44"/>
      <c r="F94" s="48"/>
      <c r="G94" s="48"/>
      <c r="H94" s="44"/>
      <c r="I94" s="48"/>
      <c r="J94" s="48"/>
      <c r="K94" s="44"/>
      <c r="L94" s="44"/>
      <c r="M94" s="2" t="str">
        <f>IF(A94="","",COUNTIF(Companies!$A$6:$A$55,A94))</f>
        <v/>
      </c>
      <c r="N94" s="2" t="str">
        <f>IF(B94="","",COUNTIF(Counterparties!$A$6:$A$80,B94))</f>
        <v/>
      </c>
      <c r="O94" s="2" t="str">
        <f t="shared" si="1"/>
        <v/>
      </c>
      <c r="P94" s="2" t="str">
        <f t="array" ref="P94">IF(B94="","",IF(N94&lt;&gt;1,"n.a.",INDEX(Counterparties!$C$6:$C$80,MATCH(B94,Counterparties!$A$6:$A$80,0))))</f>
        <v/>
      </c>
      <c r="Q94" s="2" t="str">
        <f t="array" ref="Q94">IF(B94="","",IF(N94&lt;&gt;1,"n.a.",INDEX(Counterparties!$G$6:$G$80,MATCH(B94,Counterparties!$A$6:$A$80,0))))</f>
        <v/>
      </c>
      <c r="R94" s="2">
        <f t="array" ref="R94">IF(A94="",0,IF(M94&lt;&gt;1,0,IF(AND(INDEX(Companies!$R$6:$R$55,MATCH(A94,Companies!$A$6:$A$55,0))=1,INDEX(Companies!$I$6:$I$55,MATCH(A94,Companies!$A$6:$A$55,0))&gt;=MAX(10,Rules!$B$22)),1,0)))</f>
        <v>0</v>
      </c>
      <c r="S94" s="2" t="str">
        <f t="array" ref="S94">IF(B94="","",IF(N94&lt;&gt;1,"Check counterparty ID",INDEX(Counterparties!$N$6:$N$80,MATCH(B94,Counterparties!$A$6:$A$80,0))))</f>
        <v/>
      </c>
      <c r="T94" s="2" t="str">
        <f t="shared" si="2"/>
        <v/>
      </c>
      <c r="U94" s="2">
        <f t="shared" si="3"/>
        <v>0</v>
      </c>
      <c r="V94" s="2">
        <f t="shared" si="4"/>
        <v>0</v>
      </c>
      <c r="W94" s="2">
        <f>IF(COUNTA(A94:L94)=0,0,IF(AND(OR(C94="Client",C94="Partner",C94="Client and partner"),D94&lt;&gt;"",E94="Active",H94&lt;&gt;"",ISNUMBER(I94),ISNUMBER(J94),I94&lt;=J94,J94&lt;=Rules!$B$6,Rules!$B$6-J94&lt;=Rules!$B$42,K94="Yes",OR(F94="",AND(ISNUMBER(F94),F94&lt;=Rules!$B$6)),OR(G94="",AND(ISNUMBER(G94),G94&gt;=Rules!$B$6)),OR(F94="",G94="",G94&gt;=F94)),1,0))</f>
        <v>0</v>
      </c>
    </row>
    <row r="95" ht="21.0" customHeight="1">
      <c r="A95" s="44"/>
      <c r="B95" s="44"/>
      <c r="C95" s="44"/>
      <c r="D95" s="44"/>
      <c r="E95" s="44"/>
      <c r="F95" s="48"/>
      <c r="G95" s="48"/>
      <c r="H95" s="44"/>
      <c r="I95" s="48"/>
      <c r="J95" s="48"/>
      <c r="K95" s="44"/>
      <c r="L95" s="44"/>
      <c r="M95" s="2" t="str">
        <f>IF(A95="","",COUNTIF(Companies!$A$6:$A$55,A95))</f>
        <v/>
      </c>
      <c r="N95" s="2" t="str">
        <f>IF(B95="","",COUNTIF(Counterparties!$A$6:$A$80,B95))</f>
        <v/>
      </c>
      <c r="O95" s="2" t="str">
        <f t="shared" si="1"/>
        <v/>
      </c>
      <c r="P95" s="2" t="str">
        <f t="array" ref="P95">IF(B95="","",IF(N95&lt;&gt;1,"n.a.",INDEX(Counterparties!$C$6:$C$80,MATCH(B95,Counterparties!$A$6:$A$80,0))))</f>
        <v/>
      </c>
      <c r="Q95" s="2" t="str">
        <f t="array" ref="Q95">IF(B95="","",IF(N95&lt;&gt;1,"n.a.",INDEX(Counterparties!$G$6:$G$80,MATCH(B95,Counterparties!$A$6:$A$80,0))))</f>
        <v/>
      </c>
      <c r="R95" s="2">
        <f t="array" ref="R95">IF(A95="",0,IF(M95&lt;&gt;1,0,IF(AND(INDEX(Companies!$R$6:$R$55,MATCH(A95,Companies!$A$6:$A$55,0))=1,INDEX(Companies!$I$6:$I$55,MATCH(A95,Companies!$A$6:$A$55,0))&gt;=MAX(10,Rules!$B$22)),1,0)))</f>
        <v>0</v>
      </c>
      <c r="S95" s="2" t="str">
        <f t="array" ref="S95">IF(B95="","",IF(N95&lt;&gt;1,"Check counterparty ID",INDEX(Counterparties!$N$6:$N$80,MATCH(B95,Counterparties!$A$6:$A$80,0))))</f>
        <v/>
      </c>
      <c r="T95" s="2" t="str">
        <f t="shared" si="2"/>
        <v/>
      </c>
      <c r="U95" s="2">
        <f t="shared" si="3"/>
        <v>0</v>
      </c>
      <c r="V95" s="2">
        <f t="shared" si="4"/>
        <v>0</v>
      </c>
      <c r="W95" s="2">
        <f>IF(COUNTA(A95:L95)=0,0,IF(AND(OR(C95="Client",C95="Partner",C95="Client and partner"),D95&lt;&gt;"",E95="Active",H95&lt;&gt;"",ISNUMBER(I95),ISNUMBER(J95),I95&lt;=J95,J95&lt;=Rules!$B$6,Rules!$B$6-J95&lt;=Rules!$B$42,K95="Yes",OR(F95="",AND(ISNUMBER(F95),F95&lt;=Rules!$B$6)),OR(G95="",AND(ISNUMBER(G95),G95&gt;=Rules!$B$6)),OR(F95="",G95="",G95&gt;=F95)),1,0))</f>
        <v>0</v>
      </c>
    </row>
    <row r="96" ht="21.0" customHeight="1">
      <c r="A96" s="44"/>
      <c r="B96" s="44"/>
      <c r="C96" s="44"/>
      <c r="D96" s="44"/>
      <c r="E96" s="44"/>
      <c r="F96" s="48"/>
      <c r="G96" s="48"/>
      <c r="H96" s="44"/>
      <c r="I96" s="48"/>
      <c r="J96" s="48"/>
      <c r="K96" s="44"/>
      <c r="L96" s="44"/>
      <c r="M96" s="2" t="str">
        <f>IF(A96="","",COUNTIF(Companies!$A$6:$A$55,A96))</f>
        <v/>
      </c>
      <c r="N96" s="2" t="str">
        <f>IF(B96="","",COUNTIF(Counterparties!$A$6:$A$80,B96))</f>
        <v/>
      </c>
      <c r="O96" s="2" t="str">
        <f t="shared" si="1"/>
        <v/>
      </c>
      <c r="P96" s="2" t="str">
        <f t="array" ref="P96">IF(B96="","",IF(N96&lt;&gt;1,"n.a.",INDEX(Counterparties!$C$6:$C$80,MATCH(B96,Counterparties!$A$6:$A$80,0))))</f>
        <v/>
      </c>
      <c r="Q96" s="2" t="str">
        <f t="array" ref="Q96">IF(B96="","",IF(N96&lt;&gt;1,"n.a.",INDEX(Counterparties!$G$6:$G$80,MATCH(B96,Counterparties!$A$6:$A$80,0))))</f>
        <v/>
      </c>
      <c r="R96" s="2">
        <f t="array" ref="R96">IF(A96="",0,IF(M96&lt;&gt;1,0,IF(AND(INDEX(Companies!$R$6:$R$55,MATCH(A96,Companies!$A$6:$A$55,0))=1,INDEX(Companies!$I$6:$I$55,MATCH(A96,Companies!$A$6:$A$55,0))&gt;=MAX(10,Rules!$B$22)),1,0)))</f>
        <v>0</v>
      </c>
      <c r="S96" s="2" t="str">
        <f t="array" ref="S96">IF(B96="","",IF(N96&lt;&gt;1,"Check counterparty ID",INDEX(Counterparties!$N$6:$N$80,MATCH(B96,Counterparties!$A$6:$A$80,0))))</f>
        <v/>
      </c>
      <c r="T96" s="2" t="str">
        <f t="shared" si="2"/>
        <v/>
      </c>
      <c r="U96" s="2">
        <f t="shared" si="3"/>
        <v>0</v>
      </c>
      <c r="V96" s="2">
        <f t="shared" si="4"/>
        <v>0</v>
      </c>
      <c r="W96" s="2">
        <f>IF(COUNTA(A96:L96)=0,0,IF(AND(OR(C96="Client",C96="Partner",C96="Client and partner"),D96&lt;&gt;"",E96="Active",H96&lt;&gt;"",ISNUMBER(I96),ISNUMBER(J96),I96&lt;=J96,J96&lt;=Rules!$B$6,Rules!$B$6-J96&lt;=Rules!$B$42,K96="Yes",OR(F96="",AND(ISNUMBER(F96),F96&lt;=Rules!$B$6)),OR(G96="",AND(ISNUMBER(G96),G96&gt;=Rules!$B$6)),OR(F96="",G96="",G96&gt;=F96)),1,0))</f>
        <v>0</v>
      </c>
    </row>
    <row r="97" ht="21.0" customHeight="1">
      <c r="A97" s="44"/>
      <c r="B97" s="44"/>
      <c r="C97" s="44"/>
      <c r="D97" s="44"/>
      <c r="E97" s="44"/>
      <c r="F97" s="48"/>
      <c r="G97" s="48"/>
      <c r="H97" s="44"/>
      <c r="I97" s="48"/>
      <c r="J97" s="48"/>
      <c r="K97" s="44"/>
      <c r="L97" s="44"/>
      <c r="M97" s="2" t="str">
        <f>IF(A97="","",COUNTIF(Companies!$A$6:$A$55,A97))</f>
        <v/>
      </c>
      <c r="N97" s="2" t="str">
        <f>IF(B97="","",COUNTIF(Counterparties!$A$6:$A$80,B97))</f>
        <v/>
      </c>
      <c r="O97" s="2" t="str">
        <f t="shared" si="1"/>
        <v/>
      </c>
      <c r="P97" s="2" t="str">
        <f t="array" ref="P97">IF(B97="","",IF(N97&lt;&gt;1,"n.a.",INDEX(Counterparties!$C$6:$C$80,MATCH(B97,Counterparties!$A$6:$A$80,0))))</f>
        <v/>
      </c>
      <c r="Q97" s="2" t="str">
        <f t="array" ref="Q97">IF(B97="","",IF(N97&lt;&gt;1,"n.a.",INDEX(Counterparties!$G$6:$G$80,MATCH(B97,Counterparties!$A$6:$A$80,0))))</f>
        <v/>
      </c>
      <c r="R97" s="2">
        <f t="array" ref="R97">IF(A97="",0,IF(M97&lt;&gt;1,0,IF(AND(INDEX(Companies!$R$6:$R$55,MATCH(A97,Companies!$A$6:$A$55,0))=1,INDEX(Companies!$I$6:$I$55,MATCH(A97,Companies!$A$6:$A$55,0))&gt;=MAX(10,Rules!$B$22)),1,0)))</f>
        <v>0</v>
      </c>
      <c r="S97" s="2" t="str">
        <f t="array" ref="S97">IF(B97="","",IF(N97&lt;&gt;1,"Check counterparty ID",INDEX(Counterparties!$N$6:$N$80,MATCH(B97,Counterparties!$A$6:$A$80,0))))</f>
        <v/>
      </c>
      <c r="T97" s="2" t="str">
        <f t="shared" si="2"/>
        <v/>
      </c>
      <c r="U97" s="2">
        <f t="shared" si="3"/>
        <v>0</v>
      </c>
      <c r="V97" s="2">
        <f t="shared" si="4"/>
        <v>0</v>
      </c>
      <c r="W97" s="2">
        <f>IF(COUNTA(A97:L97)=0,0,IF(AND(OR(C97="Client",C97="Partner",C97="Client and partner"),D97&lt;&gt;"",E97="Active",H97&lt;&gt;"",ISNUMBER(I97),ISNUMBER(J97),I97&lt;=J97,J97&lt;=Rules!$B$6,Rules!$B$6-J97&lt;=Rules!$B$42,K97="Yes",OR(F97="",AND(ISNUMBER(F97),F97&lt;=Rules!$B$6)),OR(G97="",AND(ISNUMBER(G97),G97&gt;=Rules!$B$6)),OR(F97="",G97="",G97&gt;=F97)),1,0))</f>
        <v>0</v>
      </c>
    </row>
    <row r="98" ht="21.0" customHeight="1">
      <c r="A98" s="44"/>
      <c r="B98" s="44"/>
      <c r="C98" s="44"/>
      <c r="D98" s="44"/>
      <c r="E98" s="44"/>
      <c r="F98" s="48"/>
      <c r="G98" s="48"/>
      <c r="H98" s="44"/>
      <c r="I98" s="48"/>
      <c r="J98" s="48"/>
      <c r="K98" s="44"/>
      <c r="L98" s="44"/>
      <c r="M98" s="2" t="str">
        <f>IF(A98="","",COUNTIF(Companies!$A$6:$A$55,A98))</f>
        <v/>
      </c>
      <c r="N98" s="2" t="str">
        <f>IF(B98="","",COUNTIF(Counterparties!$A$6:$A$80,B98))</f>
        <v/>
      </c>
      <c r="O98" s="2" t="str">
        <f t="shared" si="1"/>
        <v/>
      </c>
      <c r="P98" s="2" t="str">
        <f t="array" ref="P98">IF(B98="","",IF(N98&lt;&gt;1,"n.a.",INDEX(Counterparties!$C$6:$C$80,MATCH(B98,Counterparties!$A$6:$A$80,0))))</f>
        <v/>
      </c>
      <c r="Q98" s="2" t="str">
        <f t="array" ref="Q98">IF(B98="","",IF(N98&lt;&gt;1,"n.a.",INDEX(Counterparties!$G$6:$G$80,MATCH(B98,Counterparties!$A$6:$A$80,0))))</f>
        <v/>
      </c>
      <c r="R98" s="2">
        <f t="array" ref="R98">IF(A98="",0,IF(M98&lt;&gt;1,0,IF(AND(INDEX(Companies!$R$6:$R$55,MATCH(A98,Companies!$A$6:$A$55,0))=1,INDEX(Companies!$I$6:$I$55,MATCH(A98,Companies!$A$6:$A$55,0))&gt;=MAX(10,Rules!$B$22)),1,0)))</f>
        <v>0</v>
      </c>
      <c r="S98" s="2" t="str">
        <f t="array" ref="S98">IF(B98="","",IF(N98&lt;&gt;1,"Check counterparty ID",INDEX(Counterparties!$N$6:$N$80,MATCH(B98,Counterparties!$A$6:$A$80,0))))</f>
        <v/>
      </c>
      <c r="T98" s="2" t="str">
        <f t="shared" si="2"/>
        <v/>
      </c>
      <c r="U98" s="2">
        <f t="shared" si="3"/>
        <v>0</v>
      </c>
      <c r="V98" s="2">
        <f t="shared" si="4"/>
        <v>0</v>
      </c>
      <c r="W98" s="2">
        <f>IF(COUNTA(A98:L98)=0,0,IF(AND(OR(C98="Client",C98="Partner",C98="Client and partner"),D98&lt;&gt;"",E98="Active",H98&lt;&gt;"",ISNUMBER(I98),ISNUMBER(J98),I98&lt;=J98,J98&lt;=Rules!$B$6,Rules!$B$6-J98&lt;=Rules!$B$42,K98="Yes",OR(F98="",AND(ISNUMBER(F98),F98&lt;=Rules!$B$6)),OR(G98="",AND(ISNUMBER(G98),G98&gt;=Rules!$B$6)),OR(F98="",G98="",G98&gt;=F98)),1,0))</f>
        <v>0</v>
      </c>
    </row>
    <row r="99" ht="21.0" customHeight="1">
      <c r="A99" s="44"/>
      <c r="B99" s="44"/>
      <c r="C99" s="44"/>
      <c r="D99" s="44"/>
      <c r="E99" s="44"/>
      <c r="F99" s="48"/>
      <c r="G99" s="48"/>
      <c r="H99" s="44"/>
      <c r="I99" s="48"/>
      <c r="J99" s="48"/>
      <c r="K99" s="44"/>
      <c r="L99" s="44"/>
      <c r="M99" s="2" t="str">
        <f>IF(A99="","",COUNTIF(Companies!$A$6:$A$55,A99))</f>
        <v/>
      </c>
      <c r="N99" s="2" t="str">
        <f>IF(B99="","",COUNTIF(Counterparties!$A$6:$A$80,B99))</f>
        <v/>
      </c>
      <c r="O99" s="2" t="str">
        <f t="shared" si="1"/>
        <v/>
      </c>
      <c r="P99" s="2" t="str">
        <f t="array" ref="P99">IF(B99="","",IF(N99&lt;&gt;1,"n.a.",INDEX(Counterparties!$C$6:$C$80,MATCH(B99,Counterparties!$A$6:$A$80,0))))</f>
        <v/>
      </c>
      <c r="Q99" s="2" t="str">
        <f t="array" ref="Q99">IF(B99="","",IF(N99&lt;&gt;1,"n.a.",INDEX(Counterparties!$G$6:$G$80,MATCH(B99,Counterparties!$A$6:$A$80,0))))</f>
        <v/>
      </c>
      <c r="R99" s="2">
        <f t="array" ref="R99">IF(A99="",0,IF(M99&lt;&gt;1,0,IF(AND(INDEX(Companies!$R$6:$R$55,MATCH(A99,Companies!$A$6:$A$55,0))=1,INDEX(Companies!$I$6:$I$55,MATCH(A99,Companies!$A$6:$A$55,0))&gt;=MAX(10,Rules!$B$22)),1,0)))</f>
        <v>0</v>
      </c>
      <c r="S99" s="2" t="str">
        <f t="array" ref="S99">IF(B99="","",IF(N99&lt;&gt;1,"Check counterparty ID",INDEX(Counterparties!$N$6:$N$80,MATCH(B99,Counterparties!$A$6:$A$80,0))))</f>
        <v/>
      </c>
      <c r="T99" s="2" t="str">
        <f t="shared" si="2"/>
        <v/>
      </c>
      <c r="U99" s="2">
        <f t="shared" si="3"/>
        <v>0</v>
      </c>
      <c r="V99" s="2">
        <f t="shared" si="4"/>
        <v>0</v>
      </c>
      <c r="W99" s="2">
        <f>IF(COUNTA(A99:L99)=0,0,IF(AND(OR(C99="Client",C99="Partner",C99="Client and partner"),D99&lt;&gt;"",E99="Active",H99&lt;&gt;"",ISNUMBER(I99),ISNUMBER(J99),I99&lt;=J99,J99&lt;=Rules!$B$6,Rules!$B$6-J99&lt;=Rules!$B$42,K99="Yes",OR(F99="",AND(ISNUMBER(F99),F99&lt;=Rules!$B$6)),OR(G99="",AND(ISNUMBER(G99),G99&gt;=Rules!$B$6)),OR(F99="",G99="",G99&gt;=F99)),1,0))</f>
        <v>0</v>
      </c>
    </row>
    <row r="100" ht="21.0" customHeight="1">
      <c r="A100" s="44"/>
      <c r="B100" s="44"/>
      <c r="C100" s="44"/>
      <c r="D100" s="44"/>
      <c r="E100" s="44"/>
      <c r="F100" s="48"/>
      <c r="G100" s="48"/>
      <c r="H100" s="44"/>
      <c r="I100" s="48"/>
      <c r="J100" s="48"/>
      <c r="K100" s="44"/>
      <c r="L100" s="44"/>
      <c r="M100" s="2" t="str">
        <f>IF(A100="","",COUNTIF(Companies!$A$6:$A$55,A100))</f>
        <v/>
      </c>
      <c r="N100" s="2" t="str">
        <f>IF(B100="","",COUNTIF(Counterparties!$A$6:$A$80,B100))</f>
        <v/>
      </c>
      <c r="O100" s="2" t="str">
        <f t="shared" si="1"/>
        <v/>
      </c>
      <c r="P100" s="2" t="str">
        <f t="array" ref="P100">IF(B100="","",IF(N100&lt;&gt;1,"n.a.",INDEX(Counterparties!$C$6:$C$80,MATCH(B100,Counterparties!$A$6:$A$80,0))))</f>
        <v/>
      </c>
      <c r="Q100" s="2" t="str">
        <f t="array" ref="Q100">IF(B100="","",IF(N100&lt;&gt;1,"n.a.",INDEX(Counterparties!$G$6:$G$80,MATCH(B100,Counterparties!$A$6:$A$80,0))))</f>
        <v/>
      </c>
      <c r="R100" s="2">
        <f t="array" ref="R100">IF(A100="",0,IF(M100&lt;&gt;1,0,IF(AND(INDEX(Companies!$R$6:$R$55,MATCH(A100,Companies!$A$6:$A$55,0))=1,INDEX(Companies!$I$6:$I$55,MATCH(A100,Companies!$A$6:$A$55,0))&gt;=MAX(10,Rules!$B$22)),1,0)))</f>
        <v>0</v>
      </c>
      <c r="S100" s="2" t="str">
        <f t="array" ref="S100">IF(B100="","",IF(N100&lt;&gt;1,"Check counterparty ID",INDEX(Counterparties!$N$6:$N$80,MATCH(B100,Counterparties!$A$6:$A$80,0))))</f>
        <v/>
      </c>
      <c r="T100" s="2" t="str">
        <f t="shared" si="2"/>
        <v/>
      </c>
      <c r="U100" s="2">
        <f t="shared" si="3"/>
        <v>0</v>
      </c>
      <c r="V100" s="2">
        <f t="shared" si="4"/>
        <v>0</v>
      </c>
      <c r="W100" s="2">
        <f>IF(COUNTA(A100:L100)=0,0,IF(AND(OR(C100="Client",C100="Partner",C100="Client and partner"),D100&lt;&gt;"",E100="Active",H100&lt;&gt;"",ISNUMBER(I100),ISNUMBER(J100),I100&lt;=J100,J100&lt;=Rules!$B$6,Rules!$B$6-J100&lt;=Rules!$B$42,K100="Yes",OR(F100="",AND(ISNUMBER(F100),F100&lt;=Rules!$B$6)),OR(G100="",AND(ISNUMBER(G100),G100&gt;=Rules!$B$6)),OR(F100="",G100="",G100&gt;=F100)),1,0))</f>
        <v>0</v>
      </c>
    </row>
    <row r="101" ht="21.0" customHeight="1">
      <c r="A101" s="44"/>
      <c r="B101" s="44"/>
      <c r="C101" s="44"/>
      <c r="D101" s="44"/>
      <c r="E101" s="44"/>
      <c r="F101" s="48"/>
      <c r="G101" s="48"/>
      <c r="H101" s="44"/>
      <c r="I101" s="48"/>
      <c r="J101" s="48"/>
      <c r="K101" s="44"/>
      <c r="L101" s="44"/>
      <c r="M101" s="2" t="str">
        <f>IF(A101="","",COUNTIF(Companies!$A$6:$A$55,A101))</f>
        <v/>
      </c>
      <c r="N101" s="2" t="str">
        <f>IF(B101="","",COUNTIF(Counterparties!$A$6:$A$80,B101))</f>
        <v/>
      </c>
      <c r="O101" s="2" t="str">
        <f t="shared" si="1"/>
        <v/>
      </c>
      <c r="P101" s="2" t="str">
        <f t="array" ref="P101">IF(B101="","",IF(N101&lt;&gt;1,"n.a.",INDEX(Counterparties!$C$6:$C$80,MATCH(B101,Counterparties!$A$6:$A$80,0))))</f>
        <v/>
      </c>
      <c r="Q101" s="2" t="str">
        <f t="array" ref="Q101">IF(B101="","",IF(N101&lt;&gt;1,"n.a.",INDEX(Counterparties!$G$6:$G$80,MATCH(B101,Counterparties!$A$6:$A$80,0))))</f>
        <v/>
      </c>
      <c r="R101" s="2">
        <f t="array" ref="R101">IF(A101="",0,IF(M101&lt;&gt;1,0,IF(AND(INDEX(Companies!$R$6:$R$55,MATCH(A101,Companies!$A$6:$A$55,0))=1,INDEX(Companies!$I$6:$I$55,MATCH(A101,Companies!$A$6:$A$55,0))&gt;=MAX(10,Rules!$B$22)),1,0)))</f>
        <v>0</v>
      </c>
      <c r="S101" s="2" t="str">
        <f t="array" ref="S101">IF(B101="","",IF(N101&lt;&gt;1,"Check counterparty ID",INDEX(Counterparties!$N$6:$N$80,MATCH(B101,Counterparties!$A$6:$A$80,0))))</f>
        <v/>
      </c>
      <c r="T101" s="2" t="str">
        <f t="shared" si="2"/>
        <v/>
      </c>
      <c r="U101" s="2">
        <f t="shared" si="3"/>
        <v>0</v>
      </c>
      <c r="V101" s="2">
        <f t="shared" si="4"/>
        <v>0</v>
      </c>
      <c r="W101" s="2">
        <f>IF(COUNTA(A101:L101)=0,0,IF(AND(OR(C101="Client",C101="Partner",C101="Client and partner"),D101&lt;&gt;"",E101="Active",H101&lt;&gt;"",ISNUMBER(I101),ISNUMBER(J101),I101&lt;=J101,J101&lt;=Rules!$B$6,Rules!$B$6-J101&lt;=Rules!$B$42,K101="Yes",OR(F101="",AND(ISNUMBER(F101),F101&lt;=Rules!$B$6)),OR(G101="",AND(ISNUMBER(G101),G101&gt;=Rules!$B$6)),OR(F101="",G101="",G101&gt;=F101)),1,0))</f>
        <v>0</v>
      </c>
    </row>
    <row r="102" ht="21.0" customHeight="1">
      <c r="A102" s="44"/>
      <c r="B102" s="44"/>
      <c r="C102" s="44"/>
      <c r="D102" s="44"/>
      <c r="E102" s="44"/>
      <c r="F102" s="48"/>
      <c r="G102" s="48"/>
      <c r="H102" s="44"/>
      <c r="I102" s="48"/>
      <c r="J102" s="48"/>
      <c r="K102" s="44"/>
      <c r="L102" s="44"/>
      <c r="M102" s="2" t="str">
        <f>IF(A102="","",COUNTIF(Companies!$A$6:$A$55,A102))</f>
        <v/>
      </c>
      <c r="N102" s="2" t="str">
        <f>IF(B102="","",COUNTIF(Counterparties!$A$6:$A$80,B102))</f>
        <v/>
      </c>
      <c r="O102" s="2" t="str">
        <f t="shared" si="1"/>
        <v/>
      </c>
      <c r="P102" s="2" t="str">
        <f t="array" ref="P102">IF(B102="","",IF(N102&lt;&gt;1,"n.a.",INDEX(Counterparties!$C$6:$C$80,MATCH(B102,Counterparties!$A$6:$A$80,0))))</f>
        <v/>
      </c>
      <c r="Q102" s="2" t="str">
        <f t="array" ref="Q102">IF(B102="","",IF(N102&lt;&gt;1,"n.a.",INDEX(Counterparties!$G$6:$G$80,MATCH(B102,Counterparties!$A$6:$A$80,0))))</f>
        <v/>
      </c>
      <c r="R102" s="2">
        <f t="array" ref="R102">IF(A102="",0,IF(M102&lt;&gt;1,0,IF(AND(INDEX(Companies!$R$6:$R$55,MATCH(A102,Companies!$A$6:$A$55,0))=1,INDEX(Companies!$I$6:$I$55,MATCH(A102,Companies!$A$6:$A$55,0))&gt;=MAX(10,Rules!$B$22)),1,0)))</f>
        <v>0</v>
      </c>
      <c r="S102" s="2" t="str">
        <f t="array" ref="S102">IF(B102="","",IF(N102&lt;&gt;1,"Check counterparty ID",INDEX(Counterparties!$N$6:$N$80,MATCH(B102,Counterparties!$A$6:$A$80,0))))</f>
        <v/>
      </c>
      <c r="T102" s="2" t="str">
        <f t="shared" si="2"/>
        <v/>
      </c>
      <c r="U102" s="2">
        <f t="shared" si="3"/>
        <v>0</v>
      </c>
      <c r="V102" s="2">
        <f t="shared" si="4"/>
        <v>0</v>
      </c>
      <c r="W102" s="2">
        <f>IF(COUNTA(A102:L102)=0,0,IF(AND(OR(C102="Client",C102="Partner",C102="Client and partner"),D102&lt;&gt;"",E102="Active",H102&lt;&gt;"",ISNUMBER(I102),ISNUMBER(J102),I102&lt;=J102,J102&lt;=Rules!$B$6,Rules!$B$6-J102&lt;=Rules!$B$42,K102="Yes",OR(F102="",AND(ISNUMBER(F102),F102&lt;=Rules!$B$6)),OR(G102="",AND(ISNUMBER(G102),G102&gt;=Rules!$B$6)),OR(F102="",G102="",G102&gt;=F102)),1,0))</f>
        <v>0</v>
      </c>
    </row>
    <row r="103" ht="21.0" customHeight="1">
      <c r="A103" s="44"/>
      <c r="B103" s="44"/>
      <c r="C103" s="44"/>
      <c r="D103" s="44"/>
      <c r="E103" s="44"/>
      <c r="F103" s="48"/>
      <c r="G103" s="48"/>
      <c r="H103" s="44"/>
      <c r="I103" s="48"/>
      <c r="J103" s="48"/>
      <c r="K103" s="44"/>
      <c r="L103" s="44"/>
      <c r="M103" s="2" t="str">
        <f>IF(A103="","",COUNTIF(Companies!$A$6:$A$55,A103))</f>
        <v/>
      </c>
      <c r="N103" s="2" t="str">
        <f>IF(B103="","",COUNTIF(Counterparties!$A$6:$A$80,B103))</f>
        <v/>
      </c>
      <c r="O103" s="2" t="str">
        <f t="shared" si="1"/>
        <v/>
      </c>
      <c r="P103" s="2" t="str">
        <f t="array" ref="P103">IF(B103="","",IF(N103&lt;&gt;1,"n.a.",INDEX(Counterparties!$C$6:$C$80,MATCH(B103,Counterparties!$A$6:$A$80,0))))</f>
        <v/>
      </c>
      <c r="Q103" s="2" t="str">
        <f t="array" ref="Q103">IF(B103="","",IF(N103&lt;&gt;1,"n.a.",INDEX(Counterparties!$G$6:$G$80,MATCH(B103,Counterparties!$A$6:$A$80,0))))</f>
        <v/>
      </c>
      <c r="R103" s="2">
        <f t="array" ref="R103">IF(A103="",0,IF(M103&lt;&gt;1,0,IF(AND(INDEX(Companies!$R$6:$R$55,MATCH(A103,Companies!$A$6:$A$55,0))=1,INDEX(Companies!$I$6:$I$55,MATCH(A103,Companies!$A$6:$A$55,0))&gt;=MAX(10,Rules!$B$22)),1,0)))</f>
        <v>0</v>
      </c>
      <c r="S103" s="2" t="str">
        <f t="array" ref="S103">IF(B103="","",IF(N103&lt;&gt;1,"Check counterparty ID",INDEX(Counterparties!$N$6:$N$80,MATCH(B103,Counterparties!$A$6:$A$80,0))))</f>
        <v/>
      </c>
      <c r="T103" s="2" t="str">
        <f t="shared" si="2"/>
        <v/>
      </c>
      <c r="U103" s="2">
        <f t="shared" si="3"/>
        <v>0</v>
      </c>
      <c r="V103" s="2">
        <f t="shared" si="4"/>
        <v>0</v>
      </c>
      <c r="W103" s="2">
        <f>IF(COUNTA(A103:L103)=0,0,IF(AND(OR(C103="Client",C103="Partner",C103="Client and partner"),D103&lt;&gt;"",E103="Active",H103&lt;&gt;"",ISNUMBER(I103),ISNUMBER(J103),I103&lt;=J103,J103&lt;=Rules!$B$6,Rules!$B$6-J103&lt;=Rules!$B$42,K103="Yes",OR(F103="",AND(ISNUMBER(F103),F103&lt;=Rules!$B$6)),OR(G103="",AND(ISNUMBER(G103),G103&gt;=Rules!$B$6)),OR(F103="",G103="",G103&gt;=F103)),1,0))</f>
        <v>0</v>
      </c>
    </row>
    <row r="104" ht="21.0" customHeight="1">
      <c r="A104" s="44"/>
      <c r="B104" s="44"/>
      <c r="C104" s="44"/>
      <c r="D104" s="44"/>
      <c r="E104" s="44"/>
      <c r="F104" s="48"/>
      <c r="G104" s="48"/>
      <c r="H104" s="44"/>
      <c r="I104" s="48"/>
      <c r="J104" s="48"/>
      <c r="K104" s="44"/>
      <c r="L104" s="44"/>
      <c r="M104" s="2" t="str">
        <f>IF(A104="","",COUNTIF(Companies!$A$6:$A$55,A104))</f>
        <v/>
      </c>
      <c r="N104" s="2" t="str">
        <f>IF(B104="","",COUNTIF(Counterparties!$A$6:$A$80,B104))</f>
        <v/>
      </c>
      <c r="O104" s="2" t="str">
        <f t="shared" si="1"/>
        <v/>
      </c>
      <c r="P104" s="2" t="str">
        <f t="array" ref="P104">IF(B104="","",IF(N104&lt;&gt;1,"n.a.",INDEX(Counterparties!$C$6:$C$80,MATCH(B104,Counterparties!$A$6:$A$80,0))))</f>
        <v/>
      </c>
      <c r="Q104" s="2" t="str">
        <f t="array" ref="Q104">IF(B104="","",IF(N104&lt;&gt;1,"n.a.",INDEX(Counterparties!$G$6:$G$80,MATCH(B104,Counterparties!$A$6:$A$80,0))))</f>
        <v/>
      </c>
      <c r="R104" s="2">
        <f t="array" ref="R104">IF(A104="",0,IF(M104&lt;&gt;1,0,IF(AND(INDEX(Companies!$R$6:$R$55,MATCH(A104,Companies!$A$6:$A$55,0))=1,INDEX(Companies!$I$6:$I$55,MATCH(A104,Companies!$A$6:$A$55,0))&gt;=MAX(10,Rules!$B$22)),1,0)))</f>
        <v>0</v>
      </c>
      <c r="S104" s="2" t="str">
        <f t="array" ref="S104">IF(B104="","",IF(N104&lt;&gt;1,"Check counterparty ID",INDEX(Counterparties!$N$6:$N$80,MATCH(B104,Counterparties!$A$6:$A$80,0))))</f>
        <v/>
      </c>
      <c r="T104" s="2" t="str">
        <f t="shared" si="2"/>
        <v/>
      </c>
      <c r="U104" s="2">
        <f t="shared" si="3"/>
        <v>0</v>
      </c>
      <c r="V104" s="2">
        <f t="shared" si="4"/>
        <v>0</v>
      </c>
      <c r="W104" s="2">
        <f>IF(COUNTA(A104:L104)=0,0,IF(AND(OR(C104="Client",C104="Partner",C104="Client and partner"),D104&lt;&gt;"",E104="Active",H104&lt;&gt;"",ISNUMBER(I104),ISNUMBER(J104),I104&lt;=J104,J104&lt;=Rules!$B$6,Rules!$B$6-J104&lt;=Rules!$B$42,K104="Yes",OR(F104="",AND(ISNUMBER(F104),F104&lt;=Rules!$B$6)),OR(G104="",AND(ISNUMBER(G104),G104&gt;=Rules!$B$6)),OR(F104="",G104="",G104&gt;=F104)),1,0))</f>
        <v>0</v>
      </c>
    </row>
    <row r="105" ht="21.0" customHeight="1">
      <c r="A105" s="44"/>
      <c r="B105" s="44"/>
      <c r="C105" s="44"/>
      <c r="D105" s="44"/>
      <c r="E105" s="44"/>
      <c r="F105" s="48"/>
      <c r="G105" s="48"/>
      <c r="H105" s="44"/>
      <c r="I105" s="48"/>
      <c r="J105" s="48"/>
      <c r="K105" s="44"/>
      <c r="L105" s="44"/>
      <c r="M105" s="2" t="str">
        <f>IF(A105="","",COUNTIF(Companies!$A$6:$A$55,A105))</f>
        <v/>
      </c>
      <c r="N105" s="2" t="str">
        <f>IF(B105="","",COUNTIF(Counterparties!$A$6:$A$80,B105))</f>
        <v/>
      </c>
      <c r="O105" s="2" t="str">
        <f t="shared" si="1"/>
        <v/>
      </c>
      <c r="P105" s="2" t="str">
        <f t="array" ref="P105">IF(B105="","",IF(N105&lt;&gt;1,"n.a.",INDEX(Counterparties!$C$6:$C$80,MATCH(B105,Counterparties!$A$6:$A$80,0))))</f>
        <v/>
      </c>
      <c r="Q105" s="2" t="str">
        <f t="array" ref="Q105">IF(B105="","",IF(N105&lt;&gt;1,"n.a.",INDEX(Counterparties!$G$6:$G$80,MATCH(B105,Counterparties!$A$6:$A$80,0))))</f>
        <v/>
      </c>
      <c r="R105" s="2">
        <f t="array" ref="R105">IF(A105="",0,IF(M105&lt;&gt;1,0,IF(AND(INDEX(Companies!$R$6:$R$55,MATCH(A105,Companies!$A$6:$A$55,0))=1,INDEX(Companies!$I$6:$I$55,MATCH(A105,Companies!$A$6:$A$55,0))&gt;=MAX(10,Rules!$B$22)),1,0)))</f>
        <v>0</v>
      </c>
      <c r="S105" s="2" t="str">
        <f t="array" ref="S105">IF(B105="","",IF(N105&lt;&gt;1,"Check counterparty ID",INDEX(Counterparties!$N$6:$N$80,MATCH(B105,Counterparties!$A$6:$A$80,0))))</f>
        <v/>
      </c>
      <c r="T105" s="2" t="str">
        <f t="shared" si="2"/>
        <v/>
      </c>
      <c r="U105" s="2">
        <f t="shared" si="3"/>
        <v>0</v>
      </c>
      <c r="V105" s="2">
        <f t="shared" si="4"/>
        <v>0</v>
      </c>
      <c r="W105" s="2">
        <f>IF(COUNTA(A105:L105)=0,0,IF(AND(OR(C105="Client",C105="Partner",C105="Client and partner"),D105&lt;&gt;"",E105="Active",H105&lt;&gt;"",ISNUMBER(I105),ISNUMBER(J105),I105&lt;=J105,J105&lt;=Rules!$B$6,Rules!$B$6-J105&lt;=Rules!$B$42,K105="Yes",OR(F105="",AND(ISNUMBER(F105),F105&lt;=Rules!$B$6)),OR(G105="",AND(ISNUMBER(G105),G105&gt;=Rules!$B$6)),OR(F105="",G105="",G105&gt;=F105)),1,0))</f>
        <v>0</v>
      </c>
    </row>
    <row r="106" ht="21.0" customHeight="1">
      <c r="A106" s="44"/>
      <c r="B106" s="44"/>
      <c r="C106" s="44"/>
      <c r="D106" s="44"/>
      <c r="E106" s="44"/>
      <c r="F106" s="48"/>
      <c r="G106" s="48"/>
      <c r="H106" s="44"/>
      <c r="I106" s="48"/>
      <c r="J106" s="48"/>
      <c r="K106" s="44"/>
      <c r="L106" s="44"/>
      <c r="M106" s="2" t="str">
        <f>IF(A106="","",COUNTIF(Companies!$A$6:$A$55,A106))</f>
        <v/>
      </c>
      <c r="N106" s="2" t="str">
        <f>IF(B106="","",COUNTIF(Counterparties!$A$6:$A$80,B106))</f>
        <v/>
      </c>
      <c r="O106" s="2" t="str">
        <f t="shared" si="1"/>
        <v/>
      </c>
      <c r="P106" s="2" t="str">
        <f t="array" ref="P106">IF(B106="","",IF(N106&lt;&gt;1,"n.a.",INDEX(Counterparties!$C$6:$C$80,MATCH(B106,Counterparties!$A$6:$A$80,0))))</f>
        <v/>
      </c>
      <c r="Q106" s="2" t="str">
        <f t="array" ref="Q106">IF(B106="","",IF(N106&lt;&gt;1,"n.a.",INDEX(Counterparties!$G$6:$G$80,MATCH(B106,Counterparties!$A$6:$A$80,0))))</f>
        <v/>
      </c>
      <c r="R106" s="2">
        <f t="array" ref="R106">IF(A106="",0,IF(M106&lt;&gt;1,0,IF(AND(INDEX(Companies!$R$6:$R$55,MATCH(A106,Companies!$A$6:$A$55,0))=1,INDEX(Companies!$I$6:$I$55,MATCH(A106,Companies!$A$6:$A$55,0))&gt;=MAX(10,Rules!$B$22)),1,0)))</f>
        <v>0</v>
      </c>
      <c r="S106" s="2" t="str">
        <f t="array" ref="S106">IF(B106="","",IF(N106&lt;&gt;1,"Check counterparty ID",INDEX(Counterparties!$N$6:$N$80,MATCH(B106,Counterparties!$A$6:$A$80,0))))</f>
        <v/>
      </c>
      <c r="T106" s="2" t="str">
        <f t="shared" si="2"/>
        <v/>
      </c>
      <c r="U106" s="2">
        <f t="shared" si="3"/>
        <v>0</v>
      </c>
      <c r="V106" s="2">
        <f t="shared" si="4"/>
        <v>0</v>
      </c>
      <c r="W106" s="2">
        <f>IF(COUNTA(A106:L106)=0,0,IF(AND(OR(C106="Client",C106="Partner",C106="Client and partner"),D106&lt;&gt;"",E106="Active",H106&lt;&gt;"",ISNUMBER(I106),ISNUMBER(J106),I106&lt;=J106,J106&lt;=Rules!$B$6,Rules!$B$6-J106&lt;=Rules!$B$42,K106="Yes",OR(F106="",AND(ISNUMBER(F106),F106&lt;=Rules!$B$6)),OR(G106="",AND(ISNUMBER(G106),G106&gt;=Rules!$B$6)),OR(F106="",G106="",G106&gt;=F106)),1,0))</f>
        <v>0</v>
      </c>
    </row>
    <row r="107" ht="21.0" customHeight="1">
      <c r="A107" s="44"/>
      <c r="B107" s="44"/>
      <c r="C107" s="44"/>
      <c r="D107" s="44"/>
      <c r="E107" s="44"/>
      <c r="F107" s="48"/>
      <c r="G107" s="48"/>
      <c r="H107" s="44"/>
      <c r="I107" s="48"/>
      <c r="J107" s="48"/>
      <c r="K107" s="44"/>
      <c r="L107" s="44"/>
      <c r="M107" s="2" t="str">
        <f>IF(A107="","",COUNTIF(Companies!$A$6:$A$55,A107))</f>
        <v/>
      </c>
      <c r="N107" s="2" t="str">
        <f>IF(B107="","",COUNTIF(Counterparties!$A$6:$A$80,B107))</f>
        <v/>
      </c>
      <c r="O107" s="2" t="str">
        <f t="shared" si="1"/>
        <v/>
      </c>
      <c r="P107" s="2" t="str">
        <f t="array" ref="P107">IF(B107="","",IF(N107&lt;&gt;1,"n.a.",INDEX(Counterparties!$C$6:$C$80,MATCH(B107,Counterparties!$A$6:$A$80,0))))</f>
        <v/>
      </c>
      <c r="Q107" s="2" t="str">
        <f t="array" ref="Q107">IF(B107="","",IF(N107&lt;&gt;1,"n.a.",INDEX(Counterparties!$G$6:$G$80,MATCH(B107,Counterparties!$A$6:$A$80,0))))</f>
        <v/>
      </c>
      <c r="R107" s="2">
        <f t="array" ref="R107">IF(A107="",0,IF(M107&lt;&gt;1,0,IF(AND(INDEX(Companies!$R$6:$R$55,MATCH(A107,Companies!$A$6:$A$55,0))=1,INDEX(Companies!$I$6:$I$55,MATCH(A107,Companies!$A$6:$A$55,0))&gt;=MAX(10,Rules!$B$22)),1,0)))</f>
        <v>0</v>
      </c>
      <c r="S107" s="2" t="str">
        <f t="array" ref="S107">IF(B107="","",IF(N107&lt;&gt;1,"Check counterparty ID",INDEX(Counterparties!$N$6:$N$80,MATCH(B107,Counterparties!$A$6:$A$80,0))))</f>
        <v/>
      </c>
      <c r="T107" s="2" t="str">
        <f t="shared" si="2"/>
        <v/>
      </c>
      <c r="U107" s="2">
        <f t="shared" si="3"/>
        <v>0</v>
      </c>
      <c r="V107" s="2">
        <f t="shared" si="4"/>
        <v>0</v>
      </c>
      <c r="W107" s="2">
        <f>IF(COUNTA(A107:L107)=0,0,IF(AND(OR(C107="Client",C107="Partner",C107="Client and partner"),D107&lt;&gt;"",E107="Active",H107&lt;&gt;"",ISNUMBER(I107),ISNUMBER(J107),I107&lt;=J107,J107&lt;=Rules!$B$6,Rules!$B$6-J107&lt;=Rules!$B$42,K107="Yes",OR(F107="",AND(ISNUMBER(F107),F107&lt;=Rules!$B$6)),OR(G107="",AND(ISNUMBER(G107),G107&gt;=Rules!$B$6)),OR(F107="",G107="",G107&gt;=F107)),1,0))</f>
        <v>0</v>
      </c>
    </row>
    <row r="108" ht="21.0" customHeight="1">
      <c r="A108" s="44"/>
      <c r="B108" s="44"/>
      <c r="C108" s="44"/>
      <c r="D108" s="44"/>
      <c r="E108" s="44"/>
      <c r="F108" s="48"/>
      <c r="G108" s="48"/>
      <c r="H108" s="44"/>
      <c r="I108" s="48"/>
      <c r="J108" s="48"/>
      <c r="K108" s="44"/>
      <c r="L108" s="44"/>
      <c r="M108" s="2" t="str">
        <f>IF(A108="","",COUNTIF(Companies!$A$6:$A$55,A108))</f>
        <v/>
      </c>
      <c r="N108" s="2" t="str">
        <f>IF(B108="","",COUNTIF(Counterparties!$A$6:$A$80,B108))</f>
        <v/>
      </c>
      <c r="O108" s="2" t="str">
        <f t="shared" si="1"/>
        <v/>
      </c>
      <c r="P108" s="2" t="str">
        <f t="array" ref="P108">IF(B108="","",IF(N108&lt;&gt;1,"n.a.",INDEX(Counterparties!$C$6:$C$80,MATCH(B108,Counterparties!$A$6:$A$80,0))))</f>
        <v/>
      </c>
      <c r="Q108" s="2" t="str">
        <f t="array" ref="Q108">IF(B108="","",IF(N108&lt;&gt;1,"n.a.",INDEX(Counterparties!$G$6:$G$80,MATCH(B108,Counterparties!$A$6:$A$80,0))))</f>
        <v/>
      </c>
      <c r="R108" s="2">
        <f t="array" ref="R108">IF(A108="",0,IF(M108&lt;&gt;1,0,IF(AND(INDEX(Companies!$R$6:$R$55,MATCH(A108,Companies!$A$6:$A$55,0))=1,INDEX(Companies!$I$6:$I$55,MATCH(A108,Companies!$A$6:$A$55,0))&gt;=MAX(10,Rules!$B$22)),1,0)))</f>
        <v>0</v>
      </c>
      <c r="S108" s="2" t="str">
        <f t="array" ref="S108">IF(B108="","",IF(N108&lt;&gt;1,"Check counterparty ID",INDEX(Counterparties!$N$6:$N$80,MATCH(B108,Counterparties!$A$6:$A$80,0))))</f>
        <v/>
      </c>
      <c r="T108" s="2" t="str">
        <f t="shared" si="2"/>
        <v/>
      </c>
      <c r="U108" s="2">
        <f t="shared" si="3"/>
        <v>0</v>
      </c>
      <c r="V108" s="2">
        <f t="shared" si="4"/>
        <v>0</v>
      </c>
      <c r="W108" s="2">
        <f>IF(COUNTA(A108:L108)=0,0,IF(AND(OR(C108="Client",C108="Partner",C108="Client and partner"),D108&lt;&gt;"",E108="Active",H108&lt;&gt;"",ISNUMBER(I108),ISNUMBER(J108),I108&lt;=J108,J108&lt;=Rules!$B$6,Rules!$B$6-J108&lt;=Rules!$B$42,K108="Yes",OR(F108="",AND(ISNUMBER(F108),F108&lt;=Rules!$B$6)),OR(G108="",AND(ISNUMBER(G108),G108&gt;=Rules!$B$6)),OR(F108="",G108="",G108&gt;=F108)),1,0))</f>
        <v>0</v>
      </c>
    </row>
    <row r="109" ht="21.0" customHeight="1">
      <c r="A109" s="44"/>
      <c r="B109" s="44"/>
      <c r="C109" s="44"/>
      <c r="D109" s="44"/>
      <c r="E109" s="44"/>
      <c r="F109" s="48"/>
      <c r="G109" s="48"/>
      <c r="H109" s="44"/>
      <c r="I109" s="48"/>
      <c r="J109" s="48"/>
      <c r="K109" s="44"/>
      <c r="L109" s="44"/>
      <c r="M109" s="2" t="str">
        <f>IF(A109="","",COUNTIF(Companies!$A$6:$A$55,A109))</f>
        <v/>
      </c>
      <c r="N109" s="2" t="str">
        <f>IF(B109="","",COUNTIF(Counterparties!$A$6:$A$80,B109))</f>
        <v/>
      </c>
      <c r="O109" s="2" t="str">
        <f t="shared" si="1"/>
        <v/>
      </c>
      <c r="P109" s="2" t="str">
        <f t="array" ref="P109">IF(B109="","",IF(N109&lt;&gt;1,"n.a.",INDEX(Counterparties!$C$6:$C$80,MATCH(B109,Counterparties!$A$6:$A$80,0))))</f>
        <v/>
      </c>
      <c r="Q109" s="2" t="str">
        <f t="array" ref="Q109">IF(B109="","",IF(N109&lt;&gt;1,"n.a.",INDEX(Counterparties!$G$6:$G$80,MATCH(B109,Counterparties!$A$6:$A$80,0))))</f>
        <v/>
      </c>
      <c r="R109" s="2">
        <f t="array" ref="R109">IF(A109="",0,IF(M109&lt;&gt;1,0,IF(AND(INDEX(Companies!$R$6:$R$55,MATCH(A109,Companies!$A$6:$A$55,0))=1,INDEX(Companies!$I$6:$I$55,MATCH(A109,Companies!$A$6:$A$55,0))&gt;=MAX(10,Rules!$B$22)),1,0)))</f>
        <v>0</v>
      </c>
      <c r="S109" s="2" t="str">
        <f t="array" ref="S109">IF(B109="","",IF(N109&lt;&gt;1,"Check counterparty ID",INDEX(Counterparties!$N$6:$N$80,MATCH(B109,Counterparties!$A$6:$A$80,0))))</f>
        <v/>
      </c>
      <c r="T109" s="2" t="str">
        <f t="shared" si="2"/>
        <v/>
      </c>
      <c r="U109" s="2">
        <f t="shared" si="3"/>
        <v>0</v>
      </c>
      <c r="V109" s="2">
        <f t="shared" si="4"/>
        <v>0</v>
      </c>
      <c r="W109" s="2">
        <f>IF(COUNTA(A109:L109)=0,0,IF(AND(OR(C109="Client",C109="Partner",C109="Client and partner"),D109&lt;&gt;"",E109="Active",H109&lt;&gt;"",ISNUMBER(I109),ISNUMBER(J109),I109&lt;=J109,J109&lt;=Rules!$B$6,Rules!$B$6-J109&lt;=Rules!$B$42,K109="Yes",OR(F109="",AND(ISNUMBER(F109),F109&lt;=Rules!$B$6)),OR(G109="",AND(ISNUMBER(G109),G109&gt;=Rules!$B$6)),OR(F109="",G109="",G109&gt;=F109)),1,0))</f>
        <v>0</v>
      </c>
    </row>
    <row r="110" ht="21.0" customHeight="1">
      <c r="A110" s="44"/>
      <c r="B110" s="44"/>
      <c r="C110" s="44"/>
      <c r="D110" s="44"/>
      <c r="E110" s="44"/>
      <c r="F110" s="48"/>
      <c r="G110" s="48"/>
      <c r="H110" s="44"/>
      <c r="I110" s="48"/>
      <c r="J110" s="48"/>
      <c r="K110" s="44"/>
      <c r="L110" s="44"/>
      <c r="M110" s="2" t="str">
        <f>IF(A110="","",COUNTIF(Companies!$A$6:$A$55,A110))</f>
        <v/>
      </c>
      <c r="N110" s="2" t="str">
        <f>IF(B110="","",COUNTIF(Counterparties!$A$6:$A$80,B110))</f>
        <v/>
      </c>
      <c r="O110" s="2" t="str">
        <f t="shared" si="1"/>
        <v/>
      </c>
      <c r="P110" s="2" t="str">
        <f t="array" ref="P110">IF(B110="","",IF(N110&lt;&gt;1,"n.a.",INDEX(Counterparties!$C$6:$C$80,MATCH(B110,Counterparties!$A$6:$A$80,0))))</f>
        <v/>
      </c>
      <c r="Q110" s="2" t="str">
        <f t="array" ref="Q110">IF(B110="","",IF(N110&lt;&gt;1,"n.a.",INDEX(Counterparties!$G$6:$G$80,MATCH(B110,Counterparties!$A$6:$A$80,0))))</f>
        <v/>
      </c>
      <c r="R110" s="2">
        <f t="array" ref="R110">IF(A110="",0,IF(M110&lt;&gt;1,0,IF(AND(INDEX(Companies!$R$6:$R$55,MATCH(A110,Companies!$A$6:$A$55,0))=1,INDEX(Companies!$I$6:$I$55,MATCH(A110,Companies!$A$6:$A$55,0))&gt;=MAX(10,Rules!$B$22)),1,0)))</f>
        <v>0</v>
      </c>
      <c r="S110" s="2" t="str">
        <f t="array" ref="S110">IF(B110="","",IF(N110&lt;&gt;1,"Check counterparty ID",INDEX(Counterparties!$N$6:$N$80,MATCH(B110,Counterparties!$A$6:$A$80,0))))</f>
        <v/>
      </c>
      <c r="T110" s="2" t="str">
        <f t="shared" si="2"/>
        <v/>
      </c>
      <c r="U110" s="2">
        <f t="shared" si="3"/>
        <v>0</v>
      </c>
      <c r="V110" s="2">
        <f t="shared" si="4"/>
        <v>0</v>
      </c>
      <c r="W110" s="2">
        <f>IF(COUNTA(A110:L110)=0,0,IF(AND(OR(C110="Client",C110="Partner",C110="Client and partner"),D110&lt;&gt;"",E110="Active",H110&lt;&gt;"",ISNUMBER(I110),ISNUMBER(J110),I110&lt;=J110,J110&lt;=Rules!$B$6,Rules!$B$6-J110&lt;=Rules!$B$42,K110="Yes",OR(F110="",AND(ISNUMBER(F110),F110&lt;=Rules!$B$6)),OR(G110="",AND(ISNUMBER(G110),G110&gt;=Rules!$B$6)),OR(F110="",G110="",G110&gt;=F110)),1,0))</f>
        <v>0</v>
      </c>
    </row>
    <row r="111" ht="21.0" customHeight="1">
      <c r="A111" s="44"/>
      <c r="B111" s="44"/>
      <c r="C111" s="44"/>
      <c r="D111" s="44"/>
      <c r="E111" s="44"/>
      <c r="F111" s="48"/>
      <c r="G111" s="48"/>
      <c r="H111" s="44"/>
      <c r="I111" s="48"/>
      <c r="J111" s="48"/>
      <c r="K111" s="44"/>
      <c r="L111" s="44"/>
      <c r="M111" s="2" t="str">
        <f>IF(A111="","",COUNTIF(Companies!$A$6:$A$55,A111))</f>
        <v/>
      </c>
      <c r="N111" s="2" t="str">
        <f>IF(B111="","",COUNTIF(Counterparties!$A$6:$A$80,B111))</f>
        <v/>
      </c>
      <c r="O111" s="2" t="str">
        <f t="shared" si="1"/>
        <v/>
      </c>
      <c r="P111" s="2" t="str">
        <f t="array" ref="P111">IF(B111="","",IF(N111&lt;&gt;1,"n.a.",INDEX(Counterparties!$C$6:$C$80,MATCH(B111,Counterparties!$A$6:$A$80,0))))</f>
        <v/>
      </c>
      <c r="Q111" s="2" t="str">
        <f t="array" ref="Q111">IF(B111="","",IF(N111&lt;&gt;1,"n.a.",INDEX(Counterparties!$G$6:$G$80,MATCH(B111,Counterparties!$A$6:$A$80,0))))</f>
        <v/>
      </c>
      <c r="R111" s="2">
        <f t="array" ref="R111">IF(A111="",0,IF(M111&lt;&gt;1,0,IF(AND(INDEX(Companies!$R$6:$R$55,MATCH(A111,Companies!$A$6:$A$55,0))=1,INDEX(Companies!$I$6:$I$55,MATCH(A111,Companies!$A$6:$A$55,0))&gt;=MAX(10,Rules!$B$22)),1,0)))</f>
        <v>0</v>
      </c>
      <c r="S111" s="2" t="str">
        <f t="array" ref="S111">IF(B111="","",IF(N111&lt;&gt;1,"Check counterparty ID",INDEX(Counterparties!$N$6:$N$80,MATCH(B111,Counterparties!$A$6:$A$80,0))))</f>
        <v/>
      </c>
      <c r="T111" s="2" t="str">
        <f t="shared" si="2"/>
        <v/>
      </c>
      <c r="U111" s="2">
        <f t="shared" si="3"/>
        <v>0</v>
      </c>
      <c r="V111" s="2">
        <f t="shared" si="4"/>
        <v>0</v>
      </c>
      <c r="W111" s="2">
        <f>IF(COUNTA(A111:L111)=0,0,IF(AND(OR(C111="Client",C111="Partner",C111="Client and partner"),D111&lt;&gt;"",E111="Active",H111&lt;&gt;"",ISNUMBER(I111),ISNUMBER(J111),I111&lt;=J111,J111&lt;=Rules!$B$6,Rules!$B$6-J111&lt;=Rules!$B$42,K111="Yes",OR(F111="",AND(ISNUMBER(F111),F111&lt;=Rules!$B$6)),OR(G111="",AND(ISNUMBER(G111),G111&gt;=Rules!$B$6)),OR(F111="",G111="",G111&gt;=F111)),1,0))</f>
        <v>0</v>
      </c>
    </row>
    <row r="112" ht="21.0" customHeight="1">
      <c r="A112" s="44"/>
      <c r="B112" s="44"/>
      <c r="C112" s="44"/>
      <c r="D112" s="44"/>
      <c r="E112" s="44"/>
      <c r="F112" s="48"/>
      <c r="G112" s="48"/>
      <c r="H112" s="44"/>
      <c r="I112" s="48"/>
      <c r="J112" s="48"/>
      <c r="K112" s="44"/>
      <c r="L112" s="44"/>
      <c r="M112" s="2" t="str">
        <f>IF(A112="","",COUNTIF(Companies!$A$6:$A$55,A112))</f>
        <v/>
      </c>
      <c r="N112" s="2" t="str">
        <f>IF(B112="","",COUNTIF(Counterparties!$A$6:$A$80,B112))</f>
        <v/>
      </c>
      <c r="O112" s="2" t="str">
        <f t="shared" si="1"/>
        <v/>
      </c>
      <c r="P112" s="2" t="str">
        <f t="array" ref="P112">IF(B112="","",IF(N112&lt;&gt;1,"n.a.",INDEX(Counterparties!$C$6:$C$80,MATCH(B112,Counterparties!$A$6:$A$80,0))))</f>
        <v/>
      </c>
      <c r="Q112" s="2" t="str">
        <f t="array" ref="Q112">IF(B112="","",IF(N112&lt;&gt;1,"n.a.",INDEX(Counterparties!$G$6:$G$80,MATCH(B112,Counterparties!$A$6:$A$80,0))))</f>
        <v/>
      </c>
      <c r="R112" s="2">
        <f t="array" ref="R112">IF(A112="",0,IF(M112&lt;&gt;1,0,IF(AND(INDEX(Companies!$R$6:$R$55,MATCH(A112,Companies!$A$6:$A$55,0))=1,INDEX(Companies!$I$6:$I$55,MATCH(A112,Companies!$A$6:$A$55,0))&gt;=MAX(10,Rules!$B$22)),1,0)))</f>
        <v>0</v>
      </c>
      <c r="S112" s="2" t="str">
        <f t="array" ref="S112">IF(B112="","",IF(N112&lt;&gt;1,"Check counterparty ID",INDEX(Counterparties!$N$6:$N$80,MATCH(B112,Counterparties!$A$6:$A$80,0))))</f>
        <v/>
      </c>
      <c r="T112" s="2" t="str">
        <f t="shared" si="2"/>
        <v/>
      </c>
      <c r="U112" s="2">
        <f t="shared" si="3"/>
        <v>0</v>
      </c>
      <c r="V112" s="2">
        <f t="shared" si="4"/>
        <v>0</v>
      </c>
      <c r="W112" s="2">
        <f>IF(COUNTA(A112:L112)=0,0,IF(AND(OR(C112="Client",C112="Partner",C112="Client and partner"),D112&lt;&gt;"",E112="Active",H112&lt;&gt;"",ISNUMBER(I112),ISNUMBER(J112),I112&lt;=J112,J112&lt;=Rules!$B$6,Rules!$B$6-J112&lt;=Rules!$B$42,K112="Yes",OR(F112="",AND(ISNUMBER(F112),F112&lt;=Rules!$B$6)),OR(G112="",AND(ISNUMBER(G112),G112&gt;=Rules!$B$6)),OR(F112="",G112="",G112&gt;=F112)),1,0))</f>
        <v>0</v>
      </c>
    </row>
    <row r="113" ht="21.0" customHeight="1">
      <c r="A113" s="44"/>
      <c r="B113" s="44"/>
      <c r="C113" s="44"/>
      <c r="D113" s="44"/>
      <c r="E113" s="44"/>
      <c r="F113" s="48"/>
      <c r="G113" s="48"/>
      <c r="H113" s="44"/>
      <c r="I113" s="48"/>
      <c r="J113" s="48"/>
      <c r="K113" s="44"/>
      <c r="L113" s="44"/>
      <c r="M113" s="2" t="str">
        <f>IF(A113="","",COUNTIF(Companies!$A$6:$A$55,A113))</f>
        <v/>
      </c>
      <c r="N113" s="2" t="str">
        <f>IF(B113="","",COUNTIF(Counterparties!$A$6:$A$80,B113))</f>
        <v/>
      </c>
      <c r="O113" s="2" t="str">
        <f t="shared" si="1"/>
        <v/>
      </c>
      <c r="P113" s="2" t="str">
        <f t="array" ref="P113">IF(B113="","",IF(N113&lt;&gt;1,"n.a.",INDEX(Counterparties!$C$6:$C$80,MATCH(B113,Counterparties!$A$6:$A$80,0))))</f>
        <v/>
      </c>
      <c r="Q113" s="2" t="str">
        <f t="array" ref="Q113">IF(B113="","",IF(N113&lt;&gt;1,"n.a.",INDEX(Counterparties!$G$6:$G$80,MATCH(B113,Counterparties!$A$6:$A$80,0))))</f>
        <v/>
      </c>
      <c r="R113" s="2">
        <f t="array" ref="R113">IF(A113="",0,IF(M113&lt;&gt;1,0,IF(AND(INDEX(Companies!$R$6:$R$55,MATCH(A113,Companies!$A$6:$A$55,0))=1,INDEX(Companies!$I$6:$I$55,MATCH(A113,Companies!$A$6:$A$55,0))&gt;=MAX(10,Rules!$B$22)),1,0)))</f>
        <v>0</v>
      </c>
      <c r="S113" s="2" t="str">
        <f t="array" ref="S113">IF(B113="","",IF(N113&lt;&gt;1,"Check counterparty ID",INDEX(Counterparties!$N$6:$N$80,MATCH(B113,Counterparties!$A$6:$A$80,0))))</f>
        <v/>
      </c>
      <c r="T113" s="2" t="str">
        <f t="shared" si="2"/>
        <v/>
      </c>
      <c r="U113" s="2">
        <f t="shared" si="3"/>
        <v>0</v>
      </c>
      <c r="V113" s="2">
        <f t="shared" si="4"/>
        <v>0</v>
      </c>
      <c r="W113" s="2">
        <f>IF(COUNTA(A113:L113)=0,0,IF(AND(OR(C113="Client",C113="Partner",C113="Client and partner"),D113&lt;&gt;"",E113="Active",H113&lt;&gt;"",ISNUMBER(I113),ISNUMBER(J113),I113&lt;=J113,J113&lt;=Rules!$B$6,Rules!$B$6-J113&lt;=Rules!$B$42,K113="Yes",OR(F113="",AND(ISNUMBER(F113),F113&lt;=Rules!$B$6)),OR(G113="",AND(ISNUMBER(G113),G113&gt;=Rules!$B$6)),OR(F113="",G113="",G113&gt;=F113)),1,0))</f>
        <v>0</v>
      </c>
    </row>
    <row r="114" ht="21.0" customHeight="1">
      <c r="A114" s="44"/>
      <c r="B114" s="44"/>
      <c r="C114" s="44"/>
      <c r="D114" s="44"/>
      <c r="E114" s="44"/>
      <c r="F114" s="48"/>
      <c r="G114" s="48"/>
      <c r="H114" s="44"/>
      <c r="I114" s="48"/>
      <c r="J114" s="48"/>
      <c r="K114" s="44"/>
      <c r="L114" s="44"/>
      <c r="M114" s="2" t="str">
        <f>IF(A114="","",COUNTIF(Companies!$A$6:$A$55,A114))</f>
        <v/>
      </c>
      <c r="N114" s="2" t="str">
        <f>IF(B114="","",COUNTIF(Counterparties!$A$6:$A$80,B114))</f>
        <v/>
      </c>
      <c r="O114" s="2" t="str">
        <f t="shared" si="1"/>
        <v/>
      </c>
      <c r="P114" s="2" t="str">
        <f t="array" ref="P114">IF(B114="","",IF(N114&lt;&gt;1,"n.a.",INDEX(Counterparties!$C$6:$C$80,MATCH(B114,Counterparties!$A$6:$A$80,0))))</f>
        <v/>
      </c>
      <c r="Q114" s="2" t="str">
        <f t="array" ref="Q114">IF(B114="","",IF(N114&lt;&gt;1,"n.a.",INDEX(Counterparties!$G$6:$G$80,MATCH(B114,Counterparties!$A$6:$A$80,0))))</f>
        <v/>
      </c>
      <c r="R114" s="2">
        <f t="array" ref="R114">IF(A114="",0,IF(M114&lt;&gt;1,0,IF(AND(INDEX(Companies!$R$6:$R$55,MATCH(A114,Companies!$A$6:$A$55,0))=1,INDEX(Companies!$I$6:$I$55,MATCH(A114,Companies!$A$6:$A$55,0))&gt;=MAX(10,Rules!$B$22)),1,0)))</f>
        <v>0</v>
      </c>
      <c r="S114" s="2" t="str">
        <f t="array" ref="S114">IF(B114="","",IF(N114&lt;&gt;1,"Check counterparty ID",INDEX(Counterparties!$N$6:$N$80,MATCH(B114,Counterparties!$A$6:$A$80,0))))</f>
        <v/>
      </c>
      <c r="T114" s="2" t="str">
        <f t="shared" si="2"/>
        <v/>
      </c>
      <c r="U114" s="2">
        <f t="shared" si="3"/>
        <v>0</v>
      </c>
      <c r="V114" s="2">
        <f t="shared" si="4"/>
        <v>0</v>
      </c>
      <c r="W114" s="2">
        <f>IF(COUNTA(A114:L114)=0,0,IF(AND(OR(C114="Client",C114="Partner",C114="Client and partner"),D114&lt;&gt;"",E114="Active",H114&lt;&gt;"",ISNUMBER(I114),ISNUMBER(J114),I114&lt;=J114,J114&lt;=Rules!$B$6,Rules!$B$6-J114&lt;=Rules!$B$42,K114="Yes",OR(F114="",AND(ISNUMBER(F114),F114&lt;=Rules!$B$6)),OR(G114="",AND(ISNUMBER(G114),G114&gt;=Rules!$B$6)),OR(F114="",G114="",G114&gt;=F114)),1,0))</f>
        <v>0</v>
      </c>
    </row>
    <row r="115" ht="21.0" customHeight="1">
      <c r="A115" s="44"/>
      <c r="B115" s="44"/>
      <c r="C115" s="44"/>
      <c r="D115" s="44"/>
      <c r="E115" s="44"/>
      <c r="F115" s="48"/>
      <c r="G115" s="48"/>
      <c r="H115" s="44"/>
      <c r="I115" s="48"/>
      <c r="J115" s="48"/>
      <c r="K115" s="44"/>
      <c r="L115" s="44"/>
      <c r="M115" s="2" t="str">
        <f>IF(A115="","",COUNTIF(Companies!$A$6:$A$55,A115))</f>
        <v/>
      </c>
      <c r="N115" s="2" t="str">
        <f>IF(B115="","",COUNTIF(Counterparties!$A$6:$A$80,B115))</f>
        <v/>
      </c>
      <c r="O115" s="2" t="str">
        <f t="shared" si="1"/>
        <v/>
      </c>
      <c r="P115" s="2" t="str">
        <f t="array" ref="P115">IF(B115="","",IF(N115&lt;&gt;1,"n.a.",INDEX(Counterparties!$C$6:$C$80,MATCH(B115,Counterparties!$A$6:$A$80,0))))</f>
        <v/>
      </c>
      <c r="Q115" s="2" t="str">
        <f t="array" ref="Q115">IF(B115="","",IF(N115&lt;&gt;1,"n.a.",INDEX(Counterparties!$G$6:$G$80,MATCH(B115,Counterparties!$A$6:$A$80,0))))</f>
        <v/>
      </c>
      <c r="R115" s="2">
        <f t="array" ref="R115">IF(A115="",0,IF(M115&lt;&gt;1,0,IF(AND(INDEX(Companies!$R$6:$R$55,MATCH(A115,Companies!$A$6:$A$55,0))=1,INDEX(Companies!$I$6:$I$55,MATCH(A115,Companies!$A$6:$A$55,0))&gt;=MAX(10,Rules!$B$22)),1,0)))</f>
        <v>0</v>
      </c>
      <c r="S115" s="2" t="str">
        <f t="array" ref="S115">IF(B115="","",IF(N115&lt;&gt;1,"Check counterparty ID",INDEX(Counterparties!$N$6:$N$80,MATCH(B115,Counterparties!$A$6:$A$80,0))))</f>
        <v/>
      </c>
      <c r="T115" s="2" t="str">
        <f t="shared" si="2"/>
        <v/>
      </c>
      <c r="U115" s="2">
        <f t="shared" si="3"/>
        <v>0</v>
      </c>
      <c r="V115" s="2">
        <f t="shared" si="4"/>
        <v>0</v>
      </c>
      <c r="W115" s="2">
        <f>IF(COUNTA(A115:L115)=0,0,IF(AND(OR(C115="Client",C115="Partner",C115="Client and partner"),D115&lt;&gt;"",E115="Active",H115&lt;&gt;"",ISNUMBER(I115),ISNUMBER(J115),I115&lt;=J115,J115&lt;=Rules!$B$6,Rules!$B$6-J115&lt;=Rules!$B$42,K115="Yes",OR(F115="",AND(ISNUMBER(F115),F115&lt;=Rules!$B$6)),OR(G115="",AND(ISNUMBER(G115),G115&gt;=Rules!$B$6)),OR(F115="",G115="",G115&gt;=F115)),1,0))</f>
        <v>0</v>
      </c>
    </row>
    <row r="116" ht="21.0" customHeight="1">
      <c r="A116" s="44"/>
      <c r="B116" s="44"/>
      <c r="C116" s="44"/>
      <c r="D116" s="44"/>
      <c r="E116" s="44"/>
      <c r="F116" s="48"/>
      <c r="G116" s="48"/>
      <c r="H116" s="44"/>
      <c r="I116" s="48"/>
      <c r="J116" s="48"/>
      <c r="K116" s="44"/>
      <c r="L116" s="44"/>
      <c r="M116" s="2" t="str">
        <f>IF(A116="","",COUNTIF(Companies!$A$6:$A$55,A116))</f>
        <v/>
      </c>
      <c r="N116" s="2" t="str">
        <f>IF(B116="","",COUNTIF(Counterparties!$A$6:$A$80,B116))</f>
        <v/>
      </c>
      <c r="O116" s="2" t="str">
        <f t="shared" si="1"/>
        <v/>
      </c>
      <c r="P116" s="2" t="str">
        <f t="array" ref="P116">IF(B116="","",IF(N116&lt;&gt;1,"n.a.",INDEX(Counterparties!$C$6:$C$80,MATCH(B116,Counterparties!$A$6:$A$80,0))))</f>
        <v/>
      </c>
      <c r="Q116" s="2" t="str">
        <f t="array" ref="Q116">IF(B116="","",IF(N116&lt;&gt;1,"n.a.",INDEX(Counterparties!$G$6:$G$80,MATCH(B116,Counterparties!$A$6:$A$80,0))))</f>
        <v/>
      </c>
      <c r="R116" s="2">
        <f t="array" ref="R116">IF(A116="",0,IF(M116&lt;&gt;1,0,IF(AND(INDEX(Companies!$R$6:$R$55,MATCH(A116,Companies!$A$6:$A$55,0))=1,INDEX(Companies!$I$6:$I$55,MATCH(A116,Companies!$A$6:$A$55,0))&gt;=MAX(10,Rules!$B$22)),1,0)))</f>
        <v>0</v>
      </c>
      <c r="S116" s="2" t="str">
        <f t="array" ref="S116">IF(B116="","",IF(N116&lt;&gt;1,"Check counterparty ID",INDEX(Counterparties!$N$6:$N$80,MATCH(B116,Counterparties!$A$6:$A$80,0))))</f>
        <v/>
      </c>
      <c r="T116" s="2" t="str">
        <f t="shared" si="2"/>
        <v/>
      </c>
      <c r="U116" s="2">
        <f t="shared" si="3"/>
        <v>0</v>
      </c>
      <c r="V116" s="2">
        <f t="shared" si="4"/>
        <v>0</v>
      </c>
      <c r="W116" s="2">
        <f>IF(COUNTA(A116:L116)=0,0,IF(AND(OR(C116="Client",C116="Partner",C116="Client and partner"),D116&lt;&gt;"",E116="Active",H116&lt;&gt;"",ISNUMBER(I116),ISNUMBER(J116),I116&lt;=J116,J116&lt;=Rules!$B$6,Rules!$B$6-J116&lt;=Rules!$B$42,K116="Yes",OR(F116="",AND(ISNUMBER(F116),F116&lt;=Rules!$B$6)),OR(G116="",AND(ISNUMBER(G116),G116&gt;=Rules!$B$6)),OR(F116="",G116="",G116&gt;=F116)),1,0))</f>
        <v>0</v>
      </c>
    </row>
    <row r="117" ht="21.0" customHeight="1">
      <c r="A117" s="44"/>
      <c r="B117" s="44"/>
      <c r="C117" s="44"/>
      <c r="D117" s="44"/>
      <c r="E117" s="44"/>
      <c r="F117" s="48"/>
      <c r="G117" s="48"/>
      <c r="H117" s="44"/>
      <c r="I117" s="48"/>
      <c r="J117" s="48"/>
      <c r="K117" s="44"/>
      <c r="L117" s="44"/>
      <c r="M117" s="2" t="str">
        <f>IF(A117="","",COUNTIF(Companies!$A$6:$A$55,A117))</f>
        <v/>
      </c>
      <c r="N117" s="2" t="str">
        <f>IF(B117="","",COUNTIF(Counterparties!$A$6:$A$80,B117))</f>
        <v/>
      </c>
      <c r="O117" s="2" t="str">
        <f t="shared" si="1"/>
        <v/>
      </c>
      <c r="P117" s="2" t="str">
        <f t="array" ref="P117">IF(B117="","",IF(N117&lt;&gt;1,"n.a.",INDEX(Counterparties!$C$6:$C$80,MATCH(B117,Counterparties!$A$6:$A$80,0))))</f>
        <v/>
      </c>
      <c r="Q117" s="2" t="str">
        <f t="array" ref="Q117">IF(B117="","",IF(N117&lt;&gt;1,"n.a.",INDEX(Counterparties!$G$6:$G$80,MATCH(B117,Counterparties!$A$6:$A$80,0))))</f>
        <v/>
      </c>
      <c r="R117" s="2">
        <f t="array" ref="R117">IF(A117="",0,IF(M117&lt;&gt;1,0,IF(AND(INDEX(Companies!$R$6:$R$55,MATCH(A117,Companies!$A$6:$A$55,0))=1,INDEX(Companies!$I$6:$I$55,MATCH(A117,Companies!$A$6:$A$55,0))&gt;=MAX(10,Rules!$B$22)),1,0)))</f>
        <v>0</v>
      </c>
      <c r="S117" s="2" t="str">
        <f t="array" ref="S117">IF(B117="","",IF(N117&lt;&gt;1,"Check counterparty ID",INDEX(Counterparties!$N$6:$N$80,MATCH(B117,Counterparties!$A$6:$A$80,0))))</f>
        <v/>
      </c>
      <c r="T117" s="2" t="str">
        <f t="shared" si="2"/>
        <v/>
      </c>
      <c r="U117" s="2">
        <f t="shared" si="3"/>
        <v>0</v>
      </c>
      <c r="V117" s="2">
        <f t="shared" si="4"/>
        <v>0</v>
      </c>
      <c r="W117" s="2">
        <f>IF(COUNTA(A117:L117)=0,0,IF(AND(OR(C117="Client",C117="Partner",C117="Client and partner"),D117&lt;&gt;"",E117="Active",H117&lt;&gt;"",ISNUMBER(I117),ISNUMBER(J117),I117&lt;=J117,J117&lt;=Rules!$B$6,Rules!$B$6-J117&lt;=Rules!$B$42,K117="Yes",OR(F117="",AND(ISNUMBER(F117),F117&lt;=Rules!$B$6)),OR(G117="",AND(ISNUMBER(G117),G117&gt;=Rules!$B$6)),OR(F117="",G117="",G117&gt;=F117)),1,0))</f>
        <v>0</v>
      </c>
    </row>
    <row r="118" ht="21.0" customHeight="1">
      <c r="A118" s="44"/>
      <c r="B118" s="44"/>
      <c r="C118" s="44"/>
      <c r="D118" s="44"/>
      <c r="E118" s="44"/>
      <c r="F118" s="48"/>
      <c r="G118" s="48"/>
      <c r="H118" s="44"/>
      <c r="I118" s="48"/>
      <c r="J118" s="48"/>
      <c r="K118" s="44"/>
      <c r="L118" s="44"/>
      <c r="M118" s="2" t="str">
        <f>IF(A118="","",COUNTIF(Companies!$A$6:$A$55,A118))</f>
        <v/>
      </c>
      <c r="N118" s="2" t="str">
        <f>IF(B118="","",COUNTIF(Counterparties!$A$6:$A$80,B118))</f>
        <v/>
      </c>
      <c r="O118" s="2" t="str">
        <f t="shared" si="1"/>
        <v/>
      </c>
      <c r="P118" s="2" t="str">
        <f t="array" ref="P118">IF(B118="","",IF(N118&lt;&gt;1,"n.a.",INDEX(Counterparties!$C$6:$C$80,MATCH(B118,Counterparties!$A$6:$A$80,0))))</f>
        <v/>
      </c>
      <c r="Q118" s="2" t="str">
        <f t="array" ref="Q118">IF(B118="","",IF(N118&lt;&gt;1,"n.a.",INDEX(Counterparties!$G$6:$G$80,MATCH(B118,Counterparties!$A$6:$A$80,0))))</f>
        <v/>
      </c>
      <c r="R118" s="2">
        <f t="array" ref="R118">IF(A118="",0,IF(M118&lt;&gt;1,0,IF(AND(INDEX(Companies!$R$6:$R$55,MATCH(A118,Companies!$A$6:$A$55,0))=1,INDEX(Companies!$I$6:$I$55,MATCH(A118,Companies!$A$6:$A$55,0))&gt;=MAX(10,Rules!$B$22)),1,0)))</f>
        <v>0</v>
      </c>
      <c r="S118" s="2" t="str">
        <f t="array" ref="S118">IF(B118="","",IF(N118&lt;&gt;1,"Check counterparty ID",INDEX(Counterparties!$N$6:$N$80,MATCH(B118,Counterparties!$A$6:$A$80,0))))</f>
        <v/>
      </c>
      <c r="T118" s="2" t="str">
        <f t="shared" si="2"/>
        <v/>
      </c>
      <c r="U118" s="2">
        <f t="shared" si="3"/>
        <v>0</v>
      </c>
      <c r="V118" s="2">
        <f t="shared" si="4"/>
        <v>0</v>
      </c>
      <c r="W118" s="2">
        <f>IF(COUNTA(A118:L118)=0,0,IF(AND(OR(C118="Client",C118="Partner",C118="Client and partner"),D118&lt;&gt;"",E118="Active",H118&lt;&gt;"",ISNUMBER(I118),ISNUMBER(J118),I118&lt;=J118,J118&lt;=Rules!$B$6,Rules!$B$6-J118&lt;=Rules!$B$42,K118="Yes",OR(F118="",AND(ISNUMBER(F118),F118&lt;=Rules!$B$6)),OR(G118="",AND(ISNUMBER(G118),G118&gt;=Rules!$B$6)),OR(F118="",G118="",G118&gt;=F118)),1,0))</f>
        <v>0</v>
      </c>
    </row>
    <row r="119" ht="21.0" customHeight="1">
      <c r="A119" s="44"/>
      <c r="B119" s="44"/>
      <c r="C119" s="44"/>
      <c r="D119" s="44"/>
      <c r="E119" s="44"/>
      <c r="F119" s="48"/>
      <c r="G119" s="48"/>
      <c r="H119" s="44"/>
      <c r="I119" s="48"/>
      <c r="J119" s="48"/>
      <c r="K119" s="44"/>
      <c r="L119" s="44"/>
      <c r="M119" s="2" t="str">
        <f>IF(A119="","",COUNTIF(Companies!$A$6:$A$55,A119))</f>
        <v/>
      </c>
      <c r="N119" s="2" t="str">
        <f>IF(B119="","",COUNTIF(Counterparties!$A$6:$A$80,B119))</f>
        <v/>
      </c>
      <c r="O119" s="2" t="str">
        <f t="shared" si="1"/>
        <v/>
      </c>
      <c r="P119" s="2" t="str">
        <f t="array" ref="P119">IF(B119="","",IF(N119&lt;&gt;1,"n.a.",INDEX(Counterparties!$C$6:$C$80,MATCH(B119,Counterparties!$A$6:$A$80,0))))</f>
        <v/>
      </c>
      <c r="Q119" s="2" t="str">
        <f t="array" ref="Q119">IF(B119="","",IF(N119&lt;&gt;1,"n.a.",INDEX(Counterparties!$G$6:$G$80,MATCH(B119,Counterparties!$A$6:$A$80,0))))</f>
        <v/>
      </c>
      <c r="R119" s="2">
        <f t="array" ref="R119">IF(A119="",0,IF(M119&lt;&gt;1,0,IF(AND(INDEX(Companies!$R$6:$R$55,MATCH(A119,Companies!$A$6:$A$55,0))=1,INDEX(Companies!$I$6:$I$55,MATCH(A119,Companies!$A$6:$A$55,0))&gt;=MAX(10,Rules!$B$22)),1,0)))</f>
        <v>0</v>
      </c>
      <c r="S119" s="2" t="str">
        <f t="array" ref="S119">IF(B119="","",IF(N119&lt;&gt;1,"Check counterparty ID",INDEX(Counterparties!$N$6:$N$80,MATCH(B119,Counterparties!$A$6:$A$80,0))))</f>
        <v/>
      </c>
      <c r="T119" s="2" t="str">
        <f t="shared" si="2"/>
        <v/>
      </c>
      <c r="U119" s="2">
        <f t="shared" si="3"/>
        <v>0</v>
      </c>
      <c r="V119" s="2">
        <f t="shared" si="4"/>
        <v>0</v>
      </c>
      <c r="W119" s="2">
        <f>IF(COUNTA(A119:L119)=0,0,IF(AND(OR(C119="Client",C119="Partner",C119="Client and partner"),D119&lt;&gt;"",E119="Active",H119&lt;&gt;"",ISNUMBER(I119),ISNUMBER(J119),I119&lt;=J119,J119&lt;=Rules!$B$6,Rules!$B$6-J119&lt;=Rules!$B$42,K119="Yes",OR(F119="",AND(ISNUMBER(F119),F119&lt;=Rules!$B$6)),OR(G119="",AND(ISNUMBER(G119),G119&gt;=Rules!$B$6)),OR(F119="",G119="",G119&gt;=F119)),1,0))</f>
        <v>0</v>
      </c>
    </row>
    <row r="120" ht="21.0" customHeight="1">
      <c r="A120" s="44"/>
      <c r="B120" s="44"/>
      <c r="C120" s="44"/>
      <c r="D120" s="44"/>
      <c r="E120" s="44"/>
      <c r="F120" s="48"/>
      <c r="G120" s="48"/>
      <c r="H120" s="44"/>
      <c r="I120" s="48"/>
      <c r="J120" s="48"/>
      <c r="K120" s="44"/>
      <c r="L120" s="44"/>
      <c r="M120" s="2" t="str">
        <f>IF(A120="","",COUNTIF(Companies!$A$6:$A$55,A120))</f>
        <v/>
      </c>
      <c r="N120" s="2" t="str">
        <f>IF(B120="","",COUNTIF(Counterparties!$A$6:$A$80,B120))</f>
        <v/>
      </c>
      <c r="O120" s="2" t="str">
        <f t="shared" si="1"/>
        <v/>
      </c>
      <c r="P120" s="2" t="str">
        <f t="array" ref="P120">IF(B120="","",IF(N120&lt;&gt;1,"n.a.",INDEX(Counterparties!$C$6:$C$80,MATCH(B120,Counterparties!$A$6:$A$80,0))))</f>
        <v/>
      </c>
      <c r="Q120" s="2" t="str">
        <f t="array" ref="Q120">IF(B120="","",IF(N120&lt;&gt;1,"n.a.",INDEX(Counterparties!$G$6:$G$80,MATCH(B120,Counterparties!$A$6:$A$80,0))))</f>
        <v/>
      </c>
      <c r="R120" s="2">
        <f t="array" ref="R120">IF(A120="",0,IF(M120&lt;&gt;1,0,IF(AND(INDEX(Companies!$R$6:$R$55,MATCH(A120,Companies!$A$6:$A$55,0))=1,INDEX(Companies!$I$6:$I$55,MATCH(A120,Companies!$A$6:$A$55,0))&gt;=MAX(10,Rules!$B$22)),1,0)))</f>
        <v>0</v>
      </c>
      <c r="S120" s="2" t="str">
        <f t="array" ref="S120">IF(B120="","",IF(N120&lt;&gt;1,"Check counterparty ID",INDEX(Counterparties!$N$6:$N$80,MATCH(B120,Counterparties!$A$6:$A$80,0))))</f>
        <v/>
      </c>
      <c r="T120" s="2" t="str">
        <f t="shared" si="2"/>
        <v/>
      </c>
      <c r="U120" s="2">
        <f t="shared" si="3"/>
        <v>0</v>
      </c>
      <c r="V120" s="2">
        <f t="shared" si="4"/>
        <v>0</v>
      </c>
      <c r="W120" s="2">
        <f>IF(COUNTA(A120:L120)=0,0,IF(AND(OR(C120="Client",C120="Partner",C120="Client and partner"),D120&lt;&gt;"",E120="Active",H120&lt;&gt;"",ISNUMBER(I120),ISNUMBER(J120),I120&lt;=J120,J120&lt;=Rules!$B$6,Rules!$B$6-J120&lt;=Rules!$B$42,K120="Yes",OR(F120="",AND(ISNUMBER(F120),F120&lt;=Rules!$B$6)),OR(G120="",AND(ISNUMBER(G120),G120&gt;=Rules!$B$6)),OR(F120="",G120="",G120&gt;=F120)),1,0))</f>
        <v>0</v>
      </c>
    </row>
    <row r="121" ht="21.0" customHeight="1">
      <c r="A121" s="44"/>
      <c r="B121" s="44"/>
      <c r="C121" s="44"/>
      <c r="D121" s="44"/>
      <c r="E121" s="44"/>
      <c r="F121" s="48"/>
      <c r="G121" s="48"/>
      <c r="H121" s="44"/>
      <c r="I121" s="48"/>
      <c r="J121" s="48"/>
      <c r="K121" s="44"/>
      <c r="L121" s="44"/>
      <c r="M121" s="2" t="str">
        <f>IF(A121="","",COUNTIF(Companies!$A$6:$A$55,A121))</f>
        <v/>
      </c>
      <c r="N121" s="2" t="str">
        <f>IF(B121="","",COUNTIF(Counterparties!$A$6:$A$80,B121))</f>
        <v/>
      </c>
      <c r="O121" s="2" t="str">
        <f t="shared" si="1"/>
        <v/>
      </c>
      <c r="P121" s="2" t="str">
        <f t="array" ref="P121">IF(B121="","",IF(N121&lt;&gt;1,"n.a.",INDEX(Counterparties!$C$6:$C$80,MATCH(B121,Counterparties!$A$6:$A$80,0))))</f>
        <v/>
      </c>
      <c r="Q121" s="2" t="str">
        <f t="array" ref="Q121">IF(B121="","",IF(N121&lt;&gt;1,"n.a.",INDEX(Counterparties!$G$6:$G$80,MATCH(B121,Counterparties!$A$6:$A$80,0))))</f>
        <v/>
      </c>
      <c r="R121" s="2">
        <f t="array" ref="R121">IF(A121="",0,IF(M121&lt;&gt;1,0,IF(AND(INDEX(Companies!$R$6:$R$55,MATCH(A121,Companies!$A$6:$A$55,0))=1,INDEX(Companies!$I$6:$I$55,MATCH(A121,Companies!$A$6:$A$55,0))&gt;=MAX(10,Rules!$B$22)),1,0)))</f>
        <v>0</v>
      </c>
      <c r="S121" s="2" t="str">
        <f t="array" ref="S121">IF(B121="","",IF(N121&lt;&gt;1,"Check counterparty ID",INDEX(Counterparties!$N$6:$N$80,MATCH(B121,Counterparties!$A$6:$A$80,0))))</f>
        <v/>
      </c>
      <c r="T121" s="2" t="str">
        <f t="shared" si="2"/>
        <v/>
      </c>
      <c r="U121" s="2">
        <f t="shared" si="3"/>
        <v>0</v>
      </c>
      <c r="V121" s="2">
        <f t="shared" si="4"/>
        <v>0</v>
      </c>
      <c r="W121" s="2">
        <f>IF(COUNTA(A121:L121)=0,0,IF(AND(OR(C121="Client",C121="Partner",C121="Client and partner"),D121&lt;&gt;"",E121="Active",H121&lt;&gt;"",ISNUMBER(I121),ISNUMBER(J121),I121&lt;=J121,J121&lt;=Rules!$B$6,Rules!$B$6-J121&lt;=Rules!$B$42,K121="Yes",OR(F121="",AND(ISNUMBER(F121),F121&lt;=Rules!$B$6)),OR(G121="",AND(ISNUMBER(G121),G121&gt;=Rules!$B$6)),OR(F121="",G121="",G121&gt;=F121)),1,0))</f>
        <v>0</v>
      </c>
    </row>
    <row r="122" ht="21.0" customHeight="1">
      <c r="A122" s="44"/>
      <c r="B122" s="44"/>
      <c r="C122" s="44"/>
      <c r="D122" s="44"/>
      <c r="E122" s="44"/>
      <c r="F122" s="48"/>
      <c r="G122" s="48"/>
      <c r="H122" s="44"/>
      <c r="I122" s="48"/>
      <c r="J122" s="48"/>
      <c r="K122" s="44"/>
      <c r="L122" s="44"/>
      <c r="M122" s="2" t="str">
        <f>IF(A122="","",COUNTIF(Companies!$A$6:$A$55,A122))</f>
        <v/>
      </c>
      <c r="N122" s="2" t="str">
        <f>IF(B122="","",COUNTIF(Counterparties!$A$6:$A$80,B122))</f>
        <v/>
      </c>
      <c r="O122" s="2" t="str">
        <f t="shared" si="1"/>
        <v/>
      </c>
      <c r="P122" s="2" t="str">
        <f t="array" ref="P122">IF(B122="","",IF(N122&lt;&gt;1,"n.a.",INDEX(Counterparties!$C$6:$C$80,MATCH(B122,Counterparties!$A$6:$A$80,0))))</f>
        <v/>
      </c>
      <c r="Q122" s="2" t="str">
        <f t="array" ref="Q122">IF(B122="","",IF(N122&lt;&gt;1,"n.a.",INDEX(Counterparties!$G$6:$G$80,MATCH(B122,Counterparties!$A$6:$A$80,0))))</f>
        <v/>
      </c>
      <c r="R122" s="2">
        <f t="array" ref="R122">IF(A122="",0,IF(M122&lt;&gt;1,0,IF(AND(INDEX(Companies!$R$6:$R$55,MATCH(A122,Companies!$A$6:$A$55,0))=1,INDEX(Companies!$I$6:$I$55,MATCH(A122,Companies!$A$6:$A$55,0))&gt;=MAX(10,Rules!$B$22)),1,0)))</f>
        <v>0</v>
      </c>
      <c r="S122" s="2" t="str">
        <f t="array" ref="S122">IF(B122="","",IF(N122&lt;&gt;1,"Check counterparty ID",INDEX(Counterparties!$N$6:$N$80,MATCH(B122,Counterparties!$A$6:$A$80,0))))</f>
        <v/>
      </c>
      <c r="T122" s="2" t="str">
        <f t="shared" si="2"/>
        <v/>
      </c>
      <c r="U122" s="2">
        <f t="shared" si="3"/>
        <v>0</v>
      </c>
      <c r="V122" s="2">
        <f t="shared" si="4"/>
        <v>0</v>
      </c>
      <c r="W122" s="2">
        <f>IF(COUNTA(A122:L122)=0,0,IF(AND(OR(C122="Client",C122="Partner",C122="Client and partner"),D122&lt;&gt;"",E122="Active",H122&lt;&gt;"",ISNUMBER(I122),ISNUMBER(J122),I122&lt;=J122,J122&lt;=Rules!$B$6,Rules!$B$6-J122&lt;=Rules!$B$42,K122="Yes",OR(F122="",AND(ISNUMBER(F122),F122&lt;=Rules!$B$6)),OR(G122="",AND(ISNUMBER(G122),G122&gt;=Rules!$B$6)),OR(F122="",G122="",G122&gt;=F122)),1,0))</f>
        <v>0</v>
      </c>
    </row>
    <row r="123" ht="21.0" customHeight="1">
      <c r="A123" s="44"/>
      <c r="B123" s="44"/>
      <c r="C123" s="44"/>
      <c r="D123" s="44"/>
      <c r="E123" s="44"/>
      <c r="F123" s="48"/>
      <c r="G123" s="48"/>
      <c r="H123" s="44"/>
      <c r="I123" s="48"/>
      <c r="J123" s="48"/>
      <c r="K123" s="44"/>
      <c r="L123" s="44"/>
      <c r="M123" s="2" t="str">
        <f>IF(A123="","",COUNTIF(Companies!$A$6:$A$55,A123))</f>
        <v/>
      </c>
      <c r="N123" s="2" t="str">
        <f>IF(B123="","",COUNTIF(Counterparties!$A$6:$A$80,B123))</f>
        <v/>
      </c>
      <c r="O123" s="2" t="str">
        <f t="shared" si="1"/>
        <v/>
      </c>
      <c r="P123" s="2" t="str">
        <f t="array" ref="P123">IF(B123="","",IF(N123&lt;&gt;1,"n.a.",INDEX(Counterparties!$C$6:$C$80,MATCH(B123,Counterparties!$A$6:$A$80,0))))</f>
        <v/>
      </c>
      <c r="Q123" s="2" t="str">
        <f t="array" ref="Q123">IF(B123="","",IF(N123&lt;&gt;1,"n.a.",INDEX(Counterparties!$G$6:$G$80,MATCH(B123,Counterparties!$A$6:$A$80,0))))</f>
        <v/>
      </c>
      <c r="R123" s="2">
        <f t="array" ref="R123">IF(A123="",0,IF(M123&lt;&gt;1,0,IF(AND(INDEX(Companies!$R$6:$R$55,MATCH(A123,Companies!$A$6:$A$55,0))=1,INDEX(Companies!$I$6:$I$55,MATCH(A123,Companies!$A$6:$A$55,0))&gt;=MAX(10,Rules!$B$22)),1,0)))</f>
        <v>0</v>
      </c>
      <c r="S123" s="2" t="str">
        <f t="array" ref="S123">IF(B123="","",IF(N123&lt;&gt;1,"Check counterparty ID",INDEX(Counterparties!$N$6:$N$80,MATCH(B123,Counterparties!$A$6:$A$80,0))))</f>
        <v/>
      </c>
      <c r="T123" s="2" t="str">
        <f t="shared" si="2"/>
        <v/>
      </c>
      <c r="U123" s="2">
        <f t="shared" si="3"/>
        <v>0</v>
      </c>
      <c r="V123" s="2">
        <f t="shared" si="4"/>
        <v>0</v>
      </c>
      <c r="W123" s="2">
        <f>IF(COUNTA(A123:L123)=0,0,IF(AND(OR(C123="Client",C123="Partner",C123="Client and partner"),D123&lt;&gt;"",E123="Active",H123&lt;&gt;"",ISNUMBER(I123),ISNUMBER(J123),I123&lt;=J123,J123&lt;=Rules!$B$6,Rules!$B$6-J123&lt;=Rules!$B$42,K123="Yes",OR(F123="",AND(ISNUMBER(F123),F123&lt;=Rules!$B$6)),OR(G123="",AND(ISNUMBER(G123),G123&gt;=Rules!$B$6)),OR(F123="",G123="",G123&gt;=F123)),1,0))</f>
        <v>0</v>
      </c>
    </row>
    <row r="124" ht="21.0" customHeight="1">
      <c r="A124" s="44"/>
      <c r="B124" s="44"/>
      <c r="C124" s="44"/>
      <c r="D124" s="44"/>
      <c r="E124" s="44"/>
      <c r="F124" s="48"/>
      <c r="G124" s="48"/>
      <c r="H124" s="44"/>
      <c r="I124" s="48"/>
      <c r="J124" s="48"/>
      <c r="K124" s="44"/>
      <c r="L124" s="44"/>
      <c r="M124" s="2" t="str">
        <f>IF(A124="","",COUNTIF(Companies!$A$6:$A$55,A124))</f>
        <v/>
      </c>
      <c r="N124" s="2" t="str">
        <f>IF(B124="","",COUNTIF(Counterparties!$A$6:$A$80,B124))</f>
        <v/>
      </c>
      <c r="O124" s="2" t="str">
        <f t="shared" si="1"/>
        <v/>
      </c>
      <c r="P124" s="2" t="str">
        <f t="array" ref="P124">IF(B124="","",IF(N124&lt;&gt;1,"n.a.",INDEX(Counterparties!$C$6:$C$80,MATCH(B124,Counterparties!$A$6:$A$80,0))))</f>
        <v/>
      </c>
      <c r="Q124" s="2" t="str">
        <f t="array" ref="Q124">IF(B124="","",IF(N124&lt;&gt;1,"n.a.",INDEX(Counterparties!$G$6:$G$80,MATCH(B124,Counterparties!$A$6:$A$80,0))))</f>
        <v/>
      </c>
      <c r="R124" s="2">
        <f t="array" ref="R124">IF(A124="",0,IF(M124&lt;&gt;1,0,IF(AND(INDEX(Companies!$R$6:$R$55,MATCH(A124,Companies!$A$6:$A$55,0))=1,INDEX(Companies!$I$6:$I$55,MATCH(A124,Companies!$A$6:$A$55,0))&gt;=MAX(10,Rules!$B$22)),1,0)))</f>
        <v>0</v>
      </c>
      <c r="S124" s="2" t="str">
        <f t="array" ref="S124">IF(B124="","",IF(N124&lt;&gt;1,"Check counterparty ID",INDEX(Counterparties!$N$6:$N$80,MATCH(B124,Counterparties!$A$6:$A$80,0))))</f>
        <v/>
      </c>
      <c r="T124" s="2" t="str">
        <f t="shared" si="2"/>
        <v/>
      </c>
      <c r="U124" s="2">
        <f t="shared" si="3"/>
        <v>0</v>
      </c>
      <c r="V124" s="2">
        <f t="shared" si="4"/>
        <v>0</v>
      </c>
      <c r="W124" s="2">
        <f>IF(COUNTA(A124:L124)=0,0,IF(AND(OR(C124="Client",C124="Partner",C124="Client and partner"),D124&lt;&gt;"",E124="Active",H124&lt;&gt;"",ISNUMBER(I124),ISNUMBER(J124),I124&lt;=J124,J124&lt;=Rules!$B$6,Rules!$B$6-J124&lt;=Rules!$B$42,K124="Yes",OR(F124="",AND(ISNUMBER(F124),F124&lt;=Rules!$B$6)),OR(G124="",AND(ISNUMBER(G124),G124&gt;=Rules!$B$6)),OR(F124="",G124="",G124&gt;=F124)),1,0))</f>
        <v>0</v>
      </c>
    </row>
    <row r="125" ht="21.0" customHeight="1">
      <c r="A125" s="44"/>
      <c r="B125" s="44"/>
      <c r="C125" s="44"/>
      <c r="D125" s="44"/>
      <c r="E125" s="44"/>
      <c r="F125" s="48"/>
      <c r="G125" s="48"/>
      <c r="H125" s="44"/>
      <c r="I125" s="48"/>
      <c r="J125" s="48"/>
      <c r="K125" s="44"/>
      <c r="L125" s="44"/>
      <c r="M125" s="2" t="str">
        <f>IF(A125="","",COUNTIF(Companies!$A$6:$A$55,A125))</f>
        <v/>
      </c>
      <c r="N125" s="2" t="str">
        <f>IF(B125="","",COUNTIF(Counterparties!$A$6:$A$80,B125))</f>
        <v/>
      </c>
      <c r="O125" s="2" t="str">
        <f t="shared" si="1"/>
        <v/>
      </c>
      <c r="P125" s="2" t="str">
        <f t="array" ref="P125">IF(B125="","",IF(N125&lt;&gt;1,"n.a.",INDEX(Counterparties!$C$6:$C$80,MATCH(B125,Counterparties!$A$6:$A$80,0))))</f>
        <v/>
      </c>
      <c r="Q125" s="2" t="str">
        <f t="array" ref="Q125">IF(B125="","",IF(N125&lt;&gt;1,"n.a.",INDEX(Counterparties!$G$6:$G$80,MATCH(B125,Counterparties!$A$6:$A$80,0))))</f>
        <v/>
      </c>
      <c r="R125" s="2">
        <f t="array" ref="R125">IF(A125="",0,IF(M125&lt;&gt;1,0,IF(AND(INDEX(Companies!$R$6:$R$55,MATCH(A125,Companies!$A$6:$A$55,0))=1,INDEX(Companies!$I$6:$I$55,MATCH(A125,Companies!$A$6:$A$55,0))&gt;=MAX(10,Rules!$B$22)),1,0)))</f>
        <v>0</v>
      </c>
      <c r="S125" s="2" t="str">
        <f t="array" ref="S125">IF(B125="","",IF(N125&lt;&gt;1,"Check counterparty ID",INDEX(Counterparties!$N$6:$N$80,MATCH(B125,Counterparties!$A$6:$A$80,0))))</f>
        <v/>
      </c>
      <c r="T125" s="2" t="str">
        <f t="shared" si="2"/>
        <v/>
      </c>
      <c r="U125" s="2">
        <f t="shared" si="3"/>
        <v>0</v>
      </c>
      <c r="V125" s="2">
        <f t="shared" si="4"/>
        <v>0</v>
      </c>
      <c r="W125" s="2">
        <f>IF(COUNTA(A125:L125)=0,0,IF(AND(OR(C125="Client",C125="Partner",C125="Client and partner"),D125&lt;&gt;"",E125="Active",H125&lt;&gt;"",ISNUMBER(I125),ISNUMBER(J125),I125&lt;=J125,J125&lt;=Rules!$B$6,Rules!$B$6-J125&lt;=Rules!$B$42,K125="Yes",OR(F125="",AND(ISNUMBER(F125),F125&lt;=Rules!$B$6)),OR(G125="",AND(ISNUMBER(G125),G125&gt;=Rules!$B$6)),OR(F125="",G125="",G125&gt;=F125)),1,0))</f>
        <v>0</v>
      </c>
    </row>
    <row r="126" ht="21.0" customHeight="1">
      <c r="A126" s="44"/>
      <c r="B126" s="44"/>
      <c r="C126" s="44"/>
      <c r="D126" s="44"/>
      <c r="E126" s="44"/>
      <c r="F126" s="48"/>
      <c r="G126" s="48"/>
      <c r="H126" s="44"/>
      <c r="I126" s="48"/>
      <c r="J126" s="48"/>
      <c r="K126" s="44"/>
      <c r="L126" s="44"/>
      <c r="M126" s="2" t="str">
        <f>IF(A126="","",COUNTIF(Companies!$A$6:$A$55,A126))</f>
        <v/>
      </c>
      <c r="N126" s="2" t="str">
        <f>IF(B126="","",COUNTIF(Counterparties!$A$6:$A$80,B126))</f>
        <v/>
      </c>
      <c r="O126" s="2" t="str">
        <f t="shared" si="1"/>
        <v/>
      </c>
      <c r="P126" s="2" t="str">
        <f t="array" ref="P126">IF(B126="","",IF(N126&lt;&gt;1,"n.a.",INDEX(Counterparties!$C$6:$C$80,MATCH(B126,Counterparties!$A$6:$A$80,0))))</f>
        <v/>
      </c>
      <c r="Q126" s="2" t="str">
        <f t="array" ref="Q126">IF(B126="","",IF(N126&lt;&gt;1,"n.a.",INDEX(Counterparties!$G$6:$G$80,MATCH(B126,Counterparties!$A$6:$A$80,0))))</f>
        <v/>
      </c>
      <c r="R126" s="2">
        <f t="array" ref="R126">IF(A126="",0,IF(M126&lt;&gt;1,0,IF(AND(INDEX(Companies!$R$6:$R$55,MATCH(A126,Companies!$A$6:$A$55,0))=1,INDEX(Companies!$I$6:$I$55,MATCH(A126,Companies!$A$6:$A$55,0))&gt;=MAX(10,Rules!$B$22)),1,0)))</f>
        <v>0</v>
      </c>
      <c r="S126" s="2" t="str">
        <f t="array" ref="S126">IF(B126="","",IF(N126&lt;&gt;1,"Check counterparty ID",INDEX(Counterparties!$N$6:$N$80,MATCH(B126,Counterparties!$A$6:$A$80,0))))</f>
        <v/>
      </c>
      <c r="T126" s="2" t="str">
        <f t="shared" si="2"/>
        <v/>
      </c>
      <c r="U126" s="2">
        <f t="shared" si="3"/>
        <v>0</v>
      </c>
      <c r="V126" s="2">
        <f t="shared" si="4"/>
        <v>0</v>
      </c>
      <c r="W126" s="2">
        <f>IF(COUNTA(A126:L126)=0,0,IF(AND(OR(C126="Client",C126="Partner",C126="Client and partner"),D126&lt;&gt;"",E126="Active",H126&lt;&gt;"",ISNUMBER(I126),ISNUMBER(J126),I126&lt;=J126,J126&lt;=Rules!$B$6,Rules!$B$6-J126&lt;=Rules!$B$42,K126="Yes",OR(F126="",AND(ISNUMBER(F126),F126&lt;=Rules!$B$6)),OR(G126="",AND(ISNUMBER(G126),G126&gt;=Rules!$B$6)),OR(F126="",G126="",G126&gt;=F126)),1,0))</f>
        <v>0</v>
      </c>
    </row>
    <row r="127" ht="21.0" customHeight="1">
      <c r="A127" s="44"/>
      <c r="B127" s="44"/>
      <c r="C127" s="44"/>
      <c r="D127" s="44"/>
      <c r="E127" s="44"/>
      <c r="F127" s="48"/>
      <c r="G127" s="48"/>
      <c r="H127" s="44"/>
      <c r="I127" s="48"/>
      <c r="J127" s="48"/>
      <c r="K127" s="44"/>
      <c r="L127" s="44"/>
      <c r="M127" s="2" t="str">
        <f>IF(A127="","",COUNTIF(Companies!$A$6:$A$55,A127))</f>
        <v/>
      </c>
      <c r="N127" s="2" t="str">
        <f>IF(B127="","",COUNTIF(Counterparties!$A$6:$A$80,B127))</f>
        <v/>
      </c>
      <c r="O127" s="2" t="str">
        <f t="shared" si="1"/>
        <v/>
      </c>
      <c r="P127" s="2" t="str">
        <f t="array" ref="P127">IF(B127="","",IF(N127&lt;&gt;1,"n.a.",INDEX(Counterparties!$C$6:$C$80,MATCH(B127,Counterparties!$A$6:$A$80,0))))</f>
        <v/>
      </c>
      <c r="Q127" s="2" t="str">
        <f t="array" ref="Q127">IF(B127="","",IF(N127&lt;&gt;1,"n.a.",INDEX(Counterparties!$G$6:$G$80,MATCH(B127,Counterparties!$A$6:$A$80,0))))</f>
        <v/>
      </c>
      <c r="R127" s="2">
        <f t="array" ref="R127">IF(A127="",0,IF(M127&lt;&gt;1,0,IF(AND(INDEX(Companies!$R$6:$R$55,MATCH(A127,Companies!$A$6:$A$55,0))=1,INDEX(Companies!$I$6:$I$55,MATCH(A127,Companies!$A$6:$A$55,0))&gt;=MAX(10,Rules!$B$22)),1,0)))</f>
        <v>0</v>
      </c>
      <c r="S127" s="2" t="str">
        <f t="array" ref="S127">IF(B127="","",IF(N127&lt;&gt;1,"Check counterparty ID",INDEX(Counterparties!$N$6:$N$80,MATCH(B127,Counterparties!$A$6:$A$80,0))))</f>
        <v/>
      </c>
      <c r="T127" s="2" t="str">
        <f t="shared" si="2"/>
        <v/>
      </c>
      <c r="U127" s="2">
        <f t="shared" si="3"/>
        <v>0</v>
      </c>
      <c r="V127" s="2">
        <f t="shared" si="4"/>
        <v>0</v>
      </c>
      <c r="W127" s="2">
        <f>IF(COUNTA(A127:L127)=0,0,IF(AND(OR(C127="Client",C127="Partner",C127="Client and partner"),D127&lt;&gt;"",E127="Active",H127&lt;&gt;"",ISNUMBER(I127),ISNUMBER(J127),I127&lt;=J127,J127&lt;=Rules!$B$6,Rules!$B$6-J127&lt;=Rules!$B$42,K127="Yes",OR(F127="",AND(ISNUMBER(F127),F127&lt;=Rules!$B$6)),OR(G127="",AND(ISNUMBER(G127),G127&gt;=Rules!$B$6)),OR(F127="",G127="",G127&gt;=F127)),1,0))</f>
        <v>0</v>
      </c>
    </row>
    <row r="128" ht="21.0" customHeight="1">
      <c r="A128" s="44"/>
      <c r="B128" s="44"/>
      <c r="C128" s="44"/>
      <c r="D128" s="44"/>
      <c r="E128" s="44"/>
      <c r="F128" s="48"/>
      <c r="G128" s="48"/>
      <c r="H128" s="44"/>
      <c r="I128" s="48"/>
      <c r="J128" s="48"/>
      <c r="K128" s="44"/>
      <c r="L128" s="44"/>
      <c r="M128" s="2" t="str">
        <f>IF(A128="","",COUNTIF(Companies!$A$6:$A$55,A128))</f>
        <v/>
      </c>
      <c r="N128" s="2" t="str">
        <f>IF(B128="","",COUNTIF(Counterparties!$A$6:$A$80,B128))</f>
        <v/>
      </c>
      <c r="O128" s="2" t="str">
        <f t="shared" si="1"/>
        <v/>
      </c>
      <c r="P128" s="2" t="str">
        <f t="array" ref="P128">IF(B128="","",IF(N128&lt;&gt;1,"n.a.",INDEX(Counterparties!$C$6:$C$80,MATCH(B128,Counterparties!$A$6:$A$80,0))))</f>
        <v/>
      </c>
      <c r="Q128" s="2" t="str">
        <f t="array" ref="Q128">IF(B128="","",IF(N128&lt;&gt;1,"n.a.",INDEX(Counterparties!$G$6:$G$80,MATCH(B128,Counterparties!$A$6:$A$80,0))))</f>
        <v/>
      </c>
      <c r="R128" s="2">
        <f t="array" ref="R128">IF(A128="",0,IF(M128&lt;&gt;1,0,IF(AND(INDEX(Companies!$R$6:$R$55,MATCH(A128,Companies!$A$6:$A$55,0))=1,INDEX(Companies!$I$6:$I$55,MATCH(A128,Companies!$A$6:$A$55,0))&gt;=MAX(10,Rules!$B$22)),1,0)))</f>
        <v>0</v>
      </c>
      <c r="S128" s="2" t="str">
        <f t="array" ref="S128">IF(B128="","",IF(N128&lt;&gt;1,"Check counterparty ID",INDEX(Counterparties!$N$6:$N$80,MATCH(B128,Counterparties!$A$6:$A$80,0))))</f>
        <v/>
      </c>
      <c r="T128" s="2" t="str">
        <f t="shared" si="2"/>
        <v/>
      </c>
      <c r="U128" s="2">
        <f t="shared" si="3"/>
        <v>0</v>
      </c>
      <c r="V128" s="2">
        <f t="shared" si="4"/>
        <v>0</v>
      </c>
      <c r="W128" s="2">
        <f>IF(COUNTA(A128:L128)=0,0,IF(AND(OR(C128="Client",C128="Partner",C128="Client and partner"),D128&lt;&gt;"",E128="Active",H128&lt;&gt;"",ISNUMBER(I128),ISNUMBER(J128),I128&lt;=J128,J128&lt;=Rules!$B$6,Rules!$B$6-J128&lt;=Rules!$B$42,K128="Yes",OR(F128="",AND(ISNUMBER(F128),F128&lt;=Rules!$B$6)),OR(G128="",AND(ISNUMBER(G128),G128&gt;=Rules!$B$6)),OR(F128="",G128="",G128&gt;=F128)),1,0))</f>
        <v>0</v>
      </c>
    </row>
    <row r="129" ht="21.0" customHeight="1">
      <c r="A129" s="44"/>
      <c r="B129" s="44"/>
      <c r="C129" s="44"/>
      <c r="D129" s="44"/>
      <c r="E129" s="44"/>
      <c r="F129" s="48"/>
      <c r="G129" s="48"/>
      <c r="H129" s="44"/>
      <c r="I129" s="48"/>
      <c r="J129" s="48"/>
      <c r="K129" s="44"/>
      <c r="L129" s="44"/>
      <c r="M129" s="2" t="str">
        <f>IF(A129="","",COUNTIF(Companies!$A$6:$A$55,A129))</f>
        <v/>
      </c>
      <c r="N129" s="2" t="str">
        <f>IF(B129="","",COUNTIF(Counterparties!$A$6:$A$80,B129))</f>
        <v/>
      </c>
      <c r="O129" s="2" t="str">
        <f t="shared" si="1"/>
        <v/>
      </c>
      <c r="P129" s="2" t="str">
        <f t="array" ref="P129">IF(B129="","",IF(N129&lt;&gt;1,"n.a.",INDEX(Counterparties!$C$6:$C$80,MATCH(B129,Counterparties!$A$6:$A$80,0))))</f>
        <v/>
      </c>
      <c r="Q129" s="2" t="str">
        <f t="array" ref="Q129">IF(B129="","",IF(N129&lt;&gt;1,"n.a.",INDEX(Counterparties!$G$6:$G$80,MATCH(B129,Counterparties!$A$6:$A$80,0))))</f>
        <v/>
      </c>
      <c r="R129" s="2">
        <f t="array" ref="R129">IF(A129="",0,IF(M129&lt;&gt;1,0,IF(AND(INDEX(Companies!$R$6:$R$55,MATCH(A129,Companies!$A$6:$A$55,0))=1,INDEX(Companies!$I$6:$I$55,MATCH(A129,Companies!$A$6:$A$55,0))&gt;=MAX(10,Rules!$B$22)),1,0)))</f>
        <v>0</v>
      </c>
      <c r="S129" s="2" t="str">
        <f t="array" ref="S129">IF(B129="","",IF(N129&lt;&gt;1,"Check counterparty ID",INDEX(Counterparties!$N$6:$N$80,MATCH(B129,Counterparties!$A$6:$A$80,0))))</f>
        <v/>
      </c>
      <c r="T129" s="2" t="str">
        <f t="shared" si="2"/>
        <v/>
      </c>
      <c r="U129" s="2">
        <f t="shared" si="3"/>
        <v>0</v>
      </c>
      <c r="V129" s="2">
        <f t="shared" si="4"/>
        <v>0</v>
      </c>
      <c r="W129" s="2">
        <f>IF(COUNTA(A129:L129)=0,0,IF(AND(OR(C129="Client",C129="Partner",C129="Client and partner"),D129&lt;&gt;"",E129="Active",H129&lt;&gt;"",ISNUMBER(I129),ISNUMBER(J129),I129&lt;=J129,J129&lt;=Rules!$B$6,Rules!$B$6-J129&lt;=Rules!$B$42,K129="Yes",OR(F129="",AND(ISNUMBER(F129),F129&lt;=Rules!$B$6)),OR(G129="",AND(ISNUMBER(G129),G129&gt;=Rules!$B$6)),OR(F129="",G129="",G129&gt;=F129)),1,0))</f>
        <v>0</v>
      </c>
    </row>
    <row r="130" ht="21.0" customHeight="1">
      <c r="A130" s="44"/>
      <c r="B130" s="44"/>
      <c r="C130" s="44"/>
      <c r="D130" s="44"/>
      <c r="E130" s="44"/>
      <c r="F130" s="48"/>
      <c r="G130" s="48"/>
      <c r="H130" s="44"/>
      <c r="I130" s="48"/>
      <c r="J130" s="48"/>
      <c r="K130" s="44"/>
      <c r="L130" s="44"/>
      <c r="M130" s="2" t="str">
        <f>IF(A130="","",COUNTIF(Companies!$A$6:$A$55,A130))</f>
        <v/>
      </c>
      <c r="N130" s="2" t="str">
        <f>IF(B130="","",COUNTIF(Counterparties!$A$6:$A$80,B130))</f>
        <v/>
      </c>
      <c r="O130" s="2" t="str">
        <f t="shared" si="1"/>
        <v/>
      </c>
      <c r="P130" s="2" t="str">
        <f t="array" ref="P130">IF(B130="","",IF(N130&lt;&gt;1,"n.a.",INDEX(Counterparties!$C$6:$C$80,MATCH(B130,Counterparties!$A$6:$A$80,0))))</f>
        <v/>
      </c>
      <c r="Q130" s="2" t="str">
        <f t="array" ref="Q130">IF(B130="","",IF(N130&lt;&gt;1,"n.a.",INDEX(Counterparties!$G$6:$G$80,MATCH(B130,Counterparties!$A$6:$A$80,0))))</f>
        <v/>
      </c>
      <c r="R130" s="2">
        <f t="array" ref="R130">IF(A130="",0,IF(M130&lt;&gt;1,0,IF(AND(INDEX(Companies!$R$6:$R$55,MATCH(A130,Companies!$A$6:$A$55,0))=1,INDEX(Companies!$I$6:$I$55,MATCH(A130,Companies!$A$6:$A$55,0))&gt;=MAX(10,Rules!$B$22)),1,0)))</f>
        <v>0</v>
      </c>
      <c r="S130" s="2" t="str">
        <f t="array" ref="S130">IF(B130="","",IF(N130&lt;&gt;1,"Check counterparty ID",INDEX(Counterparties!$N$6:$N$80,MATCH(B130,Counterparties!$A$6:$A$80,0))))</f>
        <v/>
      </c>
      <c r="T130" s="2" t="str">
        <f t="shared" si="2"/>
        <v/>
      </c>
      <c r="U130" s="2">
        <f t="shared" si="3"/>
        <v>0</v>
      </c>
      <c r="V130" s="2">
        <f t="shared" si="4"/>
        <v>0</v>
      </c>
      <c r="W130" s="2">
        <f>IF(COUNTA(A130:L130)=0,0,IF(AND(OR(C130="Client",C130="Partner",C130="Client and partner"),D130&lt;&gt;"",E130="Active",H130&lt;&gt;"",ISNUMBER(I130),ISNUMBER(J130),I130&lt;=J130,J130&lt;=Rules!$B$6,Rules!$B$6-J130&lt;=Rules!$B$42,K130="Yes",OR(F130="",AND(ISNUMBER(F130),F130&lt;=Rules!$B$6)),OR(G130="",AND(ISNUMBER(G130),G130&gt;=Rules!$B$6)),OR(F130="",G130="",G130&gt;=F130)),1,0))</f>
        <v>0</v>
      </c>
    </row>
    <row r="131" ht="21.0" customHeight="1">
      <c r="A131" s="44"/>
      <c r="B131" s="44"/>
      <c r="C131" s="44"/>
      <c r="D131" s="44"/>
      <c r="E131" s="44"/>
      <c r="F131" s="48"/>
      <c r="G131" s="48"/>
      <c r="H131" s="44"/>
      <c r="I131" s="48"/>
      <c r="J131" s="48"/>
      <c r="K131" s="44"/>
      <c r="L131" s="44"/>
      <c r="M131" s="2" t="str">
        <f>IF(A131="","",COUNTIF(Companies!$A$6:$A$55,A131))</f>
        <v/>
      </c>
      <c r="N131" s="2" t="str">
        <f>IF(B131="","",COUNTIF(Counterparties!$A$6:$A$80,B131))</f>
        <v/>
      </c>
      <c r="O131" s="2" t="str">
        <f t="shared" si="1"/>
        <v/>
      </c>
      <c r="P131" s="2" t="str">
        <f t="array" ref="P131">IF(B131="","",IF(N131&lt;&gt;1,"n.a.",INDEX(Counterparties!$C$6:$C$80,MATCH(B131,Counterparties!$A$6:$A$80,0))))</f>
        <v/>
      </c>
      <c r="Q131" s="2" t="str">
        <f t="array" ref="Q131">IF(B131="","",IF(N131&lt;&gt;1,"n.a.",INDEX(Counterparties!$G$6:$G$80,MATCH(B131,Counterparties!$A$6:$A$80,0))))</f>
        <v/>
      </c>
      <c r="R131" s="2">
        <f t="array" ref="R131">IF(A131="",0,IF(M131&lt;&gt;1,0,IF(AND(INDEX(Companies!$R$6:$R$55,MATCH(A131,Companies!$A$6:$A$55,0))=1,INDEX(Companies!$I$6:$I$55,MATCH(A131,Companies!$A$6:$A$55,0))&gt;=MAX(10,Rules!$B$22)),1,0)))</f>
        <v>0</v>
      </c>
      <c r="S131" s="2" t="str">
        <f t="array" ref="S131">IF(B131="","",IF(N131&lt;&gt;1,"Check counterparty ID",INDEX(Counterparties!$N$6:$N$80,MATCH(B131,Counterparties!$A$6:$A$80,0))))</f>
        <v/>
      </c>
      <c r="T131" s="2" t="str">
        <f t="shared" si="2"/>
        <v/>
      </c>
      <c r="U131" s="2">
        <f t="shared" si="3"/>
        <v>0</v>
      </c>
      <c r="V131" s="2">
        <f t="shared" si="4"/>
        <v>0</v>
      </c>
      <c r="W131" s="2">
        <f>IF(COUNTA(A131:L131)=0,0,IF(AND(OR(C131="Client",C131="Partner",C131="Client and partner"),D131&lt;&gt;"",E131="Active",H131&lt;&gt;"",ISNUMBER(I131),ISNUMBER(J131),I131&lt;=J131,J131&lt;=Rules!$B$6,Rules!$B$6-J131&lt;=Rules!$B$42,K131="Yes",OR(F131="",AND(ISNUMBER(F131),F131&lt;=Rules!$B$6)),OR(G131="",AND(ISNUMBER(G131),G131&gt;=Rules!$B$6)),OR(F131="",G131="",G131&gt;=F131)),1,0))</f>
        <v>0</v>
      </c>
    </row>
    <row r="132" ht="21.0" customHeight="1">
      <c r="A132" s="44"/>
      <c r="B132" s="44"/>
      <c r="C132" s="44"/>
      <c r="D132" s="44"/>
      <c r="E132" s="44"/>
      <c r="F132" s="48"/>
      <c r="G132" s="48"/>
      <c r="H132" s="44"/>
      <c r="I132" s="48"/>
      <c r="J132" s="48"/>
      <c r="K132" s="44"/>
      <c r="L132" s="44"/>
      <c r="M132" s="2" t="str">
        <f>IF(A132="","",COUNTIF(Companies!$A$6:$A$55,A132))</f>
        <v/>
      </c>
      <c r="N132" s="2" t="str">
        <f>IF(B132="","",COUNTIF(Counterparties!$A$6:$A$80,B132))</f>
        <v/>
      </c>
      <c r="O132" s="2" t="str">
        <f t="shared" si="1"/>
        <v/>
      </c>
      <c r="P132" s="2" t="str">
        <f t="array" ref="P132">IF(B132="","",IF(N132&lt;&gt;1,"n.a.",INDEX(Counterparties!$C$6:$C$80,MATCH(B132,Counterparties!$A$6:$A$80,0))))</f>
        <v/>
      </c>
      <c r="Q132" s="2" t="str">
        <f t="array" ref="Q132">IF(B132="","",IF(N132&lt;&gt;1,"n.a.",INDEX(Counterparties!$G$6:$G$80,MATCH(B132,Counterparties!$A$6:$A$80,0))))</f>
        <v/>
      </c>
      <c r="R132" s="2">
        <f t="array" ref="R132">IF(A132="",0,IF(M132&lt;&gt;1,0,IF(AND(INDEX(Companies!$R$6:$R$55,MATCH(A132,Companies!$A$6:$A$55,0))=1,INDEX(Companies!$I$6:$I$55,MATCH(A132,Companies!$A$6:$A$55,0))&gt;=MAX(10,Rules!$B$22)),1,0)))</f>
        <v>0</v>
      </c>
      <c r="S132" s="2" t="str">
        <f t="array" ref="S132">IF(B132="","",IF(N132&lt;&gt;1,"Check counterparty ID",INDEX(Counterparties!$N$6:$N$80,MATCH(B132,Counterparties!$A$6:$A$80,0))))</f>
        <v/>
      </c>
      <c r="T132" s="2" t="str">
        <f t="shared" si="2"/>
        <v/>
      </c>
      <c r="U132" s="2">
        <f t="shared" si="3"/>
        <v>0</v>
      </c>
      <c r="V132" s="2">
        <f t="shared" si="4"/>
        <v>0</v>
      </c>
      <c r="W132" s="2">
        <f>IF(COUNTA(A132:L132)=0,0,IF(AND(OR(C132="Client",C132="Partner",C132="Client and partner"),D132&lt;&gt;"",E132="Active",H132&lt;&gt;"",ISNUMBER(I132),ISNUMBER(J132),I132&lt;=J132,J132&lt;=Rules!$B$6,Rules!$B$6-J132&lt;=Rules!$B$42,K132="Yes",OR(F132="",AND(ISNUMBER(F132),F132&lt;=Rules!$B$6)),OR(G132="",AND(ISNUMBER(G132),G132&gt;=Rules!$B$6)),OR(F132="",G132="",G132&gt;=F132)),1,0))</f>
        <v>0</v>
      </c>
    </row>
    <row r="133" ht="21.0" customHeight="1">
      <c r="A133" s="44"/>
      <c r="B133" s="44"/>
      <c r="C133" s="44"/>
      <c r="D133" s="44"/>
      <c r="E133" s="44"/>
      <c r="F133" s="48"/>
      <c r="G133" s="48"/>
      <c r="H133" s="44"/>
      <c r="I133" s="48"/>
      <c r="J133" s="48"/>
      <c r="K133" s="44"/>
      <c r="L133" s="44"/>
      <c r="M133" s="2" t="str">
        <f>IF(A133="","",COUNTIF(Companies!$A$6:$A$55,A133))</f>
        <v/>
      </c>
      <c r="N133" s="2" t="str">
        <f>IF(B133="","",COUNTIF(Counterparties!$A$6:$A$80,B133))</f>
        <v/>
      </c>
      <c r="O133" s="2" t="str">
        <f t="shared" si="1"/>
        <v/>
      </c>
      <c r="P133" s="2" t="str">
        <f t="array" ref="P133">IF(B133="","",IF(N133&lt;&gt;1,"n.a.",INDEX(Counterparties!$C$6:$C$80,MATCH(B133,Counterparties!$A$6:$A$80,0))))</f>
        <v/>
      </c>
      <c r="Q133" s="2" t="str">
        <f t="array" ref="Q133">IF(B133="","",IF(N133&lt;&gt;1,"n.a.",INDEX(Counterparties!$G$6:$G$80,MATCH(B133,Counterparties!$A$6:$A$80,0))))</f>
        <v/>
      </c>
      <c r="R133" s="2">
        <f t="array" ref="R133">IF(A133="",0,IF(M133&lt;&gt;1,0,IF(AND(INDEX(Companies!$R$6:$R$55,MATCH(A133,Companies!$A$6:$A$55,0))=1,INDEX(Companies!$I$6:$I$55,MATCH(A133,Companies!$A$6:$A$55,0))&gt;=MAX(10,Rules!$B$22)),1,0)))</f>
        <v>0</v>
      </c>
      <c r="S133" s="2" t="str">
        <f t="array" ref="S133">IF(B133="","",IF(N133&lt;&gt;1,"Check counterparty ID",INDEX(Counterparties!$N$6:$N$80,MATCH(B133,Counterparties!$A$6:$A$80,0))))</f>
        <v/>
      </c>
      <c r="T133" s="2" t="str">
        <f t="shared" si="2"/>
        <v/>
      </c>
      <c r="U133" s="2">
        <f t="shared" si="3"/>
        <v>0</v>
      </c>
      <c r="V133" s="2">
        <f t="shared" si="4"/>
        <v>0</v>
      </c>
      <c r="W133" s="2">
        <f>IF(COUNTA(A133:L133)=0,0,IF(AND(OR(C133="Client",C133="Partner",C133="Client and partner"),D133&lt;&gt;"",E133="Active",H133&lt;&gt;"",ISNUMBER(I133),ISNUMBER(J133),I133&lt;=J133,J133&lt;=Rules!$B$6,Rules!$B$6-J133&lt;=Rules!$B$42,K133="Yes",OR(F133="",AND(ISNUMBER(F133),F133&lt;=Rules!$B$6)),OR(G133="",AND(ISNUMBER(G133),G133&gt;=Rules!$B$6)),OR(F133="",G133="",G133&gt;=F133)),1,0))</f>
        <v>0</v>
      </c>
    </row>
    <row r="134" ht="21.0" customHeight="1">
      <c r="A134" s="44"/>
      <c r="B134" s="44"/>
      <c r="C134" s="44"/>
      <c r="D134" s="44"/>
      <c r="E134" s="44"/>
      <c r="F134" s="48"/>
      <c r="G134" s="48"/>
      <c r="H134" s="44"/>
      <c r="I134" s="48"/>
      <c r="J134" s="48"/>
      <c r="K134" s="44"/>
      <c r="L134" s="44"/>
      <c r="M134" s="2" t="str">
        <f>IF(A134="","",COUNTIF(Companies!$A$6:$A$55,A134))</f>
        <v/>
      </c>
      <c r="N134" s="2" t="str">
        <f>IF(B134="","",COUNTIF(Counterparties!$A$6:$A$80,B134))</f>
        <v/>
      </c>
      <c r="O134" s="2" t="str">
        <f t="shared" si="1"/>
        <v/>
      </c>
      <c r="P134" s="2" t="str">
        <f t="array" ref="P134">IF(B134="","",IF(N134&lt;&gt;1,"n.a.",INDEX(Counterparties!$C$6:$C$80,MATCH(B134,Counterparties!$A$6:$A$80,0))))</f>
        <v/>
      </c>
      <c r="Q134" s="2" t="str">
        <f t="array" ref="Q134">IF(B134="","",IF(N134&lt;&gt;1,"n.a.",INDEX(Counterparties!$G$6:$G$80,MATCH(B134,Counterparties!$A$6:$A$80,0))))</f>
        <v/>
      </c>
      <c r="R134" s="2">
        <f t="array" ref="R134">IF(A134="",0,IF(M134&lt;&gt;1,0,IF(AND(INDEX(Companies!$R$6:$R$55,MATCH(A134,Companies!$A$6:$A$55,0))=1,INDEX(Companies!$I$6:$I$55,MATCH(A134,Companies!$A$6:$A$55,0))&gt;=MAX(10,Rules!$B$22)),1,0)))</f>
        <v>0</v>
      </c>
      <c r="S134" s="2" t="str">
        <f t="array" ref="S134">IF(B134="","",IF(N134&lt;&gt;1,"Check counterparty ID",INDEX(Counterparties!$N$6:$N$80,MATCH(B134,Counterparties!$A$6:$A$80,0))))</f>
        <v/>
      </c>
      <c r="T134" s="2" t="str">
        <f t="shared" si="2"/>
        <v/>
      </c>
      <c r="U134" s="2">
        <f t="shared" si="3"/>
        <v>0</v>
      </c>
      <c r="V134" s="2">
        <f t="shared" si="4"/>
        <v>0</v>
      </c>
      <c r="W134" s="2">
        <f>IF(COUNTA(A134:L134)=0,0,IF(AND(OR(C134="Client",C134="Partner",C134="Client and partner"),D134&lt;&gt;"",E134="Active",H134&lt;&gt;"",ISNUMBER(I134),ISNUMBER(J134),I134&lt;=J134,J134&lt;=Rules!$B$6,Rules!$B$6-J134&lt;=Rules!$B$42,K134="Yes",OR(F134="",AND(ISNUMBER(F134),F134&lt;=Rules!$B$6)),OR(G134="",AND(ISNUMBER(G134),G134&gt;=Rules!$B$6)),OR(F134="",G134="",G134&gt;=F134)),1,0))</f>
        <v>0</v>
      </c>
    </row>
    <row r="135" ht="21.0" customHeight="1">
      <c r="A135" s="44"/>
      <c r="B135" s="44"/>
      <c r="C135" s="44"/>
      <c r="D135" s="44"/>
      <c r="E135" s="44"/>
      <c r="F135" s="48"/>
      <c r="G135" s="48"/>
      <c r="H135" s="44"/>
      <c r="I135" s="48"/>
      <c r="J135" s="48"/>
      <c r="K135" s="44"/>
      <c r="L135" s="44"/>
      <c r="M135" s="2" t="str">
        <f>IF(A135="","",COUNTIF(Companies!$A$6:$A$55,A135))</f>
        <v/>
      </c>
      <c r="N135" s="2" t="str">
        <f>IF(B135="","",COUNTIF(Counterparties!$A$6:$A$80,B135))</f>
        <v/>
      </c>
      <c r="O135" s="2" t="str">
        <f t="shared" si="1"/>
        <v/>
      </c>
      <c r="P135" s="2" t="str">
        <f t="array" ref="P135">IF(B135="","",IF(N135&lt;&gt;1,"n.a.",INDEX(Counterparties!$C$6:$C$80,MATCH(B135,Counterparties!$A$6:$A$80,0))))</f>
        <v/>
      </c>
      <c r="Q135" s="2" t="str">
        <f t="array" ref="Q135">IF(B135="","",IF(N135&lt;&gt;1,"n.a.",INDEX(Counterparties!$G$6:$G$80,MATCH(B135,Counterparties!$A$6:$A$80,0))))</f>
        <v/>
      </c>
      <c r="R135" s="2">
        <f t="array" ref="R135">IF(A135="",0,IF(M135&lt;&gt;1,0,IF(AND(INDEX(Companies!$R$6:$R$55,MATCH(A135,Companies!$A$6:$A$55,0))=1,INDEX(Companies!$I$6:$I$55,MATCH(A135,Companies!$A$6:$A$55,0))&gt;=MAX(10,Rules!$B$22)),1,0)))</f>
        <v>0</v>
      </c>
      <c r="S135" s="2" t="str">
        <f t="array" ref="S135">IF(B135="","",IF(N135&lt;&gt;1,"Check counterparty ID",INDEX(Counterparties!$N$6:$N$80,MATCH(B135,Counterparties!$A$6:$A$80,0))))</f>
        <v/>
      </c>
      <c r="T135" s="2" t="str">
        <f t="shared" si="2"/>
        <v/>
      </c>
      <c r="U135" s="2">
        <f t="shared" si="3"/>
        <v>0</v>
      </c>
      <c r="V135" s="2">
        <f t="shared" si="4"/>
        <v>0</v>
      </c>
      <c r="W135" s="2">
        <f>IF(COUNTA(A135:L135)=0,0,IF(AND(OR(C135="Client",C135="Partner",C135="Client and partner"),D135&lt;&gt;"",E135="Active",H135&lt;&gt;"",ISNUMBER(I135),ISNUMBER(J135),I135&lt;=J135,J135&lt;=Rules!$B$6,Rules!$B$6-J135&lt;=Rules!$B$42,K135="Yes",OR(F135="",AND(ISNUMBER(F135),F135&lt;=Rules!$B$6)),OR(G135="",AND(ISNUMBER(G135),G135&gt;=Rules!$B$6)),OR(F135="",G135="",G135&gt;=F135)),1,0))</f>
        <v>0</v>
      </c>
    </row>
    <row r="136" ht="21.0" customHeight="1">
      <c r="A136" s="44"/>
      <c r="B136" s="44"/>
      <c r="C136" s="44"/>
      <c r="D136" s="44"/>
      <c r="E136" s="44"/>
      <c r="F136" s="48"/>
      <c r="G136" s="48"/>
      <c r="H136" s="44"/>
      <c r="I136" s="48"/>
      <c r="J136" s="48"/>
      <c r="K136" s="44"/>
      <c r="L136" s="44"/>
      <c r="M136" s="2" t="str">
        <f>IF(A136="","",COUNTIF(Companies!$A$6:$A$55,A136))</f>
        <v/>
      </c>
      <c r="N136" s="2" t="str">
        <f>IF(B136="","",COUNTIF(Counterparties!$A$6:$A$80,B136))</f>
        <v/>
      </c>
      <c r="O136" s="2" t="str">
        <f t="shared" si="1"/>
        <v/>
      </c>
      <c r="P136" s="2" t="str">
        <f t="array" ref="P136">IF(B136="","",IF(N136&lt;&gt;1,"n.a.",INDEX(Counterparties!$C$6:$C$80,MATCH(B136,Counterparties!$A$6:$A$80,0))))</f>
        <v/>
      </c>
      <c r="Q136" s="2" t="str">
        <f t="array" ref="Q136">IF(B136="","",IF(N136&lt;&gt;1,"n.a.",INDEX(Counterparties!$G$6:$G$80,MATCH(B136,Counterparties!$A$6:$A$80,0))))</f>
        <v/>
      </c>
      <c r="R136" s="2">
        <f t="array" ref="R136">IF(A136="",0,IF(M136&lt;&gt;1,0,IF(AND(INDEX(Companies!$R$6:$R$55,MATCH(A136,Companies!$A$6:$A$55,0))=1,INDEX(Companies!$I$6:$I$55,MATCH(A136,Companies!$A$6:$A$55,0))&gt;=MAX(10,Rules!$B$22)),1,0)))</f>
        <v>0</v>
      </c>
      <c r="S136" s="2" t="str">
        <f t="array" ref="S136">IF(B136="","",IF(N136&lt;&gt;1,"Check counterparty ID",INDEX(Counterparties!$N$6:$N$80,MATCH(B136,Counterparties!$A$6:$A$80,0))))</f>
        <v/>
      </c>
      <c r="T136" s="2" t="str">
        <f t="shared" si="2"/>
        <v/>
      </c>
      <c r="U136" s="2">
        <f t="shared" si="3"/>
        <v>0</v>
      </c>
      <c r="V136" s="2">
        <f t="shared" si="4"/>
        <v>0</v>
      </c>
      <c r="W136" s="2">
        <f>IF(COUNTA(A136:L136)=0,0,IF(AND(OR(C136="Client",C136="Partner",C136="Client and partner"),D136&lt;&gt;"",E136="Active",H136&lt;&gt;"",ISNUMBER(I136),ISNUMBER(J136),I136&lt;=J136,J136&lt;=Rules!$B$6,Rules!$B$6-J136&lt;=Rules!$B$42,K136="Yes",OR(F136="",AND(ISNUMBER(F136),F136&lt;=Rules!$B$6)),OR(G136="",AND(ISNUMBER(G136),G136&gt;=Rules!$B$6)),OR(F136="",G136="",G136&gt;=F136)),1,0))</f>
        <v>0</v>
      </c>
    </row>
    <row r="137" ht="21.0" customHeight="1">
      <c r="A137" s="44"/>
      <c r="B137" s="44"/>
      <c r="C137" s="44"/>
      <c r="D137" s="44"/>
      <c r="E137" s="44"/>
      <c r="F137" s="48"/>
      <c r="G137" s="48"/>
      <c r="H137" s="44"/>
      <c r="I137" s="48"/>
      <c r="J137" s="48"/>
      <c r="K137" s="44"/>
      <c r="L137" s="44"/>
      <c r="M137" s="2" t="str">
        <f>IF(A137="","",COUNTIF(Companies!$A$6:$A$55,A137))</f>
        <v/>
      </c>
      <c r="N137" s="2" t="str">
        <f>IF(B137="","",COUNTIF(Counterparties!$A$6:$A$80,B137))</f>
        <v/>
      </c>
      <c r="O137" s="2" t="str">
        <f t="shared" si="1"/>
        <v/>
      </c>
      <c r="P137" s="2" t="str">
        <f t="array" ref="P137">IF(B137="","",IF(N137&lt;&gt;1,"n.a.",INDEX(Counterparties!$C$6:$C$80,MATCH(B137,Counterparties!$A$6:$A$80,0))))</f>
        <v/>
      </c>
      <c r="Q137" s="2" t="str">
        <f t="array" ref="Q137">IF(B137="","",IF(N137&lt;&gt;1,"n.a.",INDEX(Counterparties!$G$6:$G$80,MATCH(B137,Counterparties!$A$6:$A$80,0))))</f>
        <v/>
      </c>
      <c r="R137" s="2">
        <f t="array" ref="R137">IF(A137="",0,IF(M137&lt;&gt;1,0,IF(AND(INDEX(Companies!$R$6:$R$55,MATCH(A137,Companies!$A$6:$A$55,0))=1,INDEX(Companies!$I$6:$I$55,MATCH(A137,Companies!$A$6:$A$55,0))&gt;=MAX(10,Rules!$B$22)),1,0)))</f>
        <v>0</v>
      </c>
      <c r="S137" s="2" t="str">
        <f t="array" ref="S137">IF(B137="","",IF(N137&lt;&gt;1,"Check counterparty ID",INDEX(Counterparties!$N$6:$N$80,MATCH(B137,Counterparties!$A$6:$A$80,0))))</f>
        <v/>
      </c>
      <c r="T137" s="2" t="str">
        <f t="shared" si="2"/>
        <v/>
      </c>
      <c r="U137" s="2">
        <f t="shared" si="3"/>
        <v>0</v>
      </c>
      <c r="V137" s="2">
        <f t="shared" si="4"/>
        <v>0</v>
      </c>
      <c r="W137" s="2">
        <f>IF(COUNTA(A137:L137)=0,0,IF(AND(OR(C137="Client",C137="Partner",C137="Client and partner"),D137&lt;&gt;"",E137="Active",H137&lt;&gt;"",ISNUMBER(I137),ISNUMBER(J137),I137&lt;=J137,J137&lt;=Rules!$B$6,Rules!$B$6-J137&lt;=Rules!$B$42,K137="Yes",OR(F137="",AND(ISNUMBER(F137),F137&lt;=Rules!$B$6)),OR(G137="",AND(ISNUMBER(G137),G137&gt;=Rules!$B$6)),OR(F137="",G137="",G137&gt;=F137)),1,0))</f>
        <v>0</v>
      </c>
    </row>
    <row r="138" ht="21.0" customHeight="1">
      <c r="A138" s="44"/>
      <c r="B138" s="44"/>
      <c r="C138" s="44"/>
      <c r="D138" s="44"/>
      <c r="E138" s="44"/>
      <c r="F138" s="48"/>
      <c r="G138" s="48"/>
      <c r="H138" s="44"/>
      <c r="I138" s="48"/>
      <c r="J138" s="48"/>
      <c r="K138" s="44"/>
      <c r="L138" s="44"/>
      <c r="M138" s="2" t="str">
        <f>IF(A138="","",COUNTIF(Companies!$A$6:$A$55,A138))</f>
        <v/>
      </c>
      <c r="N138" s="2" t="str">
        <f>IF(B138="","",COUNTIF(Counterparties!$A$6:$A$80,B138))</f>
        <v/>
      </c>
      <c r="O138" s="2" t="str">
        <f t="shared" si="1"/>
        <v/>
      </c>
      <c r="P138" s="2" t="str">
        <f t="array" ref="P138">IF(B138="","",IF(N138&lt;&gt;1,"n.a.",INDEX(Counterparties!$C$6:$C$80,MATCH(B138,Counterparties!$A$6:$A$80,0))))</f>
        <v/>
      </c>
      <c r="Q138" s="2" t="str">
        <f t="array" ref="Q138">IF(B138="","",IF(N138&lt;&gt;1,"n.a.",INDEX(Counterparties!$G$6:$G$80,MATCH(B138,Counterparties!$A$6:$A$80,0))))</f>
        <v/>
      </c>
      <c r="R138" s="2">
        <f t="array" ref="R138">IF(A138="",0,IF(M138&lt;&gt;1,0,IF(AND(INDEX(Companies!$R$6:$R$55,MATCH(A138,Companies!$A$6:$A$55,0))=1,INDEX(Companies!$I$6:$I$55,MATCH(A138,Companies!$A$6:$A$55,0))&gt;=MAX(10,Rules!$B$22)),1,0)))</f>
        <v>0</v>
      </c>
      <c r="S138" s="2" t="str">
        <f t="array" ref="S138">IF(B138="","",IF(N138&lt;&gt;1,"Check counterparty ID",INDEX(Counterparties!$N$6:$N$80,MATCH(B138,Counterparties!$A$6:$A$80,0))))</f>
        <v/>
      </c>
      <c r="T138" s="2" t="str">
        <f t="shared" si="2"/>
        <v/>
      </c>
      <c r="U138" s="2">
        <f t="shared" si="3"/>
        <v>0</v>
      </c>
      <c r="V138" s="2">
        <f t="shared" si="4"/>
        <v>0</v>
      </c>
      <c r="W138" s="2">
        <f>IF(COUNTA(A138:L138)=0,0,IF(AND(OR(C138="Client",C138="Partner",C138="Client and partner"),D138&lt;&gt;"",E138="Active",H138&lt;&gt;"",ISNUMBER(I138),ISNUMBER(J138),I138&lt;=J138,J138&lt;=Rules!$B$6,Rules!$B$6-J138&lt;=Rules!$B$42,K138="Yes",OR(F138="",AND(ISNUMBER(F138),F138&lt;=Rules!$B$6)),OR(G138="",AND(ISNUMBER(G138),G138&gt;=Rules!$B$6)),OR(F138="",G138="",G138&gt;=F138)),1,0))</f>
        <v>0</v>
      </c>
    </row>
    <row r="139" ht="21.0" customHeight="1">
      <c r="A139" s="44"/>
      <c r="B139" s="44"/>
      <c r="C139" s="44"/>
      <c r="D139" s="44"/>
      <c r="E139" s="44"/>
      <c r="F139" s="48"/>
      <c r="G139" s="48"/>
      <c r="H139" s="44"/>
      <c r="I139" s="48"/>
      <c r="J139" s="48"/>
      <c r="K139" s="44"/>
      <c r="L139" s="44"/>
      <c r="M139" s="2" t="str">
        <f>IF(A139="","",COUNTIF(Companies!$A$6:$A$55,A139))</f>
        <v/>
      </c>
      <c r="N139" s="2" t="str">
        <f>IF(B139="","",COUNTIF(Counterparties!$A$6:$A$80,B139))</f>
        <v/>
      </c>
      <c r="O139" s="2" t="str">
        <f t="shared" si="1"/>
        <v/>
      </c>
      <c r="P139" s="2" t="str">
        <f t="array" ref="P139">IF(B139="","",IF(N139&lt;&gt;1,"n.a.",INDEX(Counterparties!$C$6:$C$80,MATCH(B139,Counterparties!$A$6:$A$80,0))))</f>
        <v/>
      </c>
      <c r="Q139" s="2" t="str">
        <f t="array" ref="Q139">IF(B139="","",IF(N139&lt;&gt;1,"n.a.",INDEX(Counterparties!$G$6:$G$80,MATCH(B139,Counterparties!$A$6:$A$80,0))))</f>
        <v/>
      </c>
      <c r="R139" s="2">
        <f t="array" ref="R139">IF(A139="",0,IF(M139&lt;&gt;1,0,IF(AND(INDEX(Companies!$R$6:$R$55,MATCH(A139,Companies!$A$6:$A$55,0))=1,INDEX(Companies!$I$6:$I$55,MATCH(A139,Companies!$A$6:$A$55,0))&gt;=MAX(10,Rules!$B$22)),1,0)))</f>
        <v>0</v>
      </c>
      <c r="S139" s="2" t="str">
        <f t="array" ref="S139">IF(B139="","",IF(N139&lt;&gt;1,"Check counterparty ID",INDEX(Counterparties!$N$6:$N$80,MATCH(B139,Counterparties!$A$6:$A$80,0))))</f>
        <v/>
      </c>
      <c r="T139" s="2" t="str">
        <f t="shared" si="2"/>
        <v/>
      </c>
      <c r="U139" s="2">
        <f t="shared" si="3"/>
        <v>0</v>
      </c>
      <c r="V139" s="2">
        <f t="shared" si="4"/>
        <v>0</v>
      </c>
      <c r="W139" s="2">
        <f>IF(COUNTA(A139:L139)=0,0,IF(AND(OR(C139="Client",C139="Partner",C139="Client and partner"),D139&lt;&gt;"",E139="Active",H139&lt;&gt;"",ISNUMBER(I139),ISNUMBER(J139),I139&lt;=J139,J139&lt;=Rules!$B$6,Rules!$B$6-J139&lt;=Rules!$B$42,K139="Yes",OR(F139="",AND(ISNUMBER(F139),F139&lt;=Rules!$B$6)),OR(G139="",AND(ISNUMBER(G139),G139&gt;=Rules!$B$6)),OR(F139="",G139="",G139&gt;=F139)),1,0))</f>
        <v>0</v>
      </c>
    </row>
    <row r="140" ht="21.0" customHeight="1">
      <c r="A140" s="44"/>
      <c r="B140" s="44"/>
      <c r="C140" s="44"/>
      <c r="D140" s="44"/>
      <c r="E140" s="44"/>
      <c r="F140" s="48"/>
      <c r="G140" s="48"/>
      <c r="H140" s="44"/>
      <c r="I140" s="48"/>
      <c r="J140" s="48"/>
      <c r="K140" s="44"/>
      <c r="L140" s="44"/>
      <c r="M140" s="2" t="str">
        <f>IF(A140="","",COUNTIF(Companies!$A$6:$A$55,A140))</f>
        <v/>
      </c>
      <c r="N140" s="2" t="str">
        <f>IF(B140="","",COUNTIF(Counterparties!$A$6:$A$80,B140))</f>
        <v/>
      </c>
      <c r="O140" s="2" t="str">
        <f t="shared" si="1"/>
        <v/>
      </c>
      <c r="P140" s="2" t="str">
        <f t="array" ref="P140">IF(B140="","",IF(N140&lt;&gt;1,"n.a.",INDEX(Counterparties!$C$6:$C$80,MATCH(B140,Counterparties!$A$6:$A$80,0))))</f>
        <v/>
      </c>
      <c r="Q140" s="2" t="str">
        <f t="array" ref="Q140">IF(B140="","",IF(N140&lt;&gt;1,"n.a.",INDEX(Counterparties!$G$6:$G$80,MATCH(B140,Counterparties!$A$6:$A$80,0))))</f>
        <v/>
      </c>
      <c r="R140" s="2">
        <f t="array" ref="R140">IF(A140="",0,IF(M140&lt;&gt;1,0,IF(AND(INDEX(Companies!$R$6:$R$55,MATCH(A140,Companies!$A$6:$A$55,0))=1,INDEX(Companies!$I$6:$I$55,MATCH(A140,Companies!$A$6:$A$55,0))&gt;=MAX(10,Rules!$B$22)),1,0)))</f>
        <v>0</v>
      </c>
      <c r="S140" s="2" t="str">
        <f t="array" ref="S140">IF(B140="","",IF(N140&lt;&gt;1,"Check counterparty ID",INDEX(Counterparties!$N$6:$N$80,MATCH(B140,Counterparties!$A$6:$A$80,0))))</f>
        <v/>
      </c>
      <c r="T140" s="2" t="str">
        <f t="shared" si="2"/>
        <v/>
      </c>
      <c r="U140" s="2">
        <f t="shared" si="3"/>
        <v>0</v>
      </c>
      <c r="V140" s="2">
        <f t="shared" si="4"/>
        <v>0</v>
      </c>
      <c r="W140" s="2">
        <f>IF(COUNTA(A140:L140)=0,0,IF(AND(OR(C140="Client",C140="Partner",C140="Client and partner"),D140&lt;&gt;"",E140="Active",H140&lt;&gt;"",ISNUMBER(I140),ISNUMBER(J140),I140&lt;=J140,J140&lt;=Rules!$B$6,Rules!$B$6-J140&lt;=Rules!$B$42,K140="Yes",OR(F140="",AND(ISNUMBER(F140),F140&lt;=Rules!$B$6)),OR(G140="",AND(ISNUMBER(G140),G140&gt;=Rules!$B$6)),OR(F140="",G140="",G140&gt;=F140)),1,0))</f>
        <v>0</v>
      </c>
    </row>
    <row r="141" ht="21.0" customHeight="1">
      <c r="A141" s="44"/>
      <c r="B141" s="44"/>
      <c r="C141" s="44"/>
      <c r="D141" s="44"/>
      <c r="E141" s="44"/>
      <c r="F141" s="48"/>
      <c r="G141" s="48"/>
      <c r="H141" s="44"/>
      <c r="I141" s="48"/>
      <c r="J141" s="48"/>
      <c r="K141" s="44"/>
      <c r="L141" s="44"/>
      <c r="M141" s="2" t="str">
        <f>IF(A141="","",COUNTIF(Companies!$A$6:$A$55,A141))</f>
        <v/>
      </c>
      <c r="N141" s="2" t="str">
        <f>IF(B141="","",COUNTIF(Counterparties!$A$6:$A$80,B141))</f>
        <v/>
      </c>
      <c r="O141" s="2" t="str">
        <f t="shared" si="1"/>
        <v/>
      </c>
      <c r="P141" s="2" t="str">
        <f t="array" ref="P141">IF(B141="","",IF(N141&lt;&gt;1,"n.a.",INDEX(Counterparties!$C$6:$C$80,MATCH(B141,Counterparties!$A$6:$A$80,0))))</f>
        <v/>
      </c>
      <c r="Q141" s="2" t="str">
        <f t="array" ref="Q141">IF(B141="","",IF(N141&lt;&gt;1,"n.a.",INDEX(Counterparties!$G$6:$G$80,MATCH(B141,Counterparties!$A$6:$A$80,0))))</f>
        <v/>
      </c>
      <c r="R141" s="2">
        <f t="array" ref="R141">IF(A141="",0,IF(M141&lt;&gt;1,0,IF(AND(INDEX(Companies!$R$6:$R$55,MATCH(A141,Companies!$A$6:$A$55,0))=1,INDEX(Companies!$I$6:$I$55,MATCH(A141,Companies!$A$6:$A$55,0))&gt;=MAX(10,Rules!$B$22)),1,0)))</f>
        <v>0</v>
      </c>
      <c r="S141" s="2" t="str">
        <f t="array" ref="S141">IF(B141="","",IF(N141&lt;&gt;1,"Check counterparty ID",INDEX(Counterparties!$N$6:$N$80,MATCH(B141,Counterparties!$A$6:$A$80,0))))</f>
        <v/>
      </c>
      <c r="T141" s="2" t="str">
        <f t="shared" si="2"/>
        <v/>
      </c>
      <c r="U141" s="2">
        <f t="shared" si="3"/>
        <v>0</v>
      </c>
      <c r="V141" s="2">
        <f t="shared" si="4"/>
        <v>0</v>
      </c>
      <c r="W141" s="2">
        <f>IF(COUNTA(A141:L141)=0,0,IF(AND(OR(C141="Client",C141="Partner",C141="Client and partner"),D141&lt;&gt;"",E141="Active",H141&lt;&gt;"",ISNUMBER(I141),ISNUMBER(J141),I141&lt;=J141,J141&lt;=Rules!$B$6,Rules!$B$6-J141&lt;=Rules!$B$42,K141="Yes",OR(F141="",AND(ISNUMBER(F141),F141&lt;=Rules!$B$6)),OR(G141="",AND(ISNUMBER(G141),G141&gt;=Rules!$B$6)),OR(F141="",G141="",G141&gt;=F141)),1,0))</f>
        <v>0</v>
      </c>
    </row>
    <row r="142" ht="21.0" customHeight="1">
      <c r="A142" s="44"/>
      <c r="B142" s="44"/>
      <c r="C142" s="44"/>
      <c r="D142" s="44"/>
      <c r="E142" s="44"/>
      <c r="F142" s="48"/>
      <c r="G142" s="48"/>
      <c r="H142" s="44"/>
      <c r="I142" s="48"/>
      <c r="J142" s="48"/>
      <c r="K142" s="44"/>
      <c r="L142" s="44"/>
      <c r="M142" s="2" t="str">
        <f>IF(A142="","",COUNTIF(Companies!$A$6:$A$55,A142))</f>
        <v/>
      </c>
      <c r="N142" s="2" t="str">
        <f>IF(B142="","",COUNTIF(Counterparties!$A$6:$A$80,B142))</f>
        <v/>
      </c>
      <c r="O142" s="2" t="str">
        <f t="shared" si="1"/>
        <v/>
      </c>
      <c r="P142" s="2" t="str">
        <f t="array" ref="P142">IF(B142="","",IF(N142&lt;&gt;1,"n.a.",INDEX(Counterparties!$C$6:$C$80,MATCH(B142,Counterparties!$A$6:$A$80,0))))</f>
        <v/>
      </c>
      <c r="Q142" s="2" t="str">
        <f t="array" ref="Q142">IF(B142="","",IF(N142&lt;&gt;1,"n.a.",INDEX(Counterparties!$G$6:$G$80,MATCH(B142,Counterparties!$A$6:$A$80,0))))</f>
        <v/>
      </c>
      <c r="R142" s="2">
        <f t="array" ref="R142">IF(A142="",0,IF(M142&lt;&gt;1,0,IF(AND(INDEX(Companies!$R$6:$R$55,MATCH(A142,Companies!$A$6:$A$55,0))=1,INDEX(Companies!$I$6:$I$55,MATCH(A142,Companies!$A$6:$A$55,0))&gt;=MAX(10,Rules!$B$22)),1,0)))</f>
        <v>0</v>
      </c>
      <c r="S142" s="2" t="str">
        <f t="array" ref="S142">IF(B142="","",IF(N142&lt;&gt;1,"Check counterparty ID",INDEX(Counterparties!$N$6:$N$80,MATCH(B142,Counterparties!$A$6:$A$80,0))))</f>
        <v/>
      </c>
      <c r="T142" s="2" t="str">
        <f t="shared" si="2"/>
        <v/>
      </c>
      <c r="U142" s="2">
        <f t="shared" si="3"/>
        <v>0</v>
      </c>
      <c r="V142" s="2">
        <f t="shared" si="4"/>
        <v>0</v>
      </c>
      <c r="W142" s="2">
        <f>IF(COUNTA(A142:L142)=0,0,IF(AND(OR(C142="Client",C142="Partner",C142="Client and partner"),D142&lt;&gt;"",E142="Active",H142&lt;&gt;"",ISNUMBER(I142),ISNUMBER(J142),I142&lt;=J142,J142&lt;=Rules!$B$6,Rules!$B$6-J142&lt;=Rules!$B$42,K142="Yes",OR(F142="",AND(ISNUMBER(F142),F142&lt;=Rules!$B$6)),OR(G142="",AND(ISNUMBER(G142),G142&gt;=Rules!$B$6)),OR(F142="",G142="",G142&gt;=F142)),1,0))</f>
        <v>0</v>
      </c>
    </row>
    <row r="143" ht="21.0" customHeight="1">
      <c r="A143" s="44"/>
      <c r="B143" s="44"/>
      <c r="C143" s="44"/>
      <c r="D143" s="44"/>
      <c r="E143" s="44"/>
      <c r="F143" s="48"/>
      <c r="G143" s="48"/>
      <c r="H143" s="44"/>
      <c r="I143" s="48"/>
      <c r="J143" s="48"/>
      <c r="K143" s="44"/>
      <c r="L143" s="44"/>
      <c r="M143" s="2" t="str">
        <f>IF(A143="","",COUNTIF(Companies!$A$6:$A$55,A143))</f>
        <v/>
      </c>
      <c r="N143" s="2" t="str">
        <f>IF(B143="","",COUNTIF(Counterparties!$A$6:$A$80,B143))</f>
        <v/>
      </c>
      <c r="O143" s="2" t="str">
        <f t="shared" si="1"/>
        <v/>
      </c>
      <c r="P143" s="2" t="str">
        <f t="array" ref="P143">IF(B143="","",IF(N143&lt;&gt;1,"n.a.",INDEX(Counterparties!$C$6:$C$80,MATCH(B143,Counterparties!$A$6:$A$80,0))))</f>
        <v/>
      </c>
      <c r="Q143" s="2" t="str">
        <f t="array" ref="Q143">IF(B143="","",IF(N143&lt;&gt;1,"n.a.",INDEX(Counterparties!$G$6:$G$80,MATCH(B143,Counterparties!$A$6:$A$80,0))))</f>
        <v/>
      </c>
      <c r="R143" s="2">
        <f t="array" ref="R143">IF(A143="",0,IF(M143&lt;&gt;1,0,IF(AND(INDEX(Companies!$R$6:$R$55,MATCH(A143,Companies!$A$6:$A$55,0))=1,INDEX(Companies!$I$6:$I$55,MATCH(A143,Companies!$A$6:$A$55,0))&gt;=MAX(10,Rules!$B$22)),1,0)))</f>
        <v>0</v>
      </c>
      <c r="S143" s="2" t="str">
        <f t="array" ref="S143">IF(B143="","",IF(N143&lt;&gt;1,"Check counterparty ID",INDEX(Counterparties!$N$6:$N$80,MATCH(B143,Counterparties!$A$6:$A$80,0))))</f>
        <v/>
      </c>
      <c r="T143" s="2" t="str">
        <f t="shared" si="2"/>
        <v/>
      </c>
      <c r="U143" s="2">
        <f t="shared" si="3"/>
        <v>0</v>
      </c>
      <c r="V143" s="2">
        <f t="shared" si="4"/>
        <v>0</v>
      </c>
      <c r="W143" s="2">
        <f>IF(COUNTA(A143:L143)=0,0,IF(AND(OR(C143="Client",C143="Partner",C143="Client and partner"),D143&lt;&gt;"",E143="Active",H143&lt;&gt;"",ISNUMBER(I143),ISNUMBER(J143),I143&lt;=J143,J143&lt;=Rules!$B$6,Rules!$B$6-J143&lt;=Rules!$B$42,K143="Yes",OR(F143="",AND(ISNUMBER(F143),F143&lt;=Rules!$B$6)),OR(G143="",AND(ISNUMBER(G143),G143&gt;=Rules!$B$6)),OR(F143="",G143="",G143&gt;=F143)),1,0))</f>
        <v>0</v>
      </c>
    </row>
    <row r="144" ht="21.0" customHeight="1">
      <c r="A144" s="44"/>
      <c r="B144" s="44"/>
      <c r="C144" s="44"/>
      <c r="D144" s="44"/>
      <c r="E144" s="44"/>
      <c r="F144" s="48"/>
      <c r="G144" s="48"/>
      <c r="H144" s="44"/>
      <c r="I144" s="48"/>
      <c r="J144" s="48"/>
      <c r="K144" s="44"/>
      <c r="L144" s="44"/>
      <c r="M144" s="2" t="str">
        <f>IF(A144="","",COUNTIF(Companies!$A$6:$A$55,A144))</f>
        <v/>
      </c>
      <c r="N144" s="2" t="str">
        <f>IF(B144="","",COUNTIF(Counterparties!$A$6:$A$80,B144))</f>
        <v/>
      </c>
      <c r="O144" s="2" t="str">
        <f t="shared" si="1"/>
        <v/>
      </c>
      <c r="P144" s="2" t="str">
        <f t="array" ref="P144">IF(B144="","",IF(N144&lt;&gt;1,"n.a.",INDEX(Counterparties!$C$6:$C$80,MATCH(B144,Counterparties!$A$6:$A$80,0))))</f>
        <v/>
      </c>
      <c r="Q144" s="2" t="str">
        <f t="array" ref="Q144">IF(B144="","",IF(N144&lt;&gt;1,"n.a.",INDEX(Counterparties!$G$6:$G$80,MATCH(B144,Counterparties!$A$6:$A$80,0))))</f>
        <v/>
      </c>
      <c r="R144" s="2">
        <f t="array" ref="R144">IF(A144="",0,IF(M144&lt;&gt;1,0,IF(AND(INDEX(Companies!$R$6:$R$55,MATCH(A144,Companies!$A$6:$A$55,0))=1,INDEX(Companies!$I$6:$I$55,MATCH(A144,Companies!$A$6:$A$55,0))&gt;=MAX(10,Rules!$B$22)),1,0)))</f>
        <v>0</v>
      </c>
      <c r="S144" s="2" t="str">
        <f t="array" ref="S144">IF(B144="","",IF(N144&lt;&gt;1,"Check counterparty ID",INDEX(Counterparties!$N$6:$N$80,MATCH(B144,Counterparties!$A$6:$A$80,0))))</f>
        <v/>
      </c>
      <c r="T144" s="2" t="str">
        <f t="shared" si="2"/>
        <v/>
      </c>
      <c r="U144" s="2">
        <f t="shared" si="3"/>
        <v>0</v>
      </c>
      <c r="V144" s="2">
        <f t="shared" si="4"/>
        <v>0</v>
      </c>
      <c r="W144" s="2">
        <f>IF(COUNTA(A144:L144)=0,0,IF(AND(OR(C144="Client",C144="Partner",C144="Client and partner"),D144&lt;&gt;"",E144="Active",H144&lt;&gt;"",ISNUMBER(I144),ISNUMBER(J144),I144&lt;=J144,J144&lt;=Rules!$B$6,Rules!$B$6-J144&lt;=Rules!$B$42,K144="Yes",OR(F144="",AND(ISNUMBER(F144),F144&lt;=Rules!$B$6)),OR(G144="",AND(ISNUMBER(G144),G144&gt;=Rules!$B$6)),OR(F144="",G144="",G144&gt;=F144)),1,0))</f>
        <v>0</v>
      </c>
    </row>
    <row r="145" ht="21.0" customHeight="1">
      <c r="A145" s="44"/>
      <c r="B145" s="44"/>
      <c r="C145" s="44"/>
      <c r="D145" s="44"/>
      <c r="E145" s="44"/>
      <c r="F145" s="48"/>
      <c r="G145" s="48"/>
      <c r="H145" s="44"/>
      <c r="I145" s="48"/>
      <c r="J145" s="48"/>
      <c r="K145" s="44"/>
      <c r="L145" s="44"/>
      <c r="M145" s="2" t="str">
        <f>IF(A145="","",COUNTIF(Companies!$A$6:$A$55,A145))</f>
        <v/>
      </c>
      <c r="N145" s="2" t="str">
        <f>IF(B145="","",COUNTIF(Counterparties!$A$6:$A$80,B145))</f>
        <v/>
      </c>
      <c r="O145" s="2" t="str">
        <f t="shared" si="1"/>
        <v/>
      </c>
      <c r="P145" s="2" t="str">
        <f t="array" ref="P145">IF(B145="","",IF(N145&lt;&gt;1,"n.a.",INDEX(Counterparties!$C$6:$C$80,MATCH(B145,Counterparties!$A$6:$A$80,0))))</f>
        <v/>
      </c>
      <c r="Q145" s="2" t="str">
        <f t="array" ref="Q145">IF(B145="","",IF(N145&lt;&gt;1,"n.a.",INDEX(Counterparties!$G$6:$G$80,MATCH(B145,Counterparties!$A$6:$A$80,0))))</f>
        <v/>
      </c>
      <c r="R145" s="2">
        <f t="array" ref="R145">IF(A145="",0,IF(M145&lt;&gt;1,0,IF(AND(INDEX(Companies!$R$6:$R$55,MATCH(A145,Companies!$A$6:$A$55,0))=1,INDEX(Companies!$I$6:$I$55,MATCH(A145,Companies!$A$6:$A$55,0))&gt;=MAX(10,Rules!$B$22)),1,0)))</f>
        <v>0</v>
      </c>
      <c r="S145" s="2" t="str">
        <f t="array" ref="S145">IF(B145="","",IF(N145&lt;&gt;1,"Check counterparty ID",INDEX(Counterparties!$N$6:$N$80,MATCH(B145,Counterparties!$A$6:$A$80,0))))</f>
        <v/>
      </c>
      <c r="T145" s="2" t="str">
        <f t="shared" si="2"/>
        <v/>
      </c>
      <c r="U145" s="2">
        <f t="shared" si="3"/>
        <v>0</v>
      </c>
      <c r="V145" s="2">
        <f t="shared" si="4"/>
        <v>0</v>
      </c>
      <c r="W145" s="2">
        <f>IF(COUNTA(A145:L145)=0,0,IF(AND(OR(C145="Client",C145="Partner",C145="Client and partner"),D145&lt;&gt;"",E145="Active",H145&lt;&gt;"",ISNUMBER(I145),ISNUMBER(J145),I145&lt;=J145,J145&lt;=Rules!$B$6,Rules!$B$6-J145&lt;=Rules!$B$42,K145="Yes",OR(F145="",AND(ISNUMBER(F145),F145&lt;=Rules!$B$6)),OR(G145="",AND(ISNUMBER(G145),G145&gt;=Rules!$B$6)),OR(F145="",G145="",G145&gt;=F145)),1,0))</f>
        <v>0</v>
      </c>
    </row>
    <row r="146" ht="21.0" customHeight="1">
      <c r="A146" s="44"/>
      <c r="B146" s="44"/>
      <c r="C146" s="44"/>
      <c r="D146" s="44"/>
      <c r="E146" s="44"/>
      <c r="F146" s="48"/>
      <c r="G146" s="48"/>
      <c r="H146" s="44"/>
      <c r="I146" s="48"/>
      <c r="J146" s="48"/>
      <c r="K146" s="44"/>
      <c r="L146" s="44"/>
      <c r="M146" s="2" t="str">
        <f>IF(A146="","",COUNTIF(Companies!$A$6:$A$55,A146))</f>
        <v/>
      </c>
      <c r="N146" s="2" t="str">
        <f>IF(B146="","",COUNTIF(Counterparties!$A$6:$A$80,B146))</f>
        <v/>
      </c>
      <c r="O146" s="2" t="str">
        <f t="shared" si="1"/>
        <v/>
      </c>
      <c r="P146" s="2" t="str">
        <f t="array" ref="P146">IF(B146="","",IF(N146&lt;&gt;1,"n.a.",INDEX(Counterparties!$C$6:$C$80,MATCH(B146,Counterparties!$A$6:$A$80,0))))</f>
        <v/>
      </c>
      <c r="Q146" s="2" t="str">
        <f t="array" ref="Q146">IF(B146="","",IF(N146&lt;&gt;1,"n.a.",INDEX(Counterparties!$G$6:$G$80,MATCH(B146,Counterparties!$A$6:$A$80,0))))</f>
        <v/>
      </c>
      <c r="R146" s="2">
        <f t="array" ref="R146">IF(A146="",0,IF(M146&lt;&gt;1,0,IF(AND(INDEX(Companies!$R$6:$R$55,MATCH(A146,Companies!$A$6:$A$55,0))=1,INDEX(Companies!$I$6:$I$55,MATCH(A146,Companies!$A$6:$A$55,0))&gt;=MAX(10,Rules!$B$22)),1,0)))</f>
        <v>0</v>
      </c>
      <c r="S146" s="2" t="str">
        <f t="array" ref="S146">IF(B146="","",IF(N146&lt;&gt;1,"Check counterparty ID",INDEX(Counterparties!$N$6:$N$80,MATCH(B146,Counterparties!$A$6:$A$80,0))))</f>
        <v/>
      </c>
      <c r="T146" s="2" t="str">
        <f t="shared" si="2"/>
        <v/>
      </c>
      <c r="U146" s="2">
        <f t="shared" si="3"/>
        <v>0</v>
      </c>
      <c r="V146" s="2">
        <f t="shared" si="4"/>
        <v>0</v>
      </c>
      <c r="W146" s="2">
        <f>IF(COUNTA(A146:L146)=0,0,IF(AND(OR(C146="Client",C146="Partner",C146="Client and partner"),D146&lt;&gt;"",E146="Active",H146&lt;&gt;"",ISNUMBER(I146),ISNUMBER(J146),I146&lt;=J146,J146&lt;=Rules!$B$6,Rules!$B$6-J146&lt;=Rules!$B$42,K146="Yes",OR(F146="",AND(ISNUMBER(F146),F146&lt;=Rules!$B$6)),OR(G146="",AND(ISNUMBER(G146),G146&gt;=Rules!$B$6)),OR(F146="",G146="",G146&gt;=F146)),1,0))</f>
        <v>0</v>
      </c>
    </row>
    <row r="147" ht="21.0" customHeight="1">
      <c r="A147" s="44"/>
      <c r="B147" s="44"/>
      <c r="C147" s="44"/>
      <c r="D147" s="44"/>
      <c r="E147" s="44"/>
      <c r="F147" s="48"/>
      <c r="G147" s="48"/>
      <c r="H147" s="44"/>
      <c r="I147" s="48"/>
      <c r="J147" s="48"/>
      <c r="K147" s="44"/>
      <c r="L147" s="44"/>
      <c r="M147" s="2" t="str">
        <f>IF(A147="","",COUNTIF(Companies!$A$6:$A$55,A147))</f>
        <v/>
      </c>
      <c r="N147" s="2" t="str">
        <f>IF(B147="","",COUNTIF(Counterparties!$A$6:$A$80,B147))</f>
        <v/>
      </c>
      <c r="O147" s="2" t="str">
        <f t="shared" si="1"/>
        <v/>
      </c>
      <c r="P147" s="2" t="str">
        <f t="array" ref="P147">IF(B147="","",IF(N147&lt;&gt;1,"n.a.",INDEX(Counterparties!$C$6:$C$80,MATCH(B147,Counterparties!$A$6:$A$80,0))))</f>
        <v/>
      </c>
      <c r="Q147" s="2" t="str">
        <f t="array" ref="Q147">IF(B147="","",IF(N147&lt;&gt;1,"n.a.",INDEX(Counterparties!$G$6:$G$80,MATCH(B147,Counterparties!$A$6:$A$80,0))))</f>
        <v/>
      </c>
      <c r="R147" s="2">
        <f t="array" ref="R147">IF(A147="",0,IF(M147&lt;&gt;1,0,IF(AND(INDEX(Companies!$R$6:$R$55,MATCH(A147,Companies!$A$6:$A$55,0))=1,INDEX(Companies!$I$6:$I$55,MATCH(A147,Companies!$A$6:$A$55,0))&gt;=MAX(10,Rules!$B$22)),1,0)))</f>
        <v>0</v>
      </c>
      <c r="S147" s="2" t="str">
        <f t="array" ref="S147">IF(B147="","",IF(N147&lt;&gt;1,"Check counterparty ID",INDEX(Counterparties!$N$6:$N$80,MATCH(B147,Counterparties!$A$6:$A$80,0))))</f>
        <v/>
      </c>
      <c r="T147" s="2" t="str">
        <f t="shared" si="2"/>
        <v/>
      </c>
      <c r="U147" s="2">
        <f t="shared" si="3"/>
        <v>0</v>
      </c>
      <c r="V147" s="2">
        <f t="shared" si="4"/>
        <v>0</v>
      </c>
      <c r="W147" s="2">
        <f>IF(COUNTA(A147:L147)=0,0,IF(AND(OR(C147="Client",C147="Partner",C147="Client and partner"),D147&lt;&gt;"",E147="Active",H147&lt;&gt;"",ISNUMBER(I147),ISNUMBER(J147),I147&lt;=J147,J147&lt;=Rules!$B$6,Rules!$B$6-J147&lt;=Rules!$B$42,K147="Yes",OR(F147="",AND(ISNUMBER(F147),F147&lt;=Rules!$B$6)),OR(G147="",AND(ISNUMBER(G147),G147&gt;=Rules!$B$6)),OR(F147="",G147="",G147&gt;=F147)),1,0))</f>
        <v>0</v>
      </c>
    </row>
    <row r="148" ht="21.0" customHeight="1">
      <c r="A148" s="44"/>
      <c r="B148" s="44"/>
      <c r="C148" s="44"/>
      <c r="D148" s="44"/>
      <c r="E148" s="44"/>
      <c r="F148" s="48"/>
      <c r="G148" s="48"/>
      <c r="H148" s="44"/>
      <c r="I148" s="48"/>
      <c r="J148" s="48"/>
      <c r="K148" s="44"/>
      <c r="L148" s="44"/>
      <c r="M148" s="2" t="str">
        <f>IF(A148="","",COUNTIF(Companies!$A$6:$A$55,A148))</f>
        <v/>
      </c>
      <c r="N148" s="2" t="str">
        <f>IF(B148="","",COUNTIF(Counterparties!$A$6:$A$80,B148))</f>
        <v/>
      </c>
      <c r="O148" s="2" t="str">
        <f t="shared" si="1"/>
        <v/>
      </c>
      <c r="P148" s="2" t="str">
        <f t="array" ref="P148">IF(B148="","",IF(N148&lt;&gt;1,"n.a.",INDEX(Counterparties!$C$6:$C$80,MATCH(B148,Counterparties!$A$6:$A$80,0))))</f>
        <v/>
      </c>
      <c r="Q148" s="2" t="str">
        <f t="array" ref="Q148">IF(B148="","",IF(N148&lt;&gt;1,"n.a.",INDEX(Counterparties!$G$6:$G$80,MATCH(B148,Counterparties!$A$6:$A$80,0))))</f>
        <v/>
      </c>
      <c r="R148" s="2">
        <f t="array" ref="R148">IF(A148="",0,IF(M148&lt;&gt;1,0,IF(AND(INDEX(Companies!$R$6:$R$55,MATCH(A148,Companies!$A$6:$A$55,0))=1,INDEX(Companies!$I$6:$I$55,MATCH(A148,Companies!$A$6:$A$55,0))&gt;=MAX(10,Rules!$B$22)),1,0)))</f>
        <v>0</v>
      </c>
      <c r="S148" s="2" t="str">
        <f t="array" ref="S148">IF(B148="","",IF(N148&lt;&gt;1,"Check counterparty ID",INDEX(Counterparties!$N$6:$N$80,MATCH(B148,Counterparties!$A$6:$A$80,0))))</f>
        <v/>
      </c>
      <c r="T148" s="2" t="str">
        <f t="shared" si="2"/>
        <v/>
      </c>
      <c r="U148" s="2">
        <f t="shared" si="3"/>
        <v>0</v>
      </c>
      <c r="V148" s="2">
        <f t="shared" si="4"/>
        <v>0</v>
      </c>
      <c r="W148" s="2">
        <f>IF(COUNTA(A148:L148)=0,0,IF(AND(OR(C148="Client",C148="Partner",C148="Client and partner"),D148&lt;&gt;"",E148="Active",H148&lt;&gt;"",ISNUMBER(I148),ISNUMBER(J148),I148&lt;=J148,J148&lt;=Rules!$B$6,Rules!$B$6-J148&lt;=Rules!$B$42,K148="Yes",OR(F148="",AND(ISNUMBER(F148),F148&lt;=Rules!$B$6)),OR(G148="",AND(ISNUMBER(G148),G148&gt;=Rules!$B$6)),OR(F148="",G148="",G148&gt;=F148)),1,0))</f>
        <v>0</v>
      </c>
    </row>
    <row r="149" ht="21.0" customHeight="1">
      <c r="A149" s="44"/>
      <c r="B149" s="44"/>
      <c r="C149" s="44"/>
      <c r="D149" s="44"/>
      <c r="E149" s="44"/>
      <c r="F149" s="48"/>
      <c r="G149" s="48"/>
      <c r="H149" s="44"/>
      <c r="I149" s="48"/>
      <c r="J149" s="48"/>
      <c r="K149" s="44"/>
      <c r="L149" s="44"/>
      <c r="M149" s="2" t="str">
        <f>IF(A149="","",COUNTIF(Companies!$A$6:$A$55,A149))</f>
        <v/>
      </c>
      <c r="N149" s="2" t="str">
        <f>IF(B149="","",COUNTIF(Counterparties!$A$6:$A$80,B149))</f>
        <v/>
      </c>
      <c r="O149" s="2" t="str">
        <f t="shared" si="1"/>
        <v/>
      </c>
      <c r="P149" s="2" t="str">
        <f t="array" ref="P149">IF(B149="","",IF(N149&lt;&gt;1,"n.a.",INDEX(Counterparties!$C$6:$C$80,MATCH(B149,Counterparties!$A$6:$A$80,0))))</f>
        <v/>
      </c>
      <c r="Q149" s="2" t="str">
        <f t="array" ref="Q149">IF(B149="","",IF(N149&lt;&gt;1,"n.a.",INDEX(Counterparties!$G$6:$G$80,MATCH(B149,Counterparties!$A$6:$A$80,0))))</f>
        <v/>
      </c>
      <c r="R149" s="2">
        <f t="array" ref="R149">IF(A149="",0,IF(M149&lt;&gt;1,0,IF(AND(INDEX(Companies!$R$6:$R$55,MATCH(A149,Companies!$A$6:$A$55,0))=1,INDEX(Companies!$I$6:$I$55,MATCH(A149,Companies!$A$6:$A$55,0))&gt;=MAX(10,Rules!$B$22)),1,0)))</f>
        <v>0</v>
      </c>
      <c r="S149" s="2" t="str">
        <f t="array" ref="S149">IF(B149="","",IF(N149&lt;&gt;1,"Check counterparty ID",INDEX(Counterparties!$N$6:$N$80,MATCH(B149,Counterparties!$A$6:$A$80,0))))</f>
        <v/>
      </c>
      <c r="T149" s="2" t="str">
        <f t="shared" si="2"/>
        <v/>
      </c>
      <c r="U149" s="2">
        <f t="shared" si="3"/>
        <v>0</v>
      </c>
      <c r="V149" s="2">
        <f t="shared" si="4"/>
        <v>0</v>
      </c>
      <c r="W149" s="2">
        <f>IF(COUNTA(A149:L149)=0,0,IF(AND(OR(C149="Client",C149="Partner",C149="Client and partner"),D149&lt;&gt;"",E149="Active",H149&lt;&gt;"",ISNUMBER(I149),ISNUMBER(J149),I149&lt;=J149,J149&lt;=Rules!$B$6,Rules!$B$6-J149&lt;=Rules!$B$42,K149="Yes",OR(F149="",AND(ISNUMBER(F149),F149&lt;=Rules!$B$6)),OR(G149="",AND(ISNUMBER(G149),G149&gt;=Rules!$B$6)),OR(F149="",G149="",G149&gt;=F149)),1,0))</f>
        <v>0</v>
      </c>
    </row>
    <row r="150" ht="21.0" customHeight="1">
      <c r="A150" s="44"/>
      <c r="B150" s="44"/>
      <c r="C150" s="44"/>
      <c r="D150" s="44"/>
      <c r="E150" s="44"/>
      <c r="F150" s="48"/>
      <c r="G150" s="48"/>
      <c r="H150" s="44"/>
      <c r="I150" s="48"/>
      <c r="J150" s="48"/>
      <c r="K150" s="44"/>
      <c r="L150" s="44"/>
      <c r="M150" s="2" t="str">
        <f>IF(A150="","",COUNTIF(Companies!$A$6:$A$55,A150))</f>
        <v/>
      </c>
      <c r="N150" s="2" t="str">
        <f>IF(B150="","",COUNTIF(Counterparties!$A$6:$A$80,B150))</f>
        <v/>
      </c>
      <c r="O150" s="2" t="str">
        <f t="shared" si="1"/>
        <v/>
      </c>
      <c r="P150" s="2" t="str">
        <f t="array" ref="P150">IF(B150="","",IF(N150&lt;&gt;1,"n.a.",INDEX(Counterparties!$C$6:$C$80,MATCH(B150,Counterparties!$A$6:$A$80,0))))</f>
        <v/>
      </c>
      <c r="Q150" s="2" t="str">
        <f t="array" ref="Q150">IF(B150="","",IF(N150&lt;&gt;1,"n.a.",INDEX(Counterparties!$G$6:$G$80,MATCH(B150,Counterparties!$A$6:$A$80,0))))</f>
        <v/>
      </c>
      <c r="R150" s="2">
        <f t="array" ref="R150">IF(A150="",0,IF(M150&lt;&gt;1,0,IF(AND(INDEX(Companies!$R$6:$R$55,MATCH(A150,Companies!$A$6:$A$55,0))=1,INDEX(Companies!$I$6:$I$55,MATCH(A150,Companies!$A$6:$A$55,0))&gt;=MAX(10,Rules!$B$22)),1,0)))</f>
        <v>0</v>
      </c>
      <c r="S150" s="2" t="str">
        <f t="array" ref="S150">IF(B150="","",IF(N150&lt;&gt;1,"Check counterparty ID",INDEX(Counterparties!$N$6:$N$80,MATCH(B150,Counterparties!$A$6:$A$80,0))))</f>
        <v/>
      </c>
      <c r="T150" s="2" t="str">
        <f t="shared" si="2"/>
        <v/>
      </c>
      <c r="U150" s="2">
        <f t="shared" si="3"/>
        <v>0</v>
      </c>
      <c r="V150" s="2">
        <f t="shared" si="4"/>
        <v>0</v>
      </c>
      <c r="W150" s="2">
        <f>IF(COUNTA(A150:L150)=0,0,IF(AND(OR(C150="Client",C150="Partner",C150="Client and partner"),D150&lt;&gt;"",E150="Active",H150&lt;&gt;"",ISNUMBER(I150),ISNUMBER(J150),I150&lt;=J150,J150&lt;=Rules!$B$6,Rules!$B$6-J150&lt;=Rules!$B$42,K150="Yes",OR(F150="",AND(ISNUMBER(F150),F150&lt;=Rules!$B$6)),OR(G150="",AND(ISNUMBER(G150),G150&gt;=Rules!$B$6)),OR(F150="",G150="",G150&gt;=F150)),1,0))</f>
        <v>0</v>
      </c>
    </row>
    <row r="151" ht="21.0" customHeight="1">
      <c r="A151" s="44"/>
      <c r="B151" s="44"/>
      <c r="C151" s="44"/>
      <c r="D151" s="44"/>
      <c r="E151" s="44"/>
      <c r="F151" s="48"/>
      <c r="G151" s="48"/>
      <c r="H151" s="44"/>
      <c r="I151" s="48"/>
      <c r="J151" s="48"/>
      <c r="K151" s="44"/>
      <c r="L151" s="44"/>
      <c r="M151" s="2" t="str">
        <f>IF(A151="","",COUNTIF(Companies!$A$6:$A$55,A151))</f>
        <v/>
      </c>
      <c r="N151" s="2" t="str">
        <f>IF(B151="","",COUNTIF(Counterparties!$A$6:$A$80,B151))</f>
        <v/>
      </c>
      <c r="O151" s="2" t="str">
        <f t="shared" si="1"/>
        <v/>
      </c>
      <c r="P151" s="2" t="str">
        <f t="array" ref="P151">IF(B151="","",IF(N151&lt;&gt;1,"n.a.",INDEX(Counterparties!$C$6:$C$80,MATCH(B151,Counterparties!$A$6:$A$80,0))))</f>
        <v/>
      </c>
      <c r="Q151" s="2" t="str">
        <f t="array" ref="Q151">IF(B151="","",IF(N151&lt;&gt;1,"n.a.",INDEX(Counterparties!$G$6:$G$80,MATCH(B151,Counterparties!$A$6:$A$80,0))))</f>
        <v/>
      </c>
      <c r="R151" s="2">
        <f t="array" ref="R151">IF(A151="",0,IF(M151&lt;&gt;1,0,IF(AND(INDEX(Companies!$R$6:$R$55,MATCH(A151,Companies!$A$6:$A$55,0))=1,INDEX(Companies!$I$6:$I$55,MATCH(A151,Companies!$A$6:$A$55,0))&gt;=MAX(10,Rules!$B$22)),1,0)))</f>
        <v>0</v>
      </c>
      <c r="S151" s="2" t="str">
        <f t="array" ref="S151">IF(B151="","",IF(N151&lt;&gt;1,"Check counterparty ID",INDEX(Counterparties!$N$6:$N$80,MATCH(B151,Counterparties!$A$6:$A$80,0))))</f>
        <v/>
      </c>
      <c r="T151" s="2" t="str">
        <f t="shared" si="2"/>
        <v/>
      </c>
      <c r="U151" s="2">
        <f t="shared" si="3"/>
        <v>0</v>
      </c>
      <c r="V151" s="2">
        <f t="shared" si="4"/>
        <v>0</v>
      </c>
      <c r="W151" s="2">
        <f>IF(COUNTA(A151:L151)=0,0,IF(AND(OR(C151="Client",C151="Partner",C151="Client and partner"),D151&lt;&gt;"",E151="Active",H151&lt;&gt;"",ISNUMBER(I151),ISNUMBER(J151),I151&lt;=J151,J151&lt;=Rules!$B$6,Rules!$B$6-J151&lt;=Rules!$B$42,K151="Yes",OR(F151="",AND(ISNUMBER(F151),F151&lt;=Rules!$B$6)),OR(G151="",AND(ISNUMBER(G151),G151&gt;=Rules!$B$6)),OR(F151="",G151="",G151&gt;=F151)),1,0))</f>
        <v>0</v>
      </c>
    </row>
    <row r="152" ht="21.0" customHeight="1">
      <c r="A152" s="44"/>
      <c r="B152" s="44"/>
      <c r="C152" s="44"/>
      <c r="D152" s="44"/>
      <c r="E152" s="44"/>
      <c r="F152" s="48"/>
      <c r="G152" s="48"/>
      <c r="H152" s="44"/>
      <c r="I152" s="48"/>
      <c r="J152" s="48"/>
      <c r="K152" s="44"/>
      <c r="L152" s="44"/>
      <c r="M152" s="2" t="str">
        <f>IF(A152="","",COUNTIF(Companies!$A$6:$A$55,A152))</f>
        <v/>
      </c>
      <c r="N152" s="2" t="str">
        <f>IF(B152="","",COUNTIF(Counterparties!$A$6:$A$80,B152))</f>
        <v/>
      </c>
      <c r="O152" s="2" t="str">
        <f t="shared" si="1"/>
        <v/>
      </c>
      <c r="P152" s="2" t="str">
        <f t="array" ref="P152">IF(B152="","",IF(N152&lt;&gt;1,"n.a.",INDEX(Counterparties!$C$6:$C$80,MATCH(B152,Counterparties!$A$6:$A$80,0))))</f>
        <v/>
      </c>
      <c r="Q152" s="2" t="str">
        <f t="array" ref="Q152">IF(B152="","",IF(N152&lt;&gt;1,"n.a.",INDEX(Counterparties!$G$6:$G$80,MATCH(B152,Counterparties!$A$6:$A$80,0))))</f>
        <v/>
      </c>
      <c r="R152" s="2">
        <f t="array" ref="R152">IF(A152="",0,IF(M152&lt;&gt;1,0,IF(AND(INDEX(Companies!$R$6:$R$55,MATCH(A152,Companies!$A$6:$A$55,0))=1,INDEX(Companies!$I$6:$I$55,MATCH(A152,Companies!$A$6:$A$55,0))&gt;=MAX(10,Rules!$B$22)),1,0)))</f>
        <v>0</v>
      </c>
      <c r="S152" s="2" t="str">
        <f t="array" ref="S152">IF(B152="","",IF(N152&lt;&gt;1,"Check counterparty ID",INDEX(Counterparties!$N$6:$N$80,MATCH(B152,Counterparties!$A$6:$A$80,0))))</f>
        <v/>
      </c>
      <c r="T152" s="2" t="str">
        <f t="shared" si="2"/>
        <v/>
      </c>
      <c r="U152" s="2">
        <f t="shared" si="3"/>
        <v>0</v>
      </c>
      <c r="V152" s="2">
        <f t="shared" si="4"/>
        <v>0</v>
      </c>
      <c r="W152" s="2">
        <f>IF(COUNTA(A152:L152)=0,0,IF(AND(OR(C152="Client",C152="Partner",C152="Client and partner"),D152&lt;&gt;"",E152="Active",H152&lt;&gt;"",ISNUMBER(I152),ISNUMBER(J152),I152&lt;=J152,J152&lt;=Rules!$B$6,Rules!$B$6-J152&lt;=Rules!$B$42,K152="Yes",OR(F152="",AND(ISNUMBER(F152),F152&lt;=Rules!$B$6)),OR(G152="",AND(ISNUMBER(G152),G152&gt;=Rules!$B$6)),OR(F152="",G152="",G152&gt;=F152)),1,0))</f>
        <v>0</v>
      </c>
    </row>
    <row r="153" ht="21.0" customHeight="1">
      <c r="A153" s="44"/>
      <c r="B153" s="44"/>
      <c r="C153" s="44"/>
      <c r="D153" s="44"/>
      <c r="E153" s="44"/>
      <c r="F153" s="48"/>
      <c r="G153" s="48"/>
      <c r="H153" s="44"/>
      <c r="I153" s="48"/>
      <c r="J153" s="48"/>
      <c r="K153" s="44"/>
      <c r="L153" s="44"/>
      <c r="M153" s="2" t="str">
        <f>IF(A153="","",COUNTIF(Companies!$A$6:$A$55,A153))</f>
        <v/>
      </c>
      <c r="N153" s="2" t="str">
        <f>IF(B153="","",COUNTIF(Counterparties!$A$6:$A$80,B153))</f>
        <v/>
      </c>
      <c r="O153" s="2" t="str">
        <f t="shared" si="1"/>
        <v/>
      </c>
      <c r="P153" s="2" t="str">
        <f t="array" ref="P153">IF(B153="","",IF(N153&lt;&gt;1,"n.a.",INDEX(Counterparties!$C$6:$C$80,MATCH(B153,Counterparties!$A$6:$A$80,0))))</f>
        <v/>
      </c>
      <c r="Q153" s="2" t="str">
        <f t="array" ref="Q153">IF(B153="","",IF(N153&lt;&gt;1,"n.a.",INDEX(Counterparties!$G$6:$G$80,MATCH(B153,Counterparties!$A$6:$A$80,0))))</f>
        <v/>
      </c>
      <c r="R153" s="2">
        <f t="array" ref="R153">IF(A153="",0,IF(M153&lt;&gt;1,0,IF(AND(INDEX(Companies!$R$6:$R$55,MATCH(A153,Companies!$A$6:$A$55,0))=1,INDEX(Companies!$I$6:$I$55,MATCH(A153,Companies!$A$6:$A$55,0))&gt;=MAX(10,Rules!$B$22)),1,0)))</f>
        <v>0</v>
      </c>
      <c r="S153" s="2" t="str">
        <f t="array" ref="S153">IF(B153="","",IF(N153&lt;&gt;1,"Check counterparty ID",INDEX(Counterparties!$N$6:$N$80,MATCH(B153,Counterparties!$A$6:$A$80,0))))</f>
        <v/>
      </c>
      <c r="T153" s="2" t="str">
        <f t="shared" si="2"/>
        <v/>
      </c>
      <c r="U153" s="2">
        <f t="shared" si="3"/>
        <v>0</v>
      </c>
      <c r="V153" s="2">
        <f t="shared" si="4"/>
        <v>0</v>
      </c>
      <c r="W153" s="2">
        <f>IF(COUNTA(A153:L153)=0,0,IF(AND(OR(C153="Client",C153="Partner",C153="Client and partner"),D153&lt;&gt;"",E153="Active",H153&lt;&gt;"",ISNUMBER(I153),ISNUMBER(J153),I153&lt;=J153,J153&lt;=Rules!$B$6,Rules!$B$6-J153&lt;=Rules!$B$42,K153="Yes",OR(F153="",AND(ISNUMBER(F153),F153&lt;=Rules!$B$6)),OR(G153="",AND(ISNUMBER(G153),G153&gt;=Rules!$B$6)),OR(F153="",G153="",G153&gt;=F153)),1,0))</f>
        <v>0</v>
      </c>
    </row>
    <row r="154" ht="21.0" customHeight="1">
      <c r="A154" s="44"/>
      <c r="B154" s="44"/>
      <c r="C154" s="44"/>
      <c r="D154" s="44"/>
      <c r="E154" s="44"/>
      <c r="F154" s="48"/>
      <c r="G154" s="48"/>
      <c r="H154" s="44"/>
      <c r="I154" s="48"/>
      <c r="J154" s="48"/>
      <c r="K154" s="44"/>
      <c r="L154" s="44"/>
      <c r="M154" s="2" t="str">
        <f>IF(A154="","",COUNTIF(Companies!$A$6:$A$55,A154))</f>
        <v/>
      </c>
      <c r="N154" s="2" t="str">
        <f>IF(B154="","",COUNTIF(Counterparties!$A$6:$A$80,B154))</f>
        <v/>
      </c>
      <c r="O154" s="2" t="str">
        <f t="shared" si="1"/>
        <v/>
      </c>
      <c r="P154" s="2" t="str">
        <f t="array" ref="P154">IF(B154="","",IF(N154&lt;&gt;1,"n.a.",INDEX(Counterparties!$C$6:$C$80,MATCH(B154,Counterparties!$A$6:$A$80,0))))</f>
        <v/>
      </c>
      <c r="Q154" s="2" t="str">
        <f t="array" ref="Q154">IF(B154="","",IF(N154&lt;&gt;1,"n.a.",INDEX(Counterparties!$G$6:$G$80,MATCH(B154,Counterparties!$A$6:$A$80,0))))</f>
        <v/>
      </c>
      <c r="R154" s="2">
        <f t="array" ref="R154">IF(A154="",0,IF(M154&lt;&gt;1,0,IF(AND(INDEX(Companies!$R$6:$R$55,MATCH(A154,Companies!$A$6:$A$55,0))=1,INDEX(Companies!$I$6:$I$55,MATCH(A154,Companies!$A$6:$A$55,0))&gt;=MAX(10,Rules!$B$22)),1,0)))</f>
        <v>0</v>
      </c>
      <c r="S154" s="2" t="str">
        <f t="array" ref="S154">IF(B154="","",IF(N154&lt;&gt;1,"Check counterparty ID",INDEX(Counterparties!$N$6:$N$80,MATCH(B154,Counterparties!$A$6:$A$80,0))))</f>
        <v/>
      </c>
      <c r="T154" s="2" t="str">
        <f t="shared" si="2"/>
        <v/>
      </c>
      <c r="U154" s="2">
        <f t="shared" si="3"/>
        <v>0</v>
      </c>
      <c r="V154" s="2">
        <f t="shared" si="4"/>
        <v>0</v>
      </c>
      <c r="W154" s="2">
        <f>IF(COUNTA(A154:L154)=0,0,IF(AND(OR(C154="Client",C154="Partner",C154="Client and partner"),D154&lt;&gt;"",E154="Active",H154&lt;&gt;"",ISNUMBER(I154),ISNUMBER(J154),I154&lt;=J154,J154&lt;=Rules!$B$6,Rules!$B$6-J154&lt;=Rules!$B$42,K154="Yes",OR(F154="",AND(ISNUMBER(F154),F154&lt;=Rules!$B$6)),OR(G154="",AND(ISNUMBER(G154),G154&gt;=Rules!$B$6)),OR(F154="",G154="",G154&gt;=F154)),1,0))</f>
        <v>0</v>
      </c>
    </row>
    <row r="155" ht="21.0" customHeight="1">
      <c r="A155" s="44"/>
      <c r="B155" s="44"/>
      <c r="C155" s="44"/>
      <c r="D155" s="44"/>
      <c r="E155" s="44"/>
      <c r="F155" s="48"/>
      <c r="G155" s="48"/>
      <c r="H155" s="44"/>
      <c r="I155" s="48"/>
      <c r="J155" s="48"/>
      <c r="K155" s="44"/>
      <c r="L155" s="44"/>
      <c r="M155" s="2" t="str">
        <f>IF(A155="","",COUNTIF(Companies!$A$6:$A$55,A155))</f>
        <v/>
      </c>
      <c r="N155" s="2" t="str">
        <f>IF(B155="","",COUNTIF(Counterparties!$A$6:$A$80,B155))</f>
        <v/>
      </c>
      <c r="O155" s="2" t="str">
        <f t="shared" si="1"/>
        <v/>
      </c>
      <c r="P155" s="2" t="str">
        <f t="array" ref="P155">IF(B155="","",IF(N155&lt;&gt;1,"n.a.",INDEX(Counterparties!$C$6:$C$80,MATCH(B155,Counterparties!$A$6:$A$80,0))))</f>
        <v/>
      </c>
      <c r="Q155" s="2" t="str">
        <f t="array" ref="Q155">IF(B155="","",IF(N155&lt;&gt;1,"n.a.",INDEX(Counterparties!$G$6:$G$80,MATCH(B155,Counterparties!$A$6:$A$80,0))))</f>
        <v/>
      </c>
      <c r="R155" s="2">
        <f t="array" ref="R155">IF(A155="",0,IF(M155&lt;&gt;1,0,IF(AND(INDEX(Companies!$R$6:$R$55,MATCH(A155,Companies!$A$6:$A$55,0))=1,INDEX(Companies!$I$6:$I$55,MATCH(A155,Companies!$A$6:$A$55,0))&gt;=MAX(10,Rules!$B$22)),1,0)))</f>
        <v>0</v>
      </c>
      <c r="S155" s="2" t="str">
        <f t="array" ref="S155">IF(B155="","",IF(N155&lt;&gt;1,"Check counterparty ID",INDEX(Counterparties!$N$6:$N$80,MATCH(B155,Counterparties!$A$6:$A$80,0))))</f>
        <v/>
      </c>
      <c r="T155" s="2" t="str">
        <f t="shared" si="2"/>
        <v/>
      </c>
      <c r="U155" s="2">
        <f t="shared" si="3"/>
        <v>0</v>
      </c>
      <c r="V155" s="2">
        <f t="shared" si="4"/>
        <v>0</v>
      </c>
      <c r="W155" s="2">
        <f>IF(COUNTA(A155:L155)=0,0,IF(AND(OR(C155="Client",C155="Partner",C155="Client and partner"),D155&lt;&gt;"",E155="Active",H155&lt;&gt;"",ISNUMBER(I155),ISNUMBER(J155),I155&lt;=J155,J155&lt;=Rules!$B$6,Rules!$B$6-J155&lt;=Rules!$B$42,K155="Yes",OR(F155="",AND(ISNUMBER(F155),F155&lt;=Rules!$B$6)),OR(G155="",AND(ISNUMBER(G155),G155&gt;=Rules!$B$6)),OR(F155="",G155="",G155&gt;=F155)),1,0))</f>
        <v>0</v>
      </c>
    </row>
    <row r="156" ht="21.0" customHeight="1">
      <c r="A156" s="44"/>
      <c r="B156" s="44"/>
      <c r="C156" s="44"/>
      <c r="D156" s="44"/>
      <c r="E156" s="44"/>
      <c r="F156" s="48"/>
      <c r="G156" s="48"/>
      <c r="H156" s="44"/>
      <c r="I156" s="48"/>
      <c r="J156" s="48"/>
      <c r="K156" s="44"/>
      <c r="L156" s="44"/>
      <c r="M156" s="2" t="str">
        <f>IF(A156="","",COUNTIF(Companies!$A$6:$A$55,A156))</f>
        <v/>
      </c>
      <c r="N156" s="2" t="str">
        <f>IF(B156="","",COUNTIF(Counterparties!$A$6:$A$80,B156))</f>
        <v/>
      </c>
      <c r="O156" s="2" t="str">
        <f t="shared" si="1"/>
        <v/>
      </c>
      <c r="P156" s="2" t="str">
        <f t="array" ref="P156">IF(B156="","",IF(N156&lt;&gt;1,"n.a.",INDEX(Counterparties!$C$6:$C$80,MATCH(B156,Counterparties!$A$6:$A$80,0))))</f>
        <v/>
      </c>
      <c r="Q156" s="2" t="str">
        <f t="array" ref="Q156">IF(B156="","",IF(N156&lt;&gt;1,"n.a.",INDEX(Counterparties!$G$6:$G$80,MATCH(B156,Counterparties!$A$6:$A$80,0))))</f>
        <v/>
      </c>
      <c r="R156" s="2">
        <f t="array" ref="R156">IF(A156="",0,IF(M156&lt;&gt;1,0,IF(AND(INDEX(Companies!$R$6:$R$55,MATCH(A156,Companies!$A$6:$A$55,0))=1,INDEX(Companies!$I$6:$I$55,MATCH(A156,Companies!$A$6:$A$55,0))&gt;=MAX(10,Rules!$B$22)),1,0)))</f>
        <v>0</v>
      </c>
      <c r="S156" s="2" t="str">
        <f t="array" ref="S156">IF(B156="","",IF(N156&lt;&gt;1,"Check counterparty ID",INDEX(Counterparties!$N$6:$N$80,MATCH(B156,Counterparties!$A$6:$A$80,0))))</f>
        <v/>
      </c>
      <c r="T156" s="2" t="str">
        <f t="shared" si="2"/>
        <v/>
      </c>
      <c r="U156" s="2">
        <f t="shared" si="3"/>
        <v>0</v>
      </c>
      <c r="V156" s="2">
        <f t="shared" si="4"/>
        <v>0</v>
      </c>
      <c r="W156" s="2">
        <f>IF(COUNTA(A156:L156)=0,0,IF(AND(OR(C156="Client",C156="Partner",C156="Client and partner"),D156&lt;&gt;"",E156="Active",H156&lt;&gt;"",ISNUMBER(I156),ISNUMBER(J156),I156&lt;=J156,J156&lt;=Rules!$B$6,Rules!$B$6-J156&lt;=Rules!$B$42,K156="Yes",OR(F156="",AND(ISNUMBER(F156),F156&lt;=Rules!$B$6)),OR(G156="",AND(ISNUMBER(G156),G156&gt;=Rules!$B$6)),OR(F156="",G156="",G156&gt;=F156)),1,0))</f>
        <v>0</v>
      </c>
    </row>
    <row r="157" ht="21.0" customHeight="1">
      <c r="A157" s="44"/>
      <c r="B157" s="44"/>
      <c r="C157" s="44"/>
      <c r="D157" s="44"/>
      <c r="E157" s="44"/>
      <c r="F157" s="48"/>
      <c r="G157" s="48"/>
      <c r="H157" s="44"/>
      <c r="I157" s="48"/>
      <c r="J157" s="48"/>
      <c r="K157" s="44"/>
      <c r="L157" s="44"/>
      <c r="M157" s="2" t="str">
        <f>IF(A157="","",COUNTIF(Companies!$A$6:$A$55,A157))</f>
        <v/>
      </c>
      <c r="N157" s="2" t="str">
        <f>IF(B157="","",COUNTIF(Counterparties!$A$6:$A$80,B157))</f>
        <v/>
      </c>
      <c r="O157" s="2" t="str">
        <f t="shared" si="1"/>
        <v/>
      </c>
      <c r="P157" s="2" t="str">
        <f t="array" ref="P157">IF(B157="","",IF(N157&lt;&gt;1,"n.a.",INDEX(Counterparties!$C$6:$C$80,MATCH(B157,Counterparties!$A$6:$A$80,0))))</f>
        <v/>
      </c>
      <c r="Q157" s="2" t="str">
        <f t="array" ref="Q157">IF(B157="","",IF(N157&lt;&gt;1,"n.a.",INDEX(Counterparties!$G$6:$G$80,MATCH(B157,Counterparties!$A$6:$A$80,0))))</f>
        <v/>
      </c>
      <c r="R157" s="2">
        <f t="array" ref="R157">IF(A157="",0,IF(M157&lt;&gt;1,0,IF(AND(INDEX(Companies!$R$6:$R$55,MATCH(A157,Companies!$A$6:$A$55,0))=1,INDEX(Companies!$I$6:$I$55,MATCH(A157,Companies!$A$6:$A$55,0))&gt;=MAX(10,Rules!$B$22)),1,0)))</f>
        <v>0</v>
      </c>
      <c r="S157" s="2" t="str">
        <f t="array" ref="S157">IF(B157="","",IF(N157&lt;&gt;1,"Check counterparty ID",INDEX(Counterparties!$N$6:$N$80,MATCH(B157,Counterparties!$A$6:$A$80,0))))</f>
        <v/>
      </c>
      <c r="T157" s="2" t="str">
        <f t="shared" si="2"/>
        <v/>
      </c>
      <c r="U157" s="2">
        <f t="shared" si="3"/>
        <v>0</v>
      </c>
      <c r="V157" s="2">
        <f t="shared" si="4"/>
        <v>0</v>
      </c>
      <c r="W157" s="2">
        <f>IF(COUNTA(A157:L157)=0,0,IF(AND(OR(C157="Client",C157="Partner",C157="Client and partner"),D157&lt;&gt;"",E157="Active",H157&lt;&gt;"",ISNUMBER(I157),ISNUMBER(J157),I157&lt;=J157,J157&lt;=Rules!$B$6,Rules!$B$6-J157&lt;=Rules!$B$42,K157="Yes",OR(F157="",AND(ISNUMBER(F157),F157&lt;=Rules!$B$6)),OR(G157="",AND(ISNUMBER(G157),G157&gt;=Rules!$B$6)),OR(F157="",G157="",G157&gt;=F157)),1,0))</f>
        <v>0</v>
      </c>
    </row>
    <row r="158" ht="21.0" customHeight="1">
      <c r="A158" s="44"/>
      <c r="B158" s="44"/>
      <c r="C158" s="44"/>
      <c r="D158" s="44"/>
      <c r="E158" s="44"/>
      <c r="F158" s="48"/>
      <c r="G158" s="48"/>
      <c r="H158" s="44"/>
      <c r="I158" s="48"/>
      <c r="J158" s="48"/>
      <c r="K158" s="44"/>
      <c r="L158" s="44"/>
      <c r="M158" s="2" t="str">
        <f>IF(A158="","",COUNTIF(Companies!$A$6:$A$55,A158))</f>
        <v/>
      </c>
      <c r="N158" s="2" t="str">
        <f>IF(B158="","",COUNTIF(Counterparties!$A$6:$A$80,B158))</f>
        <v/>
      </c>
      <c r="O158" s="2" t="str">
        <f t="shared" si="1"/>
        <v/>
      </c>
      <c r="P158" s="2" t="str">
        <f t="array" ref="P158">IF(B158="","",IF(N158&lt;&gt;1,"n.a.",INDEX(Counterparties!$C$6:$C$80,MATCH(B158,Counterparties!$A$6:$A$80,0))))</f>
        <v/>
      </c>
      <c r="Q158" s="2" t="str">
        <f t="array" ref="Q158">IF(B158="","",IF(N158&lt;&gt;1,"n.a.",INDEX(Counterparties!$G$6:$G$80,MATCH(B158,Counterparties!$A$6:$A$80,0))))</f>
        <v/>
      </c>
      <c r="R158" s="2">
        <f t="array" ref="R158">IF(A158="",0,IF(M158&lt;&gt;1,0,IF(AND(INDEX(Companies!$R$6:$R$55,MATCH(A158,Companies!$A$6:$A$55,0))=1,INDEX(Companies!$I$6:$I$55,MATCH(A158,Companies!$A$6:$A$55,0))&gt;=MAX(10,Rules!$B$22)),1,0)))</f>
        <v>0</v>
      </c>
      <c r="S158" s="2" t="str">
        <f t="array" ref="S158">IF(B158="","",IF(N158&lt;&gt;1,"Check counterparty ID",INDEX(Counterparties!$N$6:$N$80,MATCH(B158,Counterparties!$A$6:$A$80,0))))</f>
        <v/>
      </c>
      <c r="T158" s="2" t="str">
        <f t="shared" si="2"/>
        <v/>
      </c>
      <c r="U158" s="2">
        <f t="shared" si="3"/>
        <v>0</v>
      </c>
      <c r="V158" s="2">
        <f t="shared" si="4"/>
        <v>0</v>
      </c>
      <c r="W158" s="2">
        <f>IF(COUNTA(A158:L158)=0,0,IF(AND(OR(C158="Client",C158="Partner",C158="Client and partner"),D158&lt;&gt;"",E158="Active",H158&lt;&gt;"",ISNUMBER(I158),ISNUMBER(J158),I158&lt;=J158,J158&lt;=Rules!$B$6,Rules!$B$6-J158&lt;=Rules!$B$42,K158="Yes",OR(F158="",AND(ISNUMBER(F158),F158&lt;=Rules!$B$6)),OR(G158="",AND(ISNUMBER(G158),G158&gt;=Rules!$B$6)),OR(F158="",G158="",G158&gt;=F158)),1,0))</f>
        <v>0</v>
      </c>
    </row>
    <row r="159" ht="21.0" customHeight="1">
      <c r="A159" s="44"/>
      <c r="B159" s="44"/>
      <c r="C159" s="44"/>
      <c r="D159" s="44"/>
      <c r="E159" s="44"/>
      <c r="F159" s="48"/>
      <c r="G159" s="48"/>
      <c r="H159" s="44"/>
      <c r="I159" s="48"/>
      <c r="J159" s="48"/>
      <c r="K159" s="44"/>
      <c r="L159" s="44"/>
      <c r="M159" s="2" t="str">
        <f>IF(A159="","",COUNTIF(Companies!$A$6:$A$55,A159))</f>
        <v/>
      </c>
      <c r="N159" s="2" t="str">
        <f>IF(B159="","",COUNTIF(Counterparties!$A$6:$A$80,B159))</f>
        <v/>
      </c>
      <c r="O159" s="2" t="str">
        <f t="shared" si="1"/>
        <v/>
      </c>
      <c r="P159" s="2" t="str">
        <f t="array" ref="P159">IF(B159="","",IF(N159&lt;&gt;1,"n.a.",INDEX(Counterparties!$C$6:$C$80,MATCH(B159,Counterparties!$A$6:$A$80,0))))</f>
        <v/>
      </c>
      <c r="Q159" s="2" t="str">
        <f t="array" ref="Q159">IF(B159="","",IF(N159&lt;&gt;1,"n.a.",INDEX(Counterparties!$G$6:$G$80,MATCH(B159,Counterparties!$A$6:$A$80,0))))</f>
        <v/>
      </c>
      <c r="R159" s="2">
        <f t="array" ref="R159">IF(A159="",0,IF(M159&lt;&gt;1,0,IF(AND(INDEX(Companies!$R$6:$R$55,MATCH(A159,Companies!$A$6:$A$55,0))=1,INDEX(Companies!$I$6:$I$55,MATCH(A159,Companies!$A$6:$A$55,0))&gt;=MAX(10,Rules!$B$22)),1,0)))</f>
        <v>0</v>
      </c>
      <c r="S159" s="2" t="str">
        <f t="array" ref="S159">IF(B159="","",IF(N159&lt;&gt;1,"Check counterparty ID",INDEX(Counterparties!$N$6:$N$80,MATCH(B159,Counterparties!$A$6:$A$80,0))))</f>
        <v/>
      </c>
      <c r="T159" s="2" t="str">
        <f t="shared" si="2"/>
        <v/>
      </c>
      <c r="U159" s="2">
        <f t="shared" si="3"/>
        <v>0</v>
      </c>
      <c r="V159" s="2">
        <f t="shared" si="4"/>
        <v>0</v>
      </c>
      <c r="W159" s="2">
        <f>IF(COUNTA(A159:L159)=0,0,IF(AND(OR(C159="Client",C159="Partner",C159="Client and partner"),D159&lt;&gt;"",E159="Active",H159&lt;&gt;"",ISNUMBER(I159),ISNUMBER(J159),I159&lt;=J159,J159&lt;=Rules!$B$6,Rules!$B$6-J159&lt;=Rules!$B$42,K159="Yes",OR(F159="",AND(ISNUMBER(F159),F159&lt;=Rules!$B$6)),OR(G159="",AND(ISNUMBER(G159),G159&gt;=Rules!$B$6)),OR(F159="",G159="",G159&gt;=F159)),1,0))</f>
        <v>0</v>
      </c>
    </row>
    <row r="160" ht="21.0" customHeight="1">
      <c r="A160" s="44"/>
      <c r="B160" s="44"/>
      <c r="C160" s="44"/>
      <c r="D160" s="44"/>
      <c r="E160" s="44"/>
      <c r="F160" s="48"/>
      <c r="G160" s="48"/>
      <c r="H160" s="44"/>
      <c r="I160" s="48"/>
      <c r="J160" s="48"/>
      <c r="K160" s="44"/>
      <c r="L160" s="44"/>
      <c r="M160" s="2" t="str">
        <f>IF(A160="","",COUNTIF(Companies!$A$6:$A$55,A160))</f>
        <v/>
      </c>
      <c r="N160" s="2" t="str">
        <f>IF(B160="","",COUNTIF(Counterparties!$A$6:$A$80,B160))</f>
        <v/>
      </c>
      <c r="O160" s="2" t="str">
        <f t="shared" si="1"/>
        <v/>
      </c>
      <c r="P160" s="2" t="str">
        <f t="array" ref="P160">IF(B160="","",IF(N160&lt;&gt;1,"n.a.",INDEX(Counterparties!$C$6:$C$80,MATCH(B160,Counterparties!$A$6:$A$80,0))))</f>
        <v/>
      </c>
      <c r="Q160" s="2" t="str">
        <f t="array" ref="Q160">IF(B160="","",IF(N160&lt;&gt;1,"n.a.",INDEX(Counterparties!$G$6:$G$80,MATCH(B160,Counterparties!$A$6:$A$80,0))))</f>
        <v/>
      </c>
      <c r="R160" s="2">
        <f t="array" ref="R160">IF(A160="",0,IF(M160&lt;&gt;1,0,IF(AND(INDEX(Companies!$R$6:$R$55,MATCH(A160,Companies!$A$6:$A$55,0))=1,INDEX(Companies!$I$6:$I$55,MATCH(A160,Companies!$A$6:$A$55,0))&gt;=MAX(10,Rules!$B$22)),1,0)))</f>
        <v>0</v>
      </c>
      <c r="S160" s="2" t="str">
        <f t="array" ref="S160">IF(B160="","",IF(N160&lt;&gt;1,"Check counterparty ID",INDEX(Counterparties!$N$6:$N$80,MATCH(B160,Counterparties!$A$6:$A$80,0))))</f>
        <v/>
      </c>
      <c r="T160" s="2" t="str">
        <f t="shared" si="2"/>
        <v/>
      </c>
      <c r="U160" s="2">
        <f t="shared" si="3"/>
        <v>0</v>
      </c>
      <c r="V160" s="2">
        <f t="shared" si="4"/>
        <v>0</v>
      </c>
      <c r="W160" s="2">
        <f>IF(COUNTA(A160:L160)=0,0,IF(AND(OR(C160="Client",C160="Partner",C160="Client and partner"),D160&lt;&gt;"",E160="Active",H160&lt;&gt;"",ISNUMBER(I160),ISNUMBER(J160),I160&lt;=J160,J160&lt;=Rules!$B$6,Rules!$B$6-J160&lt;=Rules!$B$42,K160="Yes",OR(F160="",AND(ISNUMBER(F160),F160&lt;=Rules!$B$6)),OR(G160="",AND(ISNUMBER(G160),G160&gt;=Rules!$B$6)),OR(F160="",G160="",G160&gt;=F160)),1,0))</f>
        <v>0</v>
      </c>
    </row>
    <row r="161" ht="21.0" customHeight="1">
      <c r="A161" s="44"/>
      <c r="B161" s="44"/>
      <c r="C161" s="44"/>
      <c r="D161" s="44"/>
      <c r="E161" s="44"/>
      <c r="F161" s="48"/>
      <c r="G161" s="48"/>
      <c r="H161" s="44"/>
      <c r="I161" s="48"/>
      <c r="J161" s="48"/>
      <c r="K161" s="44"/>
      <c r="L161" s="44"/>
      <c r="M161" s="2" t="str">
        <f>IF(A161="","",COUNTIF(Companies!$A$6:$A$55,A161))</f>
        <v/>
      </c>
      <c r="N161" s="2" t="str">
        <f>IF(B161="","",COUNTIF(Counterparties!$A$6:$A$80,B161))</f>
        <v/>
      </c>
      <c r="O161" s="2" t="str">
        <f t="shared" si="1"/>
        <v/>
      </c>
      <c r="P161" s="2" t="str">
        <f t="array" ref="P161">IF(B161="","",IF(N161&lt;&gt;1,"n.a.",INDEX(Counterparties!$C$6:$C$80,MATCH(B161,Counterparties!$A$6:$A$80,0))))</f>
        <v/>
      </c>
      <c r="Q161" s="2" t="str">
        <f t="array" ref="Q161">IF(B161="","",IF(N161&lt;&gt;1,"n.a.",INDEX(Counterparties!$G$6:$G$80,MATCH(B161,Counterparties!$A$6:$A$80,0))))</f>
        <v/>
      </c>
      <c r="R161" s="2">
        <f t="array" ref="R161">IF(A161="",0,IF(M161&lt;&gt;1,0,IF(AND(INDEX(Companies!$R$6:$R$55,MATCH(A161,Companies!$A$6:$A$55,0))=1,INDEX(Companies!$I$6:$I$55,MATCH(A161,Companies!$A$6:$A$55,0))&gt;=MAX(10,Rules!$B$22)),1,0)))</f>
        <v>0</v>
      </c>
      <c r="S161" s="2" t="str">
        <f t="array" ref="S161">IF(B161="","",IF(N161&lt;&gt;1,"Check counterparty ID",INDEX(Counterparties!$N$6:$N$80,MATCH(B161,Counterparties!$A$6:$A$80,0))))</f>
        <v/>
      </c>
      <c r="T161" s="2" t="str">
        <f t="shared" si="2"/>
        <v/>
      </c>
      <c r="U161" s="2">
        <f t="shared" si="3"/>
        <v>0</v>
      </c>
      <c r="V161" s="2">
        <f t="shared" si="4"/>
        <v>0</v>
      </c>
      <c r="W161" s="2">
        <f>IF(COUNTA(A161:L161)=0,0,IF(AND(OR(C161="Client",C161="Partner",C161="Client and partner"),D161&lt;&gt;"",E161="Active",H161&lt;&gt;"",ISNUMBER(I161),ISNUMBER(J161),I161&lt;=J161,J161&lt;=Rules!$B$6,Rules!$B$6-J161&lt;=Rules!$B$42,K161="Yes",OR(F161="",AND(ISNUMBER(F161),F161&lt;=Rules!$B$6)),OR(G161="",AND(ISNUMBER(G161),G161&gt;=Rules!$B$6)),OR(F161="",G161="",G161&gt;=F161)),1,0))</f>
        <v>0</v>
      </c>
    </row>
    <row r="162" ht="21.0" customHeight="1">
      <c r="A162" s="44"/>
      <c r="B162" s="44"/>
      <c r="C162" s="44"/>
      <c r="D162" s="44"/>
      <c r="E162" s="44"/>
      <c r="F162" s="48"/>
      <c r="G162" s="48"/>
      <c r="H162" s="44"/>
      <c r="I162" s="48"/>
      <c r="J162" s="48"/>
      <c r="K162" s="44"/>
      <c r="L162" s="44"/>
      <c r="M162" s="2" t="str">
        <f>IF(A162="","",COUNTIF(Companies!$A$6:$A$55,A162))</f>
        <v/>
      </c>
      <c r="N162" s="2" t="str">
        <f>IF(B162="","",COUNTIF(Counterparties!$A$6:$A$80,B162))</f>
        <v/>
      </c>
      <c r="O162" s="2" t="str">
        <f t="shared" si="1"/>
        <v/>
      </c>
      <c r="P162" s="2" t="str">
        <f t="array" ref="P162">IF(B162="","",IF(N162&lt;&gt;1,"n.a.",INDEX(Counterparties!$C$6:$C$80,MATCH(B162,Counterparties!$A$6:$A$80,0))))</f>
        <v/>
      </c>
      <c r="Q162" s="2" t="str">
        <f t="array" ref="Q162">IF(B162="","",IF(N162&lt;&gt;1,"n.a.",INDEX(Counterparties!$G$6:$G$80,MATCH(B162,Counterparties!$A$6:$A$80,0))))</f>
        <v/>
      </c>
      <c r="R162" s="2">
        <f t="array" ref="R162">IF(A162="",0,IF(M162&lt;&gt;1,0,IF(AND(INDEX(Companies!$R$6:$R$55,MATCH(A162,Companies!$A$6:$A$55,0))=1,INDEX(Companies!$I$6:$I$55,MATCH(A162,Companies!$A$6:$A$55,0))&gt;=MAX(10,Rules!$B$22)),1,0)))</f>
        <v>0</v>
      </c>
      <c r="S162" s="2" t="str">
        <f t="array" ref="S162">IF(B162="","",IF(N162&lt;&gt;1,"Check counterparty ID",INDEX(Counterparties!$N$6:$N$80,MATCH(B162,Counterparties!$A$6:$A$80,0))))</f>
        <v/>
      </c>
      <c r="T162" s="2" t="str">
        <f t="shared" si="2"/>
        <v/>
      </c>
      <c r="U162" s="2">
        <f t="shared" si="3"/>
        <v>0</v>
      </c>
      <c r="V162" s="2">
        <f t="shared" si="4"/>
        <v>0</v>
      </c>
      <c r="W162" s="2">
        <f>IF(COUNTA(A162:L162)=0,0,IF(AND(OR(C162="Client",C162="Partner",C162="Client and partner"),D162&lt;&gt;"",E162="Active",H162&lt;&gt;"",ISNUMBER(I162),ISNUMBER(J162),I162&lt;=J162,J162&lt;=Rules!$B$6,Rules!$B$6-J162&lt;=Rules!$B$42,K162="Yes",OR(F162="",AND(ISNUMBER(F162),F162&lt;=Rules!$B$6)),OR(G162="",AND(ISNUMBER(G162),G162&gt;=Rules!$B$6)),OR(F162="",G162="",G162&gt;=F162)),1,0))</f>
        <v>0</v>
      </c>
    </row>
    <row r="163" ht="21.0" customHeight="1">
      <c r="A163" s="44"/>
      <c r="B163" s="44"/>
      <c r="C163" s="44"/>
      <c r="D163" s="44"/>
      <c r="E163" s="44"/>
      <c r="F163" s="48"/>
      <c r="G163" s="48"/>
      <c r="H163" s="44"/>
      <c r="I163" s="48"/>
      <c r="J163" s="48"/>
      <c r="K163" s="44"/>
      <c r="L163" s="44"/>
      <c r="M163" s="2" t="str">
        <f>IF(A163="","",COUNTIF(Companies!$A$6:$A$55,A163))</f>
        <v/>
      </c>
      <c r="N163" s="2" t="str">
        <f>IF(B163="","",COUNTIF(Counterparties!$A$6:$A$80,B163))</f>
        <v/>
      </c>
      <c r="O163" s="2" t="str">
        <f t="shared" si="1"/>
        <v/>
      </c>
      <c r="P163" s="2" t="str">
        <f t="array" ref="P163">IF(B163="","",IF(N163&lt;&gt;1,"n.a.",INDEX(Counterparties!$C$6:$C$80,MATCH(B163,Counterparties!$A$6:$A$80,0))))</f>
        <v/>
      </c>
      <c r="Q163" s="2" t="str">
        <f t="array" ref="Q163">IF(B163="","",IF(N163&lt;&gt;1,"n.a.",INDEX(Counterparties!$G$6:$G$80,MATCH(B163,Counterparties!$A$6:$A$80,0))))</f>
        <v/>
      </c>
      <c r="R163" s="2">
        <f t="array" ref="R163">IF(A163="",0,IF(M163&lt;&gt;1,0,IF(AND(INDEX(Companies!$R$6:$R$55,MATCH(A163,Companies!$A$6:$A$55,0))=1,INDEX(Companies!$I$6:$I$55,MATCH(A163,Companies!$A$6:$A$55,0))&gt;=MAX(10,Rules!$B$22)),1,0)))</f>
        <v>0</v>
      </c>
      <c r="S163" s="2" t="str">
        <f t="array" ref="S163">IF(B163="","",IF(N163&lt;&gt;1,"Check counterparty ID",INDEX(Counterparties!$N$6:$N$80,MATCH(B163,Counterparties!$A$6:$A$80,0))))</f>
        <v/>
      </c>
      <c r="T163" s="2" t="str">
        <f t="shared" si="2"/>
        <v/>
      </c>
      <c r="U163" s="2">
        <f t="shared" si="3"/>
        <v>0</v>
      </c>
      <c r="V163" s="2">
        <f t="shared" si="4"/>
        <v>0</v>
      </c>
      <c r="W163" s="2">
        <f>IF(COUNTA(A163:L163)=0,0,IF(AND(OR(C163="Client",C163="Partner",C163="Client and partner"),D163&lt;&gt;"",E163="Active",H163&lt;&gt;"",ISNUMBER(I163),ISNUMBER(J163),I163&lt;=J163,J163&lt;=Rules!$B$6,Rules!$B$6-J163&lt;=Rules!$B$42,K163="Yes",OR(F163="",AND(ISNUMBER(F163),F163&lt;=Rules!$B$6)),OR(G163="",AND(ISNUMBER(G163),G163&gt;=Rules!$B$6)),OR(F163="",G163="",G163&gt;=F163)),1,0))</f>
        <v>0</v>
      </c>
    </row>
    <row r="164" ht="21.0" customHeight="1">
      <c r="A164" s="44"/>
      <c r="B164" s="44"/>
      <c r="C164" s="44"/>
      <c r="D164" s="44"/>
      <c r="E164" s="44"/>
      <c r="F164" s="48"/>
      <c r="G164" s="48"/>
      <c r="H164" s="44"/>
      <c r="I164" s="48"/>
      <c r="J164" s="48"/>
      <c r="K164" s="44"/>
      <c r="L164" s="44"/>
      <c r="M164" s="2" t="str">
        <f>IF(A164="","",COUNTIF(Companies!$A$6:$A$55,A164))</f>
        <v/>
      </c>
      <c r="N164" s="2" t="str">
        <f>IF(B164="","",COUNTIF(Counterparties!$A$6:$A$80,B164))</f>
        <v/>
      </c>
      <c r="O164" s="2" t="str">
        <f t="shared" si="1"/>
        <v/>
      </c>
      <c r="P164" s="2" t="str">
        <f t="array" ref="P164">IF(B164="","",IF(N164&lt;&gt;1,"n.a.",INDEX(Counterparties!$C$6:$C$80,MATCH(B164,Counterparties!$A$6:$A$80,0))))</f>
        <v/>
      </c>
      <c r="Q164" s="2" t="str">
        <f t="array" ref="Q164">IF(B164="","",IF(N164&lt;&gt;1,"n.a.",INDEX(Counterparties!$G$6:$G$80,MATCH(B164,Counterparties!$A$6:$A$80,0))))</f>
        <v/>
      </c>
      <c r="R164" s="2">
        <f t="array" ref="R164">IF(A164="",0,IF(M164&lt;&gt;1,0,IF(AND(INDEX(Companies!$R$6:$R$55,MATCH(A164,Companies!$A$6:$A$55,0))=1,INDEX(Companies!$I$6:$I$55,MATCH(A164,Companies!$A$6:$A$55,0))&gt;=MAX(10,Rules!$B$22)),1,0)))</f>
        <v>0</v>
      </c>
      <c r="S164" s="2" t="str">
        <f t="array" ref="S164">IF(B164="","",IF(N164&lt;&gt;1,"Check counterparty ID",INDEX(Counterparties!$N$6:$N$80,MATCH(B164,Counterparties!$A$6:$A$80,0))))</f>
        <v/>
      </c>
      <c r="T164" s="2" t="str">
        <f t="shared" si="2"/>
        <v/>
      </c>
      <c r="U164" s="2">
        <f t="shared" si="3"/>
        <v>0</v>
      </c>
      <c r="V164" s="2">
        <f t="shared" si="4"/>
        <v>0</v>
      </c>
      <c r="W164" s="2">
        <f>IF(COUNTA(A164:L164)=0,0,IF(AND(OR(C164="Client",C164="Partner",C164="Client and partner"),D164&lt;&gt;"",E164="Active",H164&lt;&gt;"",ISNUMBER(I164),ISNUMBER(J164),I164&lt;=J164,J164&lt;=Rules!$B$6,Rules!$B$6-J164&lt;=Rules!$B$42,K164="Yes",OR(F164="",AND(ISNUMBER(F164),F164&lt;=Rules!$B$6)),OR(G164="",AND(ISNUMBER(G164),G164&gt;=Rules!$B$6)),OR(F164="",G164="",G164&gt;=F164)),1,0))</f>
        <v>0</v>
      </c>
    </row>
    <row r="165" ht="21.0" customHeight="1">
      <c r="A165" s="44"/>
      <c r="B165" s="44"/>
      <c r="C165" s="44"/>
      <c r="D165" s="44"/>
      <c r="E165" s="44"/>
      <c r="F165" s="48"/>
      <c r="G165" s="48"/>
      <c r="H165" s="44"/>
      <c r="I165" s="48"/>
      <c r="J165" s="48"/>
      <c r="K165" s="44"/>
      <c r="L165" s="44"/>
      <c r="M165" s="2" t="str">
        <f>IF(A165="","",COUNTIF(Companies!$A$6:$A$55,A165))</f>
        <v/>
      </c>
      <c r="N165" s="2" t="str">
        <f>IF(B165="","",COUNTIF(Counterparties!$A$6:$A$80,B165))</f>
        <v/>
      </c>
      <c r="O165" s="2" t="str">
        <f t="shared" si="1"/>
        <v/>
      </c>
      <c r="P165" s="2" t="str">
        <f t="array" ref="P165">IF(B165="","",IF(N165&lt;&gt;1,"n.a.",INDEX(Counterparties!$C$6:$C$80,MATCH(B165,Counterparties!$A$6:$A$80,0))))</f>
        <v/>
      </c>
      <c r="Q165" s="2" t="str">
        <f t="array" ref="Q165">IF(B165="","",IF(N165&lt;&gt;1,"n.a.",INDEX(Counterparties!$G$6:$G$80,MATCH(B165,Counterparties!$A$6:$A$80,0))))</f>
        <v/>
      </c>
      <c r="R165" s="2">
        <f t="array" ref="R165">IF(A165="",0,IF(M165&lt;&gt;1,0,IF(AND(INDEX(Companies!$R$6:$R$55,MATCH(A165,Companies!$A$6:$A$55,0))=1,INDEX(Companies!$I$6:$I$55,MATCH(A165,Companies!$A$6:$A$55,0))&gt;=MAX(10,Rules!$B$22)),1,0)))</f>
        <v>0</v>
      </c>
      <c r="S165" s="2" t="str">
        <f t="array" ref="S165">IF(B165="","",IF(N165&lt;&gt;1,"Check counterparty ID",INDEX(Counterparties!$N$6:$N$80,MATCH(B165,Counterparties!$A$6:$A$80,0))))</f>
        <v/>
      </c>
      <c r="T165" s="2" t="str">
        <f t="shared" si="2"/>
        <v/>
      </c>
      <c r="U165" s="2">
        <f t="shared" si="3"/>
        <v>0</v>
      </c>
      <c r="V165" s="2">
        <f t="shared" si="4"/>
        <v>0</v>
      </c>
      <c r="W165" s="2">
        <f>IF(COUNTA(A165:L165)=0,0,IF(AND(OR(C165="Client",C165="Partner",C165="Client and partner"),D165&lt;&gt;"",E165="Active",H165&lt;&gt;"",ISNUMBER(I165),ISNUMBER(J165),I165&lt;=J165,J165&lt;=Rules!$B$6,Rules!$B$6-J165&lt;=Rules!$B$42,K165="Yes",OR(F165="",AND(ISNUMBER(F165),F165&lt;=Rules!$B$6)),OR(G165="",AND(ISNUMBER(G165),G165&gt;=Rules!$B$6)),OR(F165="",G165="",G165&gt;=F165)),1,0))</f>
        <v>0</v>
      </c>
    </row>
    <row r="166" ht="21.0" customHeight="1">
      <c r="A166" s="44"/>
      <c r="B166" s="44"/>
      <c r="C166" s="44"/>
      <c r="D166" s="44"/>
      <c r="E166" s="44"/>
      <c r="F166" s="48"/>
      <c r="G166" s="48"/>
      <c r="H166" s="44"/>
      <c r="I166" s="48"/>
      <c r="J166" s="48"/>
      <c r="K166" s="44"/>
      <c r="L166" s="44"/>
      <c r="M166" s="2" t="str">
        <f>IF(A166="","",COUNTIF(Companies!$A$6:$A$55,A166))</f>
        <v/>
      </c>
      <c r="N166" s="2" t="str">
        <f>IF(B166="","",COUNTIF(Counterparties!$A$6:$A$80,B166))</f>
        <v/>
      </c>
      <c r="O166" s="2" t="str">
        <f t="shared" si="1"/>
        <v/>
      </c>
      <c r="P166" s="2" t="str">
        <f t="array" ref="P166">IF(B166="","",IF(N166&lt;&gt;1,"n.a.",INDEX(Counterparties!$C$6:$C$80,MATCH(B166,Counterparties!$A$6:$A$80,0))))</f>
        <v/>
      </c>
      <c r="Q166" s="2" t="str">
        <f t="array" ref="Q166">IF(B166="","",IF(N166&lt;&gt;1,"n.a.",INDEX(Counterparties!$G$6:$G$80,MATCH(B166,Counterparties!$A$6:$A$80,0))))</f>
        <v/>
      </c>
      <c r="R166" s="2">
        <f t="array" ref="R166">IF(A166="",0,IF(M166&lt;&gt;1,0,IF(AND(INDEX(Companies!$R$6:$R$55,MATCH(A166,Companies!$A$6:$A$55,0))=1,INDEX(Companies!$I$6:$I$55,MATCH(A166,Companies!$A$6:$A$55,0))&gt;=MAX(10,Rules!$B$22)),1,0)))</f>
        <v>0</v>
      </c>
      <c r="S166" s="2" t="str">
        <f t="array" ref="S166">IF(B166="","",IF(N166&lt;&gt;1,"Check counterparty ID",INDEX(Counterparties!$N$6:$N$80,MATCH(B166,Counterparties!$A$6:$A$80,0))))</f>
        <v/>
      </c>
      <c r="T166" s="2" t="str">
        <f t="shared" si="2"/>
        <v/>
      </c>
      <c r="U166" s="2">
        <f t="shared" si="3"/>
        <v>0</v>
      </c>
      <c r="V166" s="2">
        <f t="shared" si="4"/>
        <v>0</v>
      </c>
      <c r="W166" s="2">
        <f>IF(COUNTA(A166:L166)=0,0,IF(AND(OR(C166="Client",C166="Partner",C166="Client and partner"),D166&lt;&gt;"",E166="Active",H166&lt;&gt;"",ISNUMBER(I166),ISNUMBER(J166),I166&lt;=J166,J166&lt;=Rules!$B$6,Rules!$B$6-J166&lt;=Rules!$B$42,K166="Yes",OR(F166="",AND(ISNUMBER(F166),F166&lt;=Rules!$B$6)),OR(G166="",AND(ISNUMBER(G166),G166&gt;=Rules!$B$6)),OR(F166="",G166="",G166&gt;=F166)),1,0))</f>
        <v>0</v>
      </c>
    </row>
    <row r="167" ht="21.0" customHeight="1">
      <c r="A167" s="44"/>
      <c r="B167" s="44"/>
      <c r="C167" s="44"/>
      <c r="D167" s="44"/>
      <c r="E167" s="44"/>
      <c r="F167" s="48"/>
      <c r="G167" s="48"/>
      <c r="H167" s="44"/>
      <c r="I167" s="48"/>
      <c r="J167" s="48"/>
      <c r="K167" s="44"/>
      <c r="L167" s="44"/>
      <c r="M167" s="2" t="str">
        <f>IF(A167="","",COUNTIF(Companies!$A$6:$A$55,A167))</f>
        <v/>
      </c>
      <c r="N167" s="2" t="str">
        <f>IF(B167="","",COUNTIF(Counterparties!$A$6:$A$80,B167))</f>
        <v/>
      </c>
      <c r="O167" s="2" t="str">
        <f t="shared" si="1"/>
        <v/>
      </c>
      <c r="P167" s="2" t="str">
        <f t="array" ref="P167">IF(B167="","",IF(N167&lt;&gt;1,"n.a.",INDEX(Counterparties!$C$6:$C$80,MATCH(B167,Counterparties!$A$6:$A$80,0))))</f>
        <v/>
      </c>
      <c r="Q167" s="2" t="str">
        <f t="array" ref="Q167">IF(B167="","",IF(N167&lt;&gt;1,"n.a.",INDEX(Counterparties!$G$6:$G$80,MATCH(B167,Counterparties!$A$6:$A$80,0))))</f>
        <v/>
      </c>
      <c r="R167" s="2">
        <f t="array" ref="R167">IF(A167="",0,IF(M167&lt;&gt;1,0,IF(AND(INDEX(Companies!$R$6:$R$55,MATCH(A167,Companies!$A$6:$A$55,0))=1,INDEX(Companies!$I$6:$I$55,MATCH(A167,Companies!$A$6:$A$55,0))&gt;=MAX(10,Rules!$B$22)),1,0)))</f>
        <v>0</v>
      </c>
      <c r="S167" s="2" t="str">
        <f t="array" ref="S167">IF(B167="","",IF(N167&lt;&gt;1,"Check counterparty ID",INDEX(Counterparties!$N$6:$N$80,MATCH(B167,Counterparties!$A$6:$A$80,0))))</f>
        <v/>
      </c>
      <c r="T167" s="2" t="str">
        <f t="shared" si="2"/>
        <v/>
      </c>
      <c r="U167" s="2">
        <f t="shared" si="3"/>
        <v>0</v>
      </c>
      <c r="V167" s="2">
        <f t="shared" si="4"/>
        <v>0</v>
      </c>
      <c r="W167" s="2">
        <f>IF(COUNTA(A167:L167)=0,0,IF(AND(OR(C167="Client",C167="Partner",C167="Client and partner"),D167&lt;&gt;"",E167="Active",H167&lt;&gt;"",ISNUMBER(I167),ISNUMBER(J167),I167&lt;=J167,J167&lt;=Rules!$B$6,Rules!$B$6-J167&lt;=Rules!$B$42,K167="Yes",OR(F167="",AND(ISNUMBER(F167),F167&lt;=Rules!$B$6)),OR(G167="",AND(ISNUMBER(G167),G167&gt;=Rules!$B$6)),OR(F167="",G167="",G167&gt;=F167)),1,0))</f>
        <v>0</v>
      </c>
    </row>
    <row r="168" ht="21.0" customHeight="1">
      <c r="A168" s="44"/>
      <c r="B168" s="44"/>
      <c r="C168" s="44"/>
      <c r="D168" s="44"/>
      <c r="E168" s="44"/>
      <c r="F168" s="48"/>
      <c r="G168" s="48"/>
      <c r="H168" s="44"/>
      <c r="I168" s="48"/>
      <c r="J168" s="48"/>
      <c r="K168" s="44"/>
      <c r="L168" s="44"/>
      <c r="M168" s="2" t="str">
        <f>IF(A168="","",COUNTIF(Companies!$A$6:$A$55,A168))</f>
        <v/>
      </c>
      <c r="N168" s="2" t="str">
        <f>IF(B168="","",COUNTIF(Counterparties!$A$6:$A$80,B168))</f>
        <v/>
      </c>
      <c r="O168" s="2" t="str">
        <f t="shared" si="1"/>
        <v/>
      </c>
      <c r="P168" s="2" t="str">
        <f t="array" ref="P168">IF(B168="","",IF(N168&lt;&gt;1,"n.a.",INDEX(Counterparties!$C$6:$C$80,MATCH(B168,Counterparties!$A$6:$A$80,0))))</f>
        <v/>
      </c>
      <c r="Q168" s="2" t="str">
        <f t="array" ref="Q168">IF(B168="","",IF(N168&lt;&gt;1,"n.a.",INDEX(Counterparties!$G$6:$G$80,MATCH(B168,Counterparties!$A$6:$A$80,0))))</f>
        <v/>
      </c>
      <c r="R168" s="2">
        <f t="array" ref="R168">IF(A168="",0,IF(M168&lt;&gt;1,0,IF(AND(INDEX(Companies!$R$6:$R$55,MATCH(A168,Companies!$A$6:$A$55,0))=1,INDEX(Companies!$I$6:$I$55,MATCH(A168,Companies!$A$6:$A$55,0))&gt;=MAX(10,Rules!$B$22)),1,0)))</f>
        <v>0</v>
      </c>
      <c r="S168" s="2" t="str">
        <f t="array" ref="S168">IF(B168="","",IF(N168&lt;&gt;1,"Check counterparty ID",INDEX(Counterparties!$N$6:$N$80,MATCH(B168,Counterparties!$A$6:$A$80,0))))</f>
        <v/>
      </c>
      <c r="T168" s="2" t="str">
        <f t="shared" si="2"/>
        <v/>
      </c>
      <c r="U168" s="2">
        <f t="shared" si="3"/>
        <v>0</v>
      </c>
      <c r="V168" s="2">
        <f t="shared" si="4"/>
        <v>0</v>
      </c>
      <c r="W168" s="2">
        <f>IF(COUNTA(A168:L168)=0,0,IF(AND(OR(C168="Client",C168="Partner",C168="Client and partner"),D168&lt;&gt;"",E168="Active",H168&lt;&gt;"",ISNUMBER(I168),ISNUMBER(J168),I168&lt;=J168,J168&lt;=Rules!$B$6,Rules!$B$6-J168&lt;=Rules!$B$42,K168="Yes",OR(F168="",AND(ISNUMBER(F168),F168&lt;=Rules!$B$6)),OR(G168="",AND(ISNUMBER(G168),G168&gt;=Rules!$B$6)),OR(F168="",G168="",G168&gt;=F168)),1,0))</f>
        <v>0</v>
      </c>
    </row>
    <row r="169" ht="21.0" customHeight="1">
      <c r="A169" s="44"/>
      <c r="B169" s="44"/>
      <c r="C169" s="44"/>
      <c r="D169" s="44"/>
      <c r="E169" s="44"/>
      <c r="F169" s="48"/>
      <c r="G169" s="48"/>
      <c r="H169" s="44"/>
      <c r="I169" s="48"/>
      <c r="J169" s="48"/>
      <c r="K169" s="44"/>
      <c r="L169" s="44"/>
      <c r="M169" s="2" t="str">
        <f>IF(A169="","",COUNTIF(Companies!$A$6:$A$55,A169))</f>
        <v/>
      </c>
      <c r="N169" s="2" t="str">
        <f>IF(B169="","",COUNTIF(Counterparties!$A$6:$A$80,B169))</f>
        <v/>
      </c>
      <c r="O169" s="2" t="str">
        <f t="shared" si="1"/>
        <v/>
      </c>
      <c r="P169" s="2" t="str">
        <f t="array" ref="P169">IF(B169="","",IF(N169&lt;&gt;1,"n.a.",INDEX(Counterparties!$C$6:$C$80,MATCH(B169,Counterparties!$A$6:$A$80,0))))</f>
        <v/>
      </c>
      <c r="Q169" s="2" t="str">
        <f t="array" ref="Q169">IF(B169="","",IF(N169&lt;&gt;1,"n.a.",INDEX(Counterparties!$G$6:$G$80,MATCH(B169,Counterparties!$A$6:$A$80,0))))</f>
        <v/>
      </c>
      <c r="R169" s="2">
        <f t="array" ref="R169">IF(A169="",0,IF(M169&lt;&gt;1,0,IF(AND(INDEX(Companies!$R$6:$R$55,MATCH(A169,Companies!$A$6:$A$55,0))=1,INDEX(Companies!$I$6:$I$55,MATCH(A169,Companies!$A$6:$A$55,0))&gt;=MAX(10,Rules!$B$22)),1,0)))</f>
        <v>0</v>
      </c>
      <c r="S169" s="2" t="str">
        <f t="array" ref="S169">IF(B169="","",IF(N169&lt;&gt;1,"Check counterparty ID",INDEX(Counterparties!$N$6:$N$80,MATCH(B169,Counterparties!$A$6:$A$80,0))))</f>
        <v/>
      </c>
      <c r="T169" s="2" t="str">
        <f t="shared" si="2"/>
        <v/>
      </c>
      <c r="U169" s="2">
        <f t="shared" si="3"/>
        <v>0</v>
      </c>
      <c r="V169" s="2">
        <f t="shared" si="4"/>
        <v>0</v>
      </c>
      <c r="W169" s="2">
        <f>IF(COUNTA(A169:L169)=0,0,IF(AND(OR(C169="Client",C169="Partner",C169="Client and partner"),D169&lt;&gt;"",E169="Active",H169&lt;&gt;"",ISNUMBER(I169),ISNUMBER(J169),I169&lt;=J169,J169&lt;=Rules!$B$6,Rules!$B$6-J169&lt;=Rules!$B$42,K169="Yes",OR(F169="",AND(ISNUMBER(F169),F169&lt;=Rules!$B$6)),OR(G169="",AND(ISNUMBER(G169),G169&gt;=Rules!$B$6)),OR(F169="",G169="",G169&gt;=F169)),1,0))</f>
        <v>0</v>
      </c>
    </row>
    <row r="170" ht="21.0" customHeight="1">
      <c r="A170" s="44"/>
      <c r="B170" s="44"/>
      <c r="C170" s="44"/>
      <c r="D170" s="44"/>
      <c r="E170" s="44"/>
      <c r="F170" s="48"/>
      <c r="G170" s="48"/>
      <c r="H170" s="44"/>
      <c r="I170" s="48"/>
      <c r="J170" s="48"/>
      <c r="K170" s="44"/>
      <c r="L170" s="44"/>
      <c r="M170" s="2" t="str">
        <f>IF(A170="","",COUNTIF(Companies!$A$6:$A$55,A170))</f>
        <v/>
      </c>
      <c r="N170" s="2" t="str">
        <f>IF(B170="","",COUNTIF(Counterparties!$A$6:$A$80,B170))</f>
        <v/>
      </c>
      <c r="O170" s="2" t="str">
        <f t="shared" si="1"/>
        <v/>
      </c>
      <c r="P170" s="2" t="str">
        <f t="array" ref="P170">IF(B170="","",IF(N170&lt;&gt;1,"n.a.",INDEX(Counterparties!$C$6:$C$80,MATCH(B170,Counterparties!$A$6:$A$80,0))))</f>
        <v/>
      </c>
      <c r="Q170" s="2" t="str">
        <f t="array" ref="Q170">IF(B170="","",IF(N170&lt;&gt;1,"n.a.",INDEX(Counterparties!$G$6:$G$80,MATCH(B170,Counterparties!$A$6:$A$80,0))))</f>
        <v/>
      </c>
      <c r="R170" s="2">
        <f t="array" ref="R170">IF(A170="",0,IF(M170&lt;&gt;1,0,IF(AND(INDEX(Companies!$R$6:$R$55,MATCH(A170,Companies!$A$6:$A$55,0))=1,INDEX(Companies!$I$6:$I$55,MATCH(A170,Companies!$A$6:$A$55,0))&gt;=MAX(10,Rules!$B$22)),1,0)))</f>
        <v>0</v>
      </c>
      <c r="S170" s="2" t="str">
        <f t="array" ref="S170">IF(B170="","",IF(N170&lt;&gt;1,"Check counterparty ID",INDEX(Counterparties!$N$6:$N$80,MATCH(B170,Counterparties!$A$6:$A$80,0))))</f>
        <v/>
      </c>
      <c r="T170" s="2" t="str">
        <f t="shared" si="2"/>
        <v/>
      </c>
      <c r="U170" s="2">
        <f t="shared" si="3"/>
        <v>0</v>
      </c>
      <c r="V170" s="2">
        <f t="shared" si="4"/>
        <v>0</v>
      </c>
      <c r="W170" s="2">
        <f>IF(COUNTA(A170:L170)=0,0,IF(AND(OR(C170="Client",C170="Partner",C170="Client and partner"),D170&lt;&gt;"",E170="Active",H170&lt;&gt;"",ISNUMBER(I170),ISNUMBER(J170),I170&lt;=J170,J170&lt;=Rules!$B$6,Rules!$B$6-J170&lt;=Rules!$B$42,K170="Yes",OR(F170="",AND(ISNUMBER(F170),F170&lt;=Rules!$B$6)),OR(G170="",AND(ISNUMBER(G170),G170&gt;=Rules!$B$6)),OR(F170="",G170="",G170&gt;=F170)),1,0))</f>
        <v>0</v>
      </c>
    </row>
    <row r="171" ht="21.0" customHeight="1">
      <c r="A171" s="44"/>
      <c r="B171" s="44"/>
      <c r="C171" s="44"/>
      <c r="D171" s="44"/>
      <c r="E171" s="44"/>
      <c r="F171" s="48"/>
      <c r="G171" s="48"/>
      <c r="H171" s="44"/>
      <c r="I171" s="48"/>
      <c r="J171" s="48"/>
      <c r="K171" s="44"/>
      <c r="L171" s="44"/>
      <c r="M171" s="2" t="str">
        <f>IF(A171="","",COUNTIF(Companies!$A$6:$A$55,A171))</f>
        <v/>
      </c>
      <c r="N171" s="2" t="str">
        <f>IF(B171="","",COUNTIF(Counterparties!$A$6:$A$80,B171))</f>
        <v/>
      </c>
      <c r="O171" s="2" t="str">
        <f t="shared" si="1"/>
        <v/>
      </c>
      <c r="P171" s="2" t="str">
        <f t="array" ref="P171">IF(B171="","",IF(N171&lt;&gt;1,"n.a.",INDEX(Counterparties!$C$6:$C$80,MATCH(B171,Counterparties!$A$6:$A$80,0))))</f>
        <v/>
      </c>
      <c r="Q171" s="2" t="str">
        <f t="array" ref="Q171">IF(B171="","",IF(N171&lt;&gt;1,"n.a.",INDEX(Counterparties!$G$6:$G$80,MATCH(B171,Counterparties!$A$6:$A$80,0))))</f>
        <v/>
      </c>
      <c r="R171" s="2">
        <f t="array" ref="R171">IF(A171="",0,IF(M171&lt;&gt;1,0,IF(AND(INDEX(Companies!$R$6:$R$55,MATCH(A171,Companies!$A$6:$A$55,0))=1,INDEX(Companies!$I$6:$I$55,MATCH(A171,Companies!$A$6:$A$55,0))&gt;=MAX(10,Rules!$B$22)),1,0)))</f>
        <v>0</v>
      </c>
      <c r="S171" s="2" t="str">
        <f t="array" ref="S171">IF(B171="","",IF(N171&lt;&gt;1,"Check counterparty ID",INDEX(Counterparties!$N$6:$N$80,MATCH(B171,Counterparties!$A$6:$A$80,0))))</f>
        <v/>
      </c>
      <c r="T171" s="2" t="str">
        <f t="shared" si="2"/>
        <v/>
      </c>
      <c r="U171" s="2">
        <f t="shared" si="3"/>
        <v>0</v>
      </c>
      <c r="V171" s="2">
        <f t="shared" si="4"/>
        <v>0</v>
      </c>
      <c r="W171" s="2">
        <f>IF(COUNTA(A171:L171)=0,0,IF(AND(OR(C171="Client",C171="Partner",C171="Client and partner"),D171&lt;&gt;"",E171="Active",H171&lt;&gt;"",ISNUMBER(I171),ISNUMBER(J171),I171&lt;=J171,J171&lt;=Rules!$B$6,Rules!$B$6-J171&lt;=Rules!$B$42,K171="Yes",OR(F171="",AND(ISNUMBER(F171),F171&lt;=Rules!$B$6)),OR(G171="",AND(ISNUMBER(G171),G171&gt;=Rules!$B$6)),OR(F171="",G171="",G171&gt;=F171)),1,0))</f>
        <v>0</v>
      </c>
    </row>
    <row r="172" ht="21.0" customHeight="1">
      <c r="A172" s="44"/>
      <c r="B172" s="44"/>
      <c r="C172" s="44"/>
      <c r="D172" s="44"/>
      <c r="E172" s="44"/>
      <c r="F172" s="48"/>
      <c r="G172" s="48"/>
      <c r="H172" s="44"/>
      <c r="I172" s="48"/>
      <c r="J172" s="48"/>
      <c r="K172" s="44"/>
      <c r="L172" s="44"/>
      <c r="M172" s="2" t="str">
        <f>IF(A172="","",COUNTIF(Companies!$A$6:$A$55,A172))</f>
        <v/>
      </c>
      <c r="N172" s="2" t="str">
        <f>IF(B172="","",COUNTIF(Counterparties!$A$6:$A$80,B172))</f>
        <v/>
      </c>
      <c r="O172" s="2" t="str">
        <f t="shared" si="1"/>
        <v/>
      </c>
      <c r="P172" s="2" t="str">
        <f t="array" ref="P172">IF(B172="","",IF(N172&lt;&gt;1,"n.a.",INDEX(Counterparties!$C$6:$C$80,MATCH(B172,Counterparties!$A$6:$A$80,0))))</f>
        <v/>
      </c>
      <c r="Q172" s="2" t="str">
        <f t="array" ref="Q172">IF(B172="","",IF(N172&lt;&gt;1,"n.a.",INDEX(Counterparties!$G$6:$G$80,MATCH(B172,Counterparties!$A$6:$A$80,0))))</f>
        <v/>
      </c>
      <c r="R172" s="2">
        <f t="array" ref="R172">IF(A172="",0,IF(M172&lt;&gt;1,0,IF(AND(INDEX(Companies!$R$6:$R$55,MATCH(A172,Companies!$A$6:$A$55,0))=1,INDEX(Companies!$I$6:$I$55,MATCH(A172,Companies!$A$6:$A$55,0))&gt;=MAX(10,Rules!$B$22)),1,0)))</f>
        <v>0</v>
      </c>
      <c r="S172" s="2" t="str">
        <f t="array" ref="S172">IF(B172="","",IF(N172&lt;&gt;1,"Check counterparty ID",INDEX(Counterparties!$N$6:$N$80,MATCH(B172,Counterparties!$A$6:$A$80,0))))</f>
        <v/>
      </c>
      <c r="T172" s="2" t="str">
        <f t="shared" si="2"/>
        <v/>
      </c>
      <c r="U172" s="2">
        <f t="shared" si="3"/>
        <v>0</v>
      </c>
      <c r="V172" s="2">
        <f t="shared" si="4"/>
        <v>0</v>
      </c>
      <c r="W172" s="2">
        <f>IF(COUNTA(A172:L172)=0,0,IF(AND(OR(C172="Client",C172="Partner",C172="Client and partner"),D172&lt;&gt;"",E172="Active",H172&lt;&gt;"",ISNUMBER(I172),ISNUMBER(J172),I172&lt;=J172,J172&lt;=Rules!$B$6,Rules!$B$6-J172&lt;=Rules!$B$42,K172="Yes",OR(F172="",AND(ISNUMBER(F172),F172&lt;=Rules!$B$6)),OR(G172="",AND(ISNUMBER(G172),G172&gt;=Rules!$B$6)),OR(F172="",G172="",G172&gt;=F172)),1,0))</f>
        <v>0</v>
      </c>
    </row>
    <row r="173" ht="21.0" customHeight="1">
      <c r="A173" s="44"/>
      <c r="B173" s="44"/>
      <c r="C173" s="44"/>
      <c r="D173" s="44"/>
      <c r="E173" s="44"/>
      <c r="F173" s="48"/>
      <c r="G173" s="48"/>
      <c r="H173" s="44"/>
      <c r="I173" s="48"/>
      <c r="J173" s="48"/>
      <c r="K173" s="44"/>
      <c r="L173" s="44"/>
      <c r="M173" s="2" t="str">
        <f>IF(A173="","",COUNTIF(Companies!$A$6:$A$55,A173))</f>
        <v/>
      </c>
      <c r="N173" s="2" t="str">
        <f>IF(B173="","",COUNTIF(Counterparties!$A$6:$A$80,B173))</f>
        <v/>
      </c>
      <c r="O173" s="2" t="str">
        <f t="shared" si="1"/>
        <v/>
      </c>
      <c r="P173" s="2" t="str">
        <f t="array" ref="P173">IF(B173="","",IF(N173&lt;&gt;1,"n.a.",INDEX(Counterparties!$C$6:$C$80,MATCH(B173,Counterparties!$A$6:$A$80,0))))</f>
        <v/>
      </c>
      <c r="Q173" s="2" t="str">
        <f t="array" ref="Q173">IF(B173="","",IF(N173&lt;&gt;1,"n.a.",INDEX(Counterparties!$G$6:$G$80,MATCH(B173,Counterparties!$A$6:$A$80,0))))</f>
        <v/>
      </c>
      <c r="R173" s="2">
        <f t="array" ref="R173">IF(A173="",0,IF(M173&lt;&gt;1,0,IF(AND(INDEX(Companies!$R$6:$R$55,MATCH(A173,Companies!$A$6:$A$55,0))=1,INDEX(Companies!$I$6:$I$55,MATCH(A173,Companies!$A$6:$A$55,0))&gt;=MAX(10,Rules!$B$22)),1,0)))</f>
        <v>0</v>
      </c>
      <c r="S173" s="2" t="str">
        <f t="array" ref="S173">IF(B173="","",IF(N173&lt;&gt;1,"Check counterparty ID",INDEX(Counterparties!$N$6:$N$80,MATCH(B173,Counterparties!$A$6:$A$80,0))))</f>
        <v/>
      </c>
      <c r="T173" s="2" t="str">
        <f t="shared" si="2"/>
        <v/>
      </c>
      <c r="U173" s="2">
        <f t="shared" si="3"/>
        <v>0</v>
      </c>
      <c r="V173" s="2">
        <f t="shared" si="4"/>
        <v>0</v>
      </c>
      <c r="W173" s="2">
        <f>IF(COUNTA(A173:L173)=0,0,IF(AND(OR(C173="Client",C173="Partner",C173="Client and partner"),D173&lt;&gt;"",E173="Active",H173&lt;&gt;"",ISNUMBER(I173),ISNUMBER(J173),I173&lt;=J173,J173&lt;=Rules!$B$6,Rules!$B$6-J173&lt;=Rules!$B$42,K173="Yes",OR(F173="",AND(ISNUMBER(F173),F173&lt;=Rules!$B$6)),OR(G173="",AND(ISNUMBER(G173),G173&gt;=Rules!$B$6)),OR(F173="",G173="",G173&gt;=F173)),1,0))</f>
        <v>0</v>
      </c>
    </row>
    <row r="174" ht="21.0" customHeight="1">
      <c r="A174" s="44"/>
      <c r="B174" s="44"/>
      <c r="C174" s="44"/>
      <c r="D174" s="44"/>
      <c r="E174" s="44"/>
      <c r="F174" s="48"/>
      <c r="G174" s="48"/>
      <c r="H174" s="44"/>
      <c r="I174" s="48"/>
      <c r="J174" s="48"/>
      <c r="K174" s="44"/>
      <c r="L174" s="44"/>
      <c r="M174" s="2" t="str">
        <f>IF(A174="","",COUNTIF(Companies!$A$6:$A$55,A174))</f>
        <v/>
      </c>
      <c r="N174" s="2" t="str">
        <f>IF(B174="","",COUNTIF(Counterparties!$A$6:$A$80,B174))</f>
        <v/>
      </c>
      <c r="O174" s="2" t="str">
        <f t="shared" si="1"/>
        <v/>
      </c>
      <c r="P174" s="2" t="str">
        <f t="array" ref="P174">IF(B174="","",IF(N174&lt;&gt;1,"n.a.",INDEX(Counterparties!$C$6:$C$80,MATCH(B174,Counterparties!$A$6:$A$80,0))))</f>
        <v/>
      </c>
      <c r="Q174" s="2" t="str">
        <f t="array" ref="Q174">IF(B174="","",IF(N174&lt;&gt;1,"n.a.",INDEX(Counterparties!$G$6:$G$80,MATCH(B174,Counterparties!$A$6:$A$80,0))))</f>
        <v/>
      </c>
      <c r="R174" s="2">
        <f t="array" ref="R174">IF(A174="",0,IF(M174&lt;&gt;1,0,IF(AND(INDEX(Companies!$R$6:$R$55,MATCH(A174,Companies!$A$6:$A$55,0))=1,INDEX(Companies!$I$6:$I$55,MATCH(A174,Companies!$A$6:$A$55,0))&gt;=MAX(10,Rules!$B$22)),1,0)))</f>
        <v>0</v>
      </c>
      <c r="S174" s="2" t="str">
        <f t="array" ref="S174">IF(B174="","",IF(N174&lt;&gt;1,"Check counterparty ID",INDEX(Counterparties!$N$6:$N$80,MATCH(B174,Counterparties!$A$6:$A$80,0))))</f>
        <v/>
      </c>
      <c r="T174" s="2" t="str">
        <f t="shared" si="2"/>
        <v/>
      </c>
      <c r="U174" s="2">
        <f t="shared" si="3"/>
        <v>0</v>
      </c>
      <c r="V174" s="2">
        <f t="shared" si="4"/>
        <v>0</v>
      </c>
      <c r="W174" s="2">
        <f>IF(COUNTA(A174:L174)=0,0,IF(AND(OR(C174="Client",C174="Partner",C174="Client and partner"),D174&lt;&gt;"",E174="Active",H174&lt;&gt;"",ISNUMBER(I174),ISNUMBER(J174),I174&lt;=J174,J174&lt;=Rules!$B$6,Rules!$B$6-J174&lt;=Rules!$B$42,K174="Yes",OR(F174="",AND(ISNUMBER(F174),F174&lt;=Rules!$B$6)),OR(G174="",AND(ISNUMBER(G174),G174&gt;=Rules!$B$6)),OR(F174="",G174="",G174&gt;=F174)),1,0))</f>
        <v>0</v>
      </c>
    </row>
    <row r="175" ht="21.0" customHeight="1">
      <c r="A175" s="44"/>
      <c r="B175" s="44"/>
      <c r="C175" s="44"/>
      <c r="D175" s="44"/>
      <c r="E175" s="44"/>
      <c r="F175" s="48"/>
      <c r="G175" s="48"/>
      <c r="H175" s="44"/>
      <c r="I175" s="48"/>
      <c r="J175" s="48"/>
      <c r="K175" s="44"/>
      <c r="L175" s="44"/>
      <c r="M175" s="2" t="str">
        <f>IF(A175="","",COUNTIF(Companies!$A$6:$A$55,A175))</f>
        <v/>
      </c>
      <c r="N175" s="2" t="str">
        <f>IF(B175="","",COUNTIF(Counterparties!$A$6:$A$80,B175))</f>
        <v/>
      </c>
      <c r="O175" s="2" t="str">
        <f t="shared" si="1"/>
        <v/>
      </c>
      <c r="P175" s="2" t="str">
        <f t="array" ref="P175">IF(B175="","",IF(N175&lt;&gt;1,"n.a.",INDEX(Counterparties!$C$6:$C$80,MATCH(B175,Counterparties!$A$6:$A$80,0))))</f>
        <v/>
      </c>
      <c r="Q175" s="2" t="str">
        <f t="array" ref="Q175">IF(B175="","",IF(N175&lt;&gt;1,"n.a.",INDEX(Counterparties!$G$6:$G$80,MATCH(B175,Counterparties!$A$6:$A$80,0))))</f>
        <v/>
      </c>
      <c r="R175" s="2">
        <f t="array" ref="R175">IF(A175="",0,IF(M175&lt;&gt;1,0,IF(AND(INDEX(Companies!$R$6:$R$55,MATCH(A175,Companies!$A$6:$A$55,0))=1,INDEX(Companies!$I$6:$I$55,MATCH(A175,Companies!$A$6:$A$55,0))&gt;=MAX(10,Rules!$B$22)),1,0)))</f>
        <v>0</v>
      </c>
      <c r="S175" s="2" t="str">
        <f t="array" ref="S175">IF(B175="","",IF(N175&lt;&gt;1,"Check counterparty ID",INDEX(Counterparties!$N$6:$N$80,MATCH(B175,Counterparties!$A$6:$A$80,0))))</f>
        <v/>
      </c>
      <c r="T175" s="2" t="str">
        <f t="shared" si="2"/>
        <v/>
      </c>
      <c r="U175" s="2">
        <f t="shared" si="3"/>
        <v>0</v>
      </c>
      <c r="V175" s="2">
        <f t="shared" si="4"/>
        <v>0</v>
      </c>
      <c r="W175" s="2">
        <f>IF(COUNTA(A175:L175)=0,0,IF(AND(OR(C175="Client",C175="Partner",C175="Client and partner"),D175&lt;&gt;"",E175="Active",H175&lt;&gt;"",ISNUMBER(I175),ISNUMBER(J175),I175&lt;=J175,J175&lt;=Rules!$B$6,Rules!$B$6-J175&lt;=Rules!$B$42,K175="Yes",OR(F175="",AND(ISNUMBER(F175),F175&lt;=Rules!$B$6)),OR(G175="",AND(ISNUMBER(G175),G175&gt;=Rules!$B$6)),OR(F175="",G175="",G175&gt;=F175)),1,0))</f>
        <v>0</v>
      </c>
    </row>
    <row r="176" ht="21.0" customHeight="1">
      <c r="A176" s="44"/>
      <c r="B176" s="44"/>
      <c r="C176" s="44"/>
      <c r="D176" s="44"/>
      <c r="E176" s="44"/>
      <c r="F176" s="48"/>
      <c r="G176" s="48"/>
      <c r="H176" s="44"/>
      <c r="I176" s="48"/>
      <c r="J176" s="48"/>
      <c r="K176" s="44"/>
      <c r="L176" s="44"/>
      <c r="M176" s="2" t="str">
        <f>IF(A176="","",COUNTIF(Companies!$A$6:$A$55,A176))</f>
        <v/>
      </c>
      <c r="N176" s="2" t="str">
        <f>IF(B176="","",COUNTIF(Counterparties!$A$6:$A$80,B176))</f>
        <v/>
      </c>
      <c r="O176" s="2" t="str">
        <f t="shared" si="1"/>
        <v/>
      </c>
      <c r="P176" s="2" t="str">
        <f t="array" ref="P176">IF(B176="","",IF(N176&lt;&gt;1,"n.a.",INDEX(Counterparties!$C$6:$C$80,MATCH(B176,Counterparties!$A$6:$A$80,0))))</f>
        <v/>
      </c>
      <c r="Q176" s="2" t="str">
        <f t="array" ref="Q176">IF(B176="","",IF(N176&lt;&gt;1,"n.a.",INDEX(Counterparties!$G$6:$G$80,MATCH(B176,Counterparties!$A$6:$A$80,0))))</f>
        <v/>
      </c>
      <c r="R176" s="2">
        <f t="array" ref="R176">IF(A176="",0,IF(M176&lt;&gt;1,0,IF(AND(INDEX(Companies!$R$6:$R$55,MATCH(A176,Companies!$A$6:$A$55,0))=1,INDEX(Companies!$I$6:$I$55,MATCH(A176,Companies!$A$6:$A$55,0))&gt;=MAX(10,Rules!$B$22)),1,0)))</f>
        <v>0</v>
      </c>
      <c r="S176" s="2" t="str">
        <f t="array" ref="S176">IF(B176="","",IF(N176&lt;&gt;1,"Check counterparty ID",INDEX(Counterparties!$N$6:$N$80,MATCH(B176,Counterparties!$A$6:$A$80,0))))</f>
        <v/>
      </c>
      <c r="T176" s="2" t="str">
        <f t="shared" si="2"/>
        <v/>
      </c>
      <c r="U176" s="2">
        <f t="shared" si="3"/>
        <v>0</v>
      </c>
      <c r="V176" s="2">
        <f t="shared" si="4"/>
        <v>0</v>
      </c>
      <c r="W176" s="2">
        <f>IF(COUNTA(A176:L176)=0,0,IF(AND(OR(C176="Client",C176="Partner",C176="Client and partner"),D176&lt;&gt;"",E176="Active",H176&lt;&gt;"",ISNUMBER(I176),ISNUMBER(J176),I176&lt;=J176,J176&lt;=Rules!$B$6,Rules!$B$6-J176&lt;=Rules!$B$42,K176="Yes",OR(F176="",AND(ISNUMBER(F176),F176&lt;=Rules!$B$6)),OR(G176="",AND(ISNUMBER(G176),G176&gt;=Rules!$B$6)),OR(F176="",G176="",G176&gt;=F176)),1,0))</f>
        <v>0</v>
      </c>
    </row>
    <row r="177" ht="21.0" customHeight="1">
      <c r="A177" s="44"/>
      <c r="B177" s="44"/>
      <c r="C177" s="44"/>
      <c r="D177" s="44"/>
      <c r="E177" s="44"/>
      <c r="F177" s="48"/>
      <c r="G177" s="48"/>
      <c r="H177" s="44"/>
      <c r="I177" s="48"/>
      <c r="J177" s="48"/>
      <c r="K177" s="44"/>
      <c r="L177" s="44"/>
      <c r="M177" s="2" t="str">
        <f>IF(A177="","",COUNTIF(Companies!$A$6:$A$55,A177))</f>
        <v/>
      </c>
      <c r="N177" s="2" t="str">
        <f>IF(B177="","",COUNTIF(Counterparties!$A$6:$A$80,B177))</f>
        <v/>
      </c>
      <c r="O177" s="2" t="str">
        <f t="shared" si="1"/>
        <v/>
      </c>
      <c r="P177" s="2" t="str">
        <f t="array" ref="P177">IF(B177="","",IF(N177&lt;&gt;1,"n.a.",INDEX(Counterparties!$C$6:$C$80,MATCH(B177,Counterparties!$A$6:$A$80,0))))</f>
        <v/>
      </c>
      <c r="Q177" s="2" t="str">
        <f t="array" ref="Q177">IF(B177="","",IF(N177&lt;&gt;1,"n.a.",INDEX(Counterparties!$G$6:$G$80,MATCH(B177,Counterparties!$A$6:$A$80,0))))</f>
        <v/>
      </c>
      <c r="R177" s="2">
        <f t="array" ref="R177">IF(A177="",0,IF(M177&lt;&gt;1,0,IF(AND(INDEX(Companies!$R$6:$R$55,MATCH(A177,Companies!$A$6:$A$55,0))=1,INDEX(Companies!$I$6:$I$55,MATCH(A177,Companies!$A$6:$A$55,0))&gt;=MAX(10,Rules!$B$22)),1,0)))</f>
        <v>0</v>
      </c>
      <c r="S177" s="2" t="str">
        <f t="array" ref="S177">IF(B177="","",IF(N177&lt;&gt;1,"Check counterparty ID",INDEX(Counterparties!$N$6:$N$80,MATCH(B177,Counterparties!$A$6:$A$80,0))))</f>
        <v/>
      </c>
      <c r="T177" s="2" t="str">
        <f t="shared" si="2"/>
        <v/>
      </c>
      <c r="U177" s="2">
        <f t="shared" si="3"/>
        <v>0</v>
      </c>
      <c r="V177" s="2">
        <f t="shared" si="4"/>
        <v>0</v>
      </c>
      <c r="W177" s="2">
        <f>IF(COUNTA(A177:L177)=0,0,IF(AND(OR(C177="Client",C177="Partner",C177="Client and partner"),D177&lt;&gt;"",E177="Active",H177&lt;&gt;"",ISNUMBER(I177),ISNUMBER(J177),I177&lt;=J177,J177&lt;=Rules!$B$6,Rules!$B$6-J177&lt;=Rules!$B$42,K177="Yes",OR(F177="",AND(ISNUMBER(F177),F177&lt;=Rules!$B$6)),OR(G177="",AND(ISNUMBER(G177),G177&gt;=Rules!$B$6)),OR(F177="",G177="",G177&gt;=F177)),1,0))</f>
        <v>0</v>
      </c>
    </row>
    <row r="178" ht="21.0" customHeight="1">
      <c r="A178" s="44"/>
      <c r="B178" s="44"/>
      <c r="C178" s="44"/>
      <c r="D178" s="44"/>
      <c r="E178" s="44"/>
      <c r="F178" s="48"/>
      <c r="G178" s="48"/>
      <c r="H178" s="44"/>
      <c r="I178" s="48"/>
      <c r="J178" s="48"/>
      <c r="K178" s="44"/>
      <c r="L178" s="44"/>
      <c r="M178" s="2" t="str">
        <f>IF(A178="","",COUNTIF(Companies!$A$6:$A$55,A178))</f>
        <v/>
      </c>
      <c r="N178" s="2" t="str">
        <f>IF(B178="","",COUNTIF(Counterparties!$A$6:$A$80,B178))</f>
        <v/>
      </c>
      <c r="O178" s="2" t="str">
        <f t="shared" si="1"/>
        <v/>
      </c>
      <c r="P178" s="2" t="str">
        <f t="array" ref="P178">IF(B178="","",IF(N178&lt;&gt;1,"n.a.",INDEX(Counterparties!$C$6:$C$80,MATCH(B178,Counterparties!$A$6:$A$80,0))))</f>
        <v/>
      </c>
      <c r="Q178" s="2" t="str">
        <f t="array" ref="Q178">IF(B178="","",IF(N178&lt;&gt;1,"n.a.",INDEX(Counterparties!$G$6:$G$80,MATCH(B178,Counterparties!$A$6:$A$80,0))))</f>
        <v/>
      </c>
      <c r="R178" s="2">
        <f t="array" ref="R178">IF(A178="",0,IF(M178&lt;&gt;1,0,IF(AND(INDEX(Companies!$R$6:$R$55,MATCH(A178,Companies!$A$6:$A$55,0))=1,INDEX(Companies!$I$6:$I$55,MATCH(A178,Companies!$A$6:$A$55,0))&gt;=MAX(10,Rules!$B$22)),1,0)))</f>
        <v>0</v>
      </c>
      <c r="S178" s="2" t="str">
        <f t="array" ref="S178">IF(B178="","",IF(N178&lt;&gt;1,"Check counterparty ID",INDEX(Counterparties!$N$6:$N$80,MATCH(B178,Counterparties!$A$6:$A$80,0))))</f>
        <v/>
      </c>
      <c r="T178" s="2" t="str">
        <f t="shared" si="2"/>
        <v/>
      </c>
      <c r="U178" s="2">
        <f t="shared" si="3"/>
        <v>0</v>
      </c>
      <c r="V178" s="2">
        <f t="shared" si="4"/>
        <v>0</v>
      </c>
      <c r="W178" s="2">
        <f>IF(COUNTA(A178:L178)=0,0,IF(AND(OR(C178="Client",C178="Partner",C178="Client and partner"),D178&lt;&gt;"",E178="Active",H178&lt;&gt;"",ISNUMBER(I178),ISNUMBER(J178),I178&lt;=J178,J178&lt;=Rules!$B$6,Rules!$B$6-J178&lt;=Rules!$B$42,K178="Yes",OR(F178="",AND(ISNUMBER(F178),F178&lt;=Rules!$B$6)),OR(G178="",AND(ISNUMBER(G178),G178&gt;=Rules!$B$6)),OR(F178="",G178="",G178&gt;=F178)),1,0))</f>
        <v>0</v>
      </c>
    </row>
    <row r="179" ht="21.0" customHeight="1">
      <c r="A179" s="44"/>
      <c r="B179" s="44"/>
      <c r="C179" s="44"/>
      <c r="D179" s="44"/>
      <c r="E179" s="44"/>
      <c r="F179" s="48"/>
      <c r="G179" s="48"/>
      <c r="H179" s="44"/>
      <c r="I179" s="48"/>
      <c r="J179" s="48"/>
      <c r="K179" s="44"/>
      <c r="L179" s="44"/>
      <c r="M179" s="2" t="str">
        <f>IF(A179="","",COUNTIF(Companies!$A$6:$A$55,A179))</f>
        <v/>
      </c>
      <c r="N179" s="2" t="str">
        <f>IF(B179="","",COUNTIF(Counterparties!$A$6:$A$80,B179))</f>
        <v/>
      </c>
      <c r="O179" s="2" t="str">
        <f t="shared" si="1"/>
        <v/>
      </c>
      <c r="P179" s="2" t="str">
        <f t="array" ref="P179">IF(B179="","",IF(N179&lt;&gt;1,"n.a.",INDEX(Counterparties!$C$6:$C$80,MATCH(B179,Counterparties!$A$6:$A$80,0))))</f>
        <v/>
      </c>
      <c r="Q179" s="2" t="str">
        <f t="array" ref="Q179">IF(B179="","",IF(N179&lt;&gt;1,"n.a.",INDEX(Counterparties!$G$6:$G$80,MATCH(B179,Counterparties!$A$6:$A$80,0))))</f>
        <v/>
      </c>
      <c r="R179" s="2">
        <f t="array" ref="R179">IF(A179="",0,IF(M179&lt;&gt;1,0,IF(AND(INDEX(Companies!$R$6:$R$55,MATCH(A179,Companies!$A$6:$A$55,0))=1,INDEX(Companies!$I$6:$I$55,MATCH(A179,Companies!$A$6:$A$55,0))&gt;=MAX(10,Rules!$B$22)),1,0)))</f>
        <v>0</v>
      </c>
      <c r="S179" s="2" t="str">
        <f t="array" ref="S179">IF(B179="","",IF(N179&lt;&gt;1,"Check counterparty ID",INDEX(Counterparties!$N$6:$N$80,MATCH(B179,Counterparties!$A$6:$A$80,0))))</f>
        <v/>
      </c>
      <c r="T179" s="2" t="str">
        <f t="shared" si="2"/>
        <v/>
      </c>
      <c r="U179" s="2">
        <f t="shared" si="3"/>
        <v>0</v>
      </c>
      <c r="V179" s="2">
        <f t="shared" si="4"/>
        <v>0</v>
      </c>
      <c r="W179" s="2">
        <f>IF(COUNTA(A179:L179)=0,0,IF(AND(OR(C179="Client",C179="Partner",C179="Client and partner"),D179&lt;&gt;"",E179="Active",H179&lt;&gt;"",ISNUMBER(I179),ISNUMBER(J179),I179&lt;=J179,J179&lt;=Rules!$B$6,Rules!$B$6-J179&lt;=Rules!$B$42,K179="Yes",OR(F179="",AND(ISNUMBER(F179),F179&lt;=Rules!$B$6)),OR(G179="",AND(ISNUMBER(G179),G179&gt;=Rules!$B$6)),OR(F179="",G179="",G179&gt;=F179)),1,0))</f>
        <v>0</v>
      </c>
    </row>
    <row r="180" ht="21.0" customHeight="1">
      <c r="A180" s="44"/>
      <c r="B180" s="44"/>
      <c r="C180" s="44"/>
      <c r="D180" s="44"/>
      <c r="E180" s="44"/>
      <c r="F180" s="48"/>
      <c r="G180" s="48"/>
      <c r="H180" s="44"/>
      <c r="I180" s="48"/>
      <c r="J180" s="48"/>
      <c r="K180" s="44"/>
      <c r="L180" s="44"/>
      <c r="M180" s="2" t="str">
        <f>IF(A180="","",COUNTIF(Companies!$A$6:$A$55,A180))</f>
        <v/>
      </c>
      <c r="N180" s="2" t="str">
        <f>IF(B180="","",COUNTIF(Counterparties!$A$6:$A$80,B180))</f>
        <v/>
      </c>
      <c r="O180" s="2" t="str">
        <f t="shared" si="1"/>
        <v/>
      </c>
      <c r="P180" s="2" t="str">
        <f t="array" ref="P180">IF(B180="","",IF(N180&lt;&gt;1,"n.a.",INDEX(Counterparties!$C$6:$C$80,MATCH(B180,Counterparties!$A$6:$A$80,0))))</f>
        <v/>
      </c>
      <c r="Q180" s="2" t="str">
        <f t="array" ref="Q180">IF(B180="","",IF(N180&lt;&gt;1,"n.a.",INDEX(Counterparties!$G$6:$G$80,MATCH(B180,Counterparties!$A$6:$A$80,0))))</f>
        <v/>
      </c>
      <c r="R180" s="2">
        <f t="array" ref="R180">IF(A180="",0,IF(M180&lt;&gt;1,0,IF(AND(INDEX(Companies!$R$6:$R$55,MATCH(A180,Companies!$A$6:$A$55,0))=1,INDEX(Companies!$I$6:$I$55,MATCH(A180,Companies!$A$6:$A$55,0))&gt;=MAX(10,Rules!$B$22)),1,0)))</f>
        <v>0</v>
      </c>
      <c r="S180" s="2" t="str">
        <f t="array" ref="S180">IF(B180="","",IF(N180&lt;&gt;1,"Check counterparty ID",INDEX(Counterparties!$N$6:$N$80,MATCH(B180,Counterparties!$A$6:$A$80,0))))</f>
        <v/>
      </c>
      <c r="T180" s="2" t="str">
        <f t="shared" si="2"/>
        <v/>
      </c>
      <c r="U180" s="2">
        <f t="shared" si="3"/>
        <v>0</v>
      </c>
      <c r="V180" s="2">
        <f t="shared" si="4"/>
        <v>0</v>
      </c>
      <c r="W180" s="2">
        <f>IF(COUNTA(A180:L180)=0,0,IF(AND(OR(C180="Client",C180="Partner",C180="Client and partner"),D180&lt;&gt;"",E180="Active",H180&lt;&gt;"",ISNUMBER(I180),ISNUMBER(J180),I180&lt;=J180,J180&lt;=Rules!$B$6,Rules!$B$6-J180&lt;=Rules!$B$42,K180="Yes",OR(F180="",AND(ISNUMBER(F180),F180&lt;=Rules!$B$6)),OR(G180="",AND(ISNUMBER(G180),G180&gt;=Rules!$B$6)),OR(F180="",G180="",G180&gt;=F180)),1,0))</f>
        <v>0</v>
      </c>
    </row>
    <row r="181" ht="21.0" customHeight="1">
      <c r="A181" s="44"/>
      <c r="B181" s="44"/>
      <c r="C181" s="44"/>
      <c r="D181" s="44"/>
      <c r="E181" s="44"/>
      <c r="F181" s="48"/>
      <c r="G181" s="48"/>
      <c r="H181" s="44"/>
      <c r="I181" s="48"/>
      <c r="J181" s="48"/>
      <c r="K181" s="44"/>
      <c r="L181" s="44"/>
      <c r="M181" s="2" t="str">
        <f>IF(A181="","",COUNTIF(Companies!$A$6:$A$55,A181))</f>
        <v/>
      </c>
      <c r="N181" s="2" t="str">
        <f>IF(B181="","",COUNTIF(Counterparties!$A$6:$A$80,B181))</f>
        <v/>
      </c>
      <c r="O181" s="2" t="str">
        <f t="shared" si="1"/>
        <v/>
      </c>
      <c r="P181" s="2" t="str">
        <f t="array" ref="P181">IF(B181="","",IF(N181&lt;&gt;1,"n.a.",INDEX(Counterparties!$C$6:$C$80,MATCH(B181,Counterparties!$A$6:$A$80,0))))</f>
        <v/>
      </c>
      <c r="Q181" s="2" t="str">
        <f t="array" ref="Q181">IF(B181="","",IF(N181&lt;&gt;1,"n.a.",INDEX(Counterparties!$G$6:$G$80,MATCH(B181,Counterparties!$A$6:$A$80,0))))</f>
        <v/>
      </c>
      <c r="R181" s="2">
        <f t="array" ref="R181">IF(A181="",0,IF(M181&lt;&gt;1,0,IF(AND(INDEX(Companies!$R$6:$R$55,MATCH(A181,Companies!$A$6:$A$55,0))=1,INDEX(Companies!$I$6:$I$55,MATCH(A181,Companies!$A$6:$A$55,0))&gt;=MAX(10,Rules!$B$22)),1,0)))</f>
        <v>0</v>
      </c>
      <c r="S181" s="2" t="str">
        <f t="array" ref="S181">IF(B181="","",IF(N181&lt;&gt;1,"Check counterparty ID",INDEX(Counterparties!$N$6:$N$80,MATCH(B181,Counterparties!$A$6:$A$80,0))))</f>
        <v/>
      </c>
      <c r="T181" s="2" t="str">
        <f t="shared" si="2"/>
        <v/>
      </c>
      <c r="U181" s="2">
        <f t="shared" si="3"/>
        <v>0</v>
      </c>
      <c r="V181" s="2">
        <f t="shared" si="4"/>
        <v>0</v>
      </c>
      <c r="W181" s="2">
        <f>IF(COUNTA(A181:L181)=0,0,IF(AND(OR(C181="Client",C181="Partner",C181="Client and partner"),D181&lt;&gt;"",E181="Active",H181&lt;&gt;"",ISNUMBER(I181),ISNUMBER(J181),I181&lt;=J181,J181&lt;=Rules!$B$6,Rules!$B$6-J181&lt;=Rules!$B$42,K181="Yes",OR(F181="",AND(ISNUMBER(F181),F181&lt;=Rules!$B$6)),OR(G181="",AND(ISNUMBER(G181),G181&gt;=Rules!$B$6)),OR(F181="",G181="",G181&gt;=F181)),1,0))</f>
        <v>0</v>
      </c>
    </row>
    <row r="182" ht="21.0" customHeight="1">
      <c r="A182" s="44"/>
      <c r="B182" s="44"/>
      <c r="C182" s="44"/>
      <c r="D182" s="44"/>
      <c r="E182" s="44"/>
      <c r="F182" s="48"/>
      <c r="G182" s="48"/>
      <c r="H182" s="44"/>
      <c r="I182" s="48"/>
      <c r="J182" s="48"/>
      <c r="K182" s="44"/>
      <c r="L182" s="44"/>
      <c r="M182" s="2" t="str">
        <f>IF(A182="","",COUNTIF(Companies!$A$6:$A$55,A182))</f>
        <v/>
      </c>
      <c r="N182" s="2" t="str">
        <f>IF(B182="","",COUNTIF(Counterparties!$A$6:$A$80,B182))</f>
        <v/>
      </c>
      <c r="O182" s="2" t="str">
        <f t="shared" si="1"/>
        <v/>
      </c>
      <c r="P182" s="2" t="str">
        <f t="array" ref="P182">IF(B182="","",IF(N182&lt;&gt;1,"n.a.",INDEX(Counterparties!$C$6:$C$80,MATCH(B182,Counterparties!$A$6:$A$80,0))))</f>
        <v/>
      </c>
      <c r="Q182" s="2" t="str">
        <f t="array" ref="Q182">IF(B182="","",IF(N182&lt;&gt;1,"n.a.",INDEX(Counterparties!$G$6:$G$80,MATCH(B182,Counterparties!$A$6:$A$80,0))))</f>
        <v/>
      </c>
      <c r="R182" s="2">
        <f t="array" ref="R182">IF(A182="",0,IF(M182&lt;&gt;1,0,IF(AND(INDEX(Companies!$R$6:$R$55,MATCH(A182,Companies!$A$6:$A$55,0))=1,INDEX(Companies!$I$6:$I$55,MATCH(A182,Companies!$A$6:$A$55,0))&gt;=MAX(10,Rules!$B$22)),1,0)))</f>
        <v>0</v>
      </c>
      <c r="S182" s="2" t="str">
        <f t="array" ref="S182">IF(B182="","",IF(N182&lt;&gt;1,"Check counterparty ID",INDEX(Counterparties!$N$6:$N$80,MATCH(B182,Counterparties!$A$6:$A$80,0))))</f>
        <v/>
      </c>
      <c r="T182" s="2" t="str">
        <f t="shared" si="2"/>
        <v/>
      </c>
      <c r="U182" s="2">
        <f t="shared" si="3"/>
        <v>0</v>
      </c>
      <c r="V182" s="2">
        <f t="shared" si="4"/>
        <v>0</v>
      </c>
      <c r="W182" s="2">
        <f>IF(COUNTA(A182:L182)=0,0,IF(AND(OR(C182="Client",C182="Partner",C182="Client and partner"),D182&lt;&gt;"",E182="Active",H182&lt;&gt;"",ISNUMBER(I182),ISNUMBER(J182),I182&lt;=J182,J182&lt;=Rules!$B$6,Rules!$B$6-J182&lt;=Rules!$B$42,K182="Yes",OR(F182="",AND(ISNUMBER(F182),F182&lt;=Rules!$B$6)),OR(G182="",AND(ISNUMBER(G182),G182&gt;=Rules!$B$6)),OR(F182="",G182="",G182&gt;=F182)),1,0))</f>
        <v>0</v>
      </c>
    </row>
    <row r="183" ht="21.0" customHeight="1">
      <c r="A183" s="44"/>
      <c r="B183" s="44"/>
      <c r="C183" s="44"/>
      <c r="D183" s="44"/>
      <c r="E183" s="44"/>
      <c r="F183" s="48"/>
      <c r="G183" s="48"/>
      <c r="H183" s="44"/>
      <c r="I183" s="48"/>
      <c r="J183" s="48"/>
      <c r="K183" s="44"/>
      <c r="L183" s="44"/>
      <c r="M183" s="2" t="str">
        <f>IF(A183="","",COUNTIF(Companies!$A$6:$A$55,A183))</f>
        <v/>
      </c>
      <c r="N183" s="2" t="str">
        <f>IF(B183="","",COUNTIF(Counterparties!$A$6:$A$80,B183))</f>
        <v/>
      </c>
      <c r="O183" s="2" t="str">
        <f t="shared" si="1"/>
        <v/>
      </c>
      <c r="P183" s="2" t="str">
        <f t="array" ref="P183">IF(B183="","",IF(N183&lt;&gt;1,"n.a.",INDEX(Counterparties!$C$6:$C$80,MATCH(B183,Counterparties!$A$6:$A$80,0))))</f>
        <v/>
      </c>
      <c r="Q183" s="2" t="str">
        <f t="array" ref="Q183">IF(B183="","",IF(N183&lt;&gt;1,"n.a.",INDEX(Counterparties!$G$6:$G$80,MATCH(B183,Counterparties!$A$6:$A$80,0))))</f>
        <v/>
      </c>
      <c r="R183" s="2">
        <f t="array" ref="R183">IF(A183="",0,IF(M183&lt;&gt;1,0,IF(AND(INDEX(Companies!$R$6:$R$55,MATCH(A183,Companies!$A$6:$A$55,0))=1,INDEX(Companies!$I$6:$I$55,MATCH(A183,Companies!$A$6:$A$55,0))&gt;=MAX(10,Rules!$B$22)),1,0)))</f>
        <v>0</v>
      </c>
      <c r="S183" s="2" t="str">
        <f t="array" ref="S183">IF(B183="","",IF(N183&lt;&gt;1,"Check counterparty ID",INDEX(Counterparties!$N$6:$N$80,MATCH(B183,Counterparties!$A$6:$A$80,0))))</f>
        <v/>
      </c>
      <c r="T183" s="2" t="str">
        <f t="shared" si="2"/>
        <v/>
      </c>
      <c r="U183" s="2">
        <f t="shared" si="3"/>
        <v>0</v>
      </c>
      <c r="V183" s="2">
        <f t="shared" si="4"/>
        <v>0</v>
      </c>
      <c r="W183" s="2">
        <f>IF(COUNTA(A183:L183)=0,0,IF(AND(OR(C183="Client",C183="Partner",C183="Client and partner"),D183&lt;&gt;"",E183="Active",H183&lt;&gt;"",ISNUMBER(I183),ISNUMBER(J183),I183&lt;=J183,J183&lt;=Rules!$B$6,Rules!$B$6-J183&lt;=Rules!$B$42,K183="Yes",OR(F183="",AND(ISNUMBER(F183),F183&lt;=Rules!$B$6)),OR(G183="",AND(ISNUMBER(G183),G183&gt;=Rules!$B$6)),OR(F183="",G183="",G183&gt;=F183)),1,0))</f>
        <v>0</v>
      </c>
    </row>
    <row r="184" ht="21.0" customHeight="1">
      <c r="A184" s="44"/>
      <c r="B184" s="44"/>
      <c r="C184" s="44"/>
      <c r="D184" s="44"/>
      <c r="E184" s="44"/>
      <c r="F184" s="48"/>
      <c r="G184" s="48"/>
      <c r="H184" s="44"/>
      <c r="I184" s="48"/>
      <c r="J184" s="48"/>
      <c r="K184" s="44"/>
      <c r="L184" s="44"/>
      <c r="M184" s="2" t="str">
        <f>IF(A184="","",COUNTIF(Companies!$A$6:$A$55,A184))</f>
        <v/>
      </c>
      <c r="N184" s="2" t="str">
        <f>IF(B184="","",COUNTIF(Counterparties!$A$6:$A$80,B184))</f>
        <v/>
      </c>
      <c r="O184" s="2" t="str">
        <f t="shared" si="1"/>
        <v/>
      </c>
      <c r="P184" s="2" t="str">
        <f t="array" ref="P184">IF(B184="","",IF(N184&lt;&gt;1,"n.a.",INDEX(Counterparties!$C$6:$C$80,MATCH(B184,Counterparties!$A$6:$A$80,0))))</f>
        <v/>
      </c>
      <c r="Q184" s="2" t="str">
        <f t="array" ref="Q184">IF(B184="","",IF(N184&lt;&gt;1,"n.a.",INDEX(Counterparties!$G$6:$G$80,MATCH(B184,Counterparties!$A$6:$A$80,0))))</f>
        <v/>
      </c>
      <c r="R184" s="2">
        <f t="array" ref="R184">IF(A184="",0,IF(M184&lt;&gt;1,0,IF(AND(INDEX(Companies!$R$6:$R$55,MATCH(A184,Companies!$A$6:$A$55,0))=1,INDEX(Companies!$I$6:$I$55,MATCH(A184,Companies!$A$6:$A$55,0))&gt;=MAX(10,Rules!$B$22)),1,0)))</f>
        <v>0</v>
      </c>
      <c r="S184" s="2" t="str">
        <f t="array" ref="S184">IF(B184="","",IF(N184&lt;&gt;1,"Check counterparty ID",INDEX(Counterparties!$N$6:$N$80,MATCH(B184,Counterparties!$A$6:$A$80,0))))</f>
        <v/>
      </c>
      <c r="T184" s="2" t="str">
        <f t="shared" si="2"/>
        <v/>
      </c>
      <c r="U184" s="2">
        <f t="shared" si="3"/>
        <v>0</v>
      </c>
      <c r="V184" s="2">
        <f t="shared" si="4"/>
        <v>0</v>
      </c>
      <c r="W184" s="2">
        <f>IF(COUNTA(A184:L184)=0,0,IF(AND(OR(C184="Client",C184="Partner",C184="Client and partner"),D184&lt;&gt;"",E184="Active",H184&lt;&gt;"",ISNUMBER(I184),ISNUMBER(J184),I184&lt;=J184,J184&lt;=Rules!$B$6,Rules!$B$6-J184&lt;=Rules!$B$42,K184="Yes",OR(F184="",AND(ISNUMBER(F184),F184&lt;=Rules!$B$6)),OR(G184="",AND(ISNUMBER(G184),G184&gt;=Rules!$B$6)),OR(F184="",G184="",G184&gt;=F184)),1,0))</f>
        <v>0</v>
      </c>
    </row>
    <row r="185" ht="21.0" customHeight="1">
      <c r="A185" s="44"/>
      <c r="B185" s="44"/>
      <c r="C185" s="44"/>
      <c r="D185" s="44"/>
      <c r="E185" s="44"/>
      <c r="F185" s="48"/>
      <c r="G185" s="48"/>
      <c r="H185" s="44"/>
      <c r="I185" s="48"/>
      <c r="J185" s="48"/>
      <c r="K185" s="44"/>
      <c r="L185" s="44"/>
      <c r="M185" s="2" t="str">
        <f>IF(A185="","",COUNTIF(Companies!$A$6:$A$55,A185))</f>
        <v/>
      </c>
      <c r="N185" s="2" t="str">
        <f>IF(B185="","",COUNTIF(Counterparties!$A$6:$A$80,B185))</f>
        <v/>
      </c>
      <c r="O185" s="2" t="str">
        <f t="shared" si="1"/>
        <v/>
      </c>
      <c r="P185" s="2" t="str">
        <f t="array" ref="P185">IF(B185="","",IF(N185&lt;&gt;1,"n.a.",INDEX(Counterparties!$C$6:$C$80,MATCH(B185,Counterparties!$A$6:$A$80,0))))</f>
        <v/>
      </c>
      <c r="Q185" s="2" t="str">
        <f t="array" ref="Q185">IF(B185="","",IF(N185&lt;&gt;1,"n.a.",INDEX(Counterparties!$G$6:$G$80,MATCH(B185,Counterparties!$A$6:$A$80,0))))</f>
        <v/>
      </c>
      <c r="R185" s="2">
        <f t="array" ref="R185">IF(A185="",0,IF(M185&lt;&gt;1,0,IF(AND(INDEX(Companies!$R$6:$R$55,MATCH(A185,Companies!$A$6:$A$55,0))=1,INDEX(Companies!$I$6:$I$55,MATCH(A185,Companies!$A$6:$A$55,0))&gt;=MAX(10,Rules!$B$22)),1,0)))</f>
        <v>0</v>
      </c>
      <c r="S185" s="2" t="str">
        <f t="array" ref="S185">IF(B185="","",IF(N185&lt;&gt;1,"Check counterparty ID",INDEX(Counterparties!$N$6:$N$80,MATCH(B185,Counterparties!$A$6:$A$80,0))))</f>
        <v/>
      </c>
      <c r="T185" s="2" t="str">
        <f t="shared" si="2"/>
        <v/>
      </c>
      <c r="U185" s="2">
        <f t="shared" si="3"/>
        <v>0</v>
      </c>
      <c r="V185" s="2">
        <f t="shared" si="4"/>
        <v>0</v>
      </c>
      <c r="W185" s="2">
        <f>IF(COUNTA(A185:L185)=0,0,IF(AND(OR(C185="Client",C185="Partner",C185="Client and partner"),D185&lt;&gt;"",E185="Active",H185&lt;&gt;"",ISNUMBER(I185),ISNUMBER(J185),I185&lt;=J185,J185&lt;=Rules!$B$6,Rules!$B$6-J185&lt;=Rules!$B$42,K185="Yes",OR(F185="",AND(ISNUMBER(F185),F185&lt;=Rules!$B$6)),OR(G185="",AND(ISNUMBER(G185),G185&gt;=Rules!$B$6)),OR(F185="",G185="",G185&gt;=F185)),1,0))</f>
        <v>0</v>
      </c>
    </row>
    <row r="186" ht="21.0" customHeight="1">
      <c r="A186" s="44"/>
      <c r="B186" s="44"/>
      <c r="C186" s="44"/>
      <c r="D186" s="44"/>
      <c r="E186" s="44"/>
      <c r="F186" s="48"/>
      <c r="G186" s="48"/>
      <c r="H186" s="44"/>
      <c r="I186" s="48"/>
      <c r="J186" s="48"/>
      <c r="K186" s="44"/>
      <c r="L186" s="44"/>
      <c r="M186" s="2" t="str">
        <f>IF(A186="","",COUNTIF(Companies!$A$6:$A$55,A186))</f>
        <v/>
      </c>
      <c r="N186" s="2" t="str">
        <f>IF(B186="","",COUNTIF(Counterparties!$A$6:$A$80,B186))</f>
        <v/>
      </c>
      <c r="O186" s="2" t="str">
        <f t="shared" si="1"/>
        <v/>
      </c>
      <c r="P186" s="2" t="str">
        <f t="array" ref="P186">IF(B186="","",IF(N186&lt;&gt;1,"n.a.",INDEX(Counterparties!$C$6:$C$80,MATCH(B186,Counterparties!$A$6:$A$80,0))))</f>
        <v/>
      </c>
      <c r="Q186" s="2" t="str">
        <f t="array" ref="Q186">IF(B186="","",IF(N186&lt;&gt;1,"n.a.",INDEX(Counterparties!$G$6:$G$80,MATCH(B186,Counterparties!$A$6:$A$80,0))))</f>
        <v/>
      </c>
      <c r="R186" s="2">
        <f t="array" ref="R186">IF(A186="",0,IF(M186&lt;&gt;1,0,IF(AND(INDEX(Companies!$R$6:$R$55,MATCH(A186,Companies!$A$6:$A$55,0))=1,INDEX(Companies!$I$6:$I$55,MATCH(A186,Companies!$A$6:$A$55,0))&gt;=MAX(10,Rules!$B$22)),1,0)))</f>
        <v>0</v>
      </c>
      <c r="S186" s="2" t="str">
        <f t="array" ref="S186">IF(B186="","",IF(N186&lt;&gt;1,"Check counterparty ID",INDEX(Counterparties!$N$6:$N$80,MATCH(B186,Counterparties!$A$6:$A$80,0))))</f>
        <v/>
      </c>
      <c r="T186" s="2" t="str">
        <f t="shared" si="2"/>
        <v/>
      </c>
      <c r="U186" s="2">
        <f t="shared" si="3"/>
        <v>0</v>
      </c>
      <c r="V186" s="2">
        <f t="shared" si="4"/>
        <v>0</v>
      </c>
      <c r="W186" s="2">
        <f>IF(COUNTA(A186:L186)=0,0,IF(AND(OR(C186="Client",C186="Partner",C186="Client and partner"),D186&lt;&gt;"",E186="Active",H186&lt;&gt;"",ISNUMBER(I186),ISNUMBER(J186),I186&lt;=J186,J186&lt;=Rules!$B$6,Rules!$B$6-J186&lt;=Rules!$B$42,K186="Yes",OR(F186="",AND(ISNUMBER(F186),F186&lt;=Rules!$B$6)),OR(G186="",AND(ISNUMBER(G186),G186&gt;=Rules!$B$6)),OR(F186="",G186="",G186&gt;=F186)),1,0))</f>
        <v>0</v>
      </c>
    </row>
    <row r="187" ht="21.0" customHeight="1">
      <c r="A187" s="44"/>
      <c r="B187" s="44"/>
      <c r="C187" s="44"/>
      <c r="D187" s="44"/>
      <c r="E187" s="44"/>
      <c r="F187" s="48"/>
      <c r="G187" s="48"/>
      <c r="H187" s="44"/>
      <c r="I187" s="48"/>
      <c r="J187" s="48"/>
      <c r="K187" s="44"/>
      <c r="L187" s="44"/>
      <c r="M187" s="2" t="str">
        <f>IF(A187="","",COUNTIF(Companies!$A$6:$A$55,A187))</f>
        <v/>
      </c>
      <c r="N187" s="2" t="str">
        <f>IF(B187="","",COUNTIF(Counterparties!$A$6:$A$80,B187))</f>
        <v/>
      </c>
      <c r="O187" s="2" t="str">
        <f t="shared" si="1"/>
        <v/>
      </c>
      <c r="P187" s="2" t="str">
        <f t="array" ref="P187">IF(B187="","",IF(N187&lt;&gt;1,"n.a.",INDEX(Counterparties!$C$6:$C$80,MATCH(B187,Counterparties!$A$6:$A$80,0))))</f>
        <v/>
      </c>
      <c r="Q187" s="2" t="str">
        <f t="array" ref="Q187">IF(B187="","",IF(N187&lt;&gt;1,"n.a.",INDEX(Counterparties!$G$6:$G$80,MATCH(B187,Counterparties!$A$6:$A$80,0))))</f>
        <v/>
      </c>
      <c r="R187" s="2">
        <f t="array" ref="R187">IF(A187="",0,IF(M187&lt;&gt;1,0,IF(AND(INDEX(Companies!$R$6:$R$55,MATCH(A187,Companies!$A$6:$A$55,0))=1,INDEX(Companies!$I$6:$I$55,MATCH(A187,Companies!$A$6:$A$55,0))&gt;=MAX(10,Rules!$B$22)),1,0)))</f>
        <v>0</v>
      </c>
      <c r="S187" s="2" t="str">
        <f t="array" ref="S187">IF(B187="","",IF(N187&lt;&gt;1,"Check counterparty ID",INDEX(Counterparties!$N$6:$N$80,MATCH(B187,Counterparties!$A$6:$A$80,0))))</f>
        <v/>
      </c>
      <c r="T187" s="2" t="str">
        <f t="shared" si="2"/>
        <v/>
      </c>
      <c r="U187" s="2">
        <f t="shared" si="3"/>
        <v>0</v>
      </c>
      <c r="V187" s="2">
        <f t="shared" si="4"/>
        <v>0</v>
      </c>
      <c r="W187" s="2">
        <f>IF(COUNTA(A187:L187)=0,0,IF(AND(OR(C187="Client",C187="Partner",C187="Client and partner"),D187&lt;&gt;"",E187="Active",H187&lt;&gt;"",ISNUMBER(I187),ISNUMBER(J187),I187&lt;=J187,J187&lt;=Rules!$B$6,Rules!$B$6-J187&lt;=Rules!$B$42,K187="Yes",OR(F187="",AND(ISNUMBER(F187),F187&lt;=Rules!$B$6)),OR(G187="",AND(ISNUMBER(G187),G187&gt;=Rules!$B$6)),OR(F187="",G187="",G187&gt;=F187)),1,0))</f>
        <v>0</v>
      </c>
    </row>
    <row r="188" ht="21.0" customHeight="1">
      <c r="A188" s="44"/>
      <c r="B188" s="44"/>
      <c r="C188" s="44"/>
      <c r="D188" s="44"/>
      <c r="E188" s="44"/>
      <c r="F188" s="48"/>
      <c r="G188" s="48"/>
      <c r="H188" s="44"/>
      <c r="I188" s="48"/>
      <c r="J188" s="48"/>
      <c r="K188" s="44"/>
      <c r="L188" s="44"/>
      <c r="M188" s="2" t="str">
        <f>IF(A188="","",COUNTIF(Companies!$A$6:$A$55,A188))</f>
        <v/>
      </c>
      <c r="N188" s="2" t="str">
        <f>IF(B188="","",COUNTIF(Counterparties!$A$6:$A$80,B188))</f>
        <v/>
      </c>
      <c r="O188" s="2" t="str">
        <f t="shared" si="1"/>
        <v/>
      </c>
      <c r="P188" s="2" t="str">
        <f t="array" ref="P188">IF(B188="","",IF(N188&lt;&gt;1,"n.a.",INDEX(Counterparties!$C$6:$C$80,MATCH(B188,Counterparties!$A$6:$A$80,0))))</f>
        <v/>
      </c>
      <c r="Q188" s="2" t="str">
        <f t="array" ref="Q188">IF(B188="","",IF(N188&lt;&gt;1,"n.a.",INDEX(Counterparties!$G$6:$G$80,MATCH(B188,Counterparties!$A$6:$A$80,0))))</f>
        <v/>
      </c>
      <c r="R188" s="2">
        <f t="array" ref="R188">IF(A188="",0,IF(M188&lt;&gt;1,0,IF(AND(INDEX(Companies!$R$6:$R$55,MATCH(A188,Companies!$A$6:$A$55,0))=1,INDEX(Companies!$I$6:$I$55,MATCH(A188,Companies!$A$6:$A$55,0))&gt;=MAX(10,Rules!$B$22)),1,0)))</f>
        <v>0</v>
      </c>
      <c r="S188" s="2" t="str">
        <f t="array" ref="S188">IF(B188="","",IF(N188&lt;&gt;1,"Check counterparty ID",INDEX(Counterparties!$N$6:$N$80,MATCH(B188,Counterparties!$A$6:$A$80,0))))</f>
        <v/>
      </c>
      <c r="T188" s="2" t="str">
        <f t="shared" si="2"/>
        <v/>
      </c>
      <c r="U188" s="2">
        <f t="shared" si="3"/>
        <v>0</v>
      </c>
      <c r="V188" s="2">
        <f t="shared" si="4"/>
        <v>0</v>
      </c>
      <c r="W188" s="2">
        <f>IF(COUNTA(A188:L188)=0,0,IF(AND(OR(C188="Client",C188="Partner",C188="Client and partner"),D188&lt;&gt;"",E188="Active",H188&lt;&gt;"",ISNUMBER(I188),ISNUMBER(J188),I188&lt;=J188,J188&lt;=Rules!$B$6,Rules!$B$6-J188&lt;=Rules!$B$42,K188="Yes",OR(F188="",AND(ISNUMBER(F188),F188&lt;=Rules!$B$6)),OR(G188="",AND(ISNUMBER(G188),G188&gt;=Rules!$B$6)),OR(F188="",G188="",G188&gt;=F188)),1,0))</f>
        <v>0</v>
      </c>
    </row>
    <row r="189" ht="21.0" customHeight="1">
      <c r="A189" s="44"/>
      <c r="B189" s="44"/>
      <c r="C189" s="44"/>
      <c r="D189" s="44"/>
      <c r="E189" s="44"/>
      <c r="F189" s="48"/>
      <c r="G189" s="48"/>
      <c r="H189" s="44"/>
      <c r="I189" s="48"/>
      <c r="J189" s="48"/>
      <c r="K189" s="44"/>
      <c r="L189" s="44"/>
      <c r="M189" s="2" t="str">
        <f>IF(A189="","",COUNTIF(Companies!$A$6:$A$55,A189))</f>
        <v/>
      </c>
      <c r="N189" s="2" t="str">
        <f>IF(B189="","",COUNTIF(Counterparties!$A$6:$A$80,B189))</f>
        <v/>
      </c>
      <c r="O189" s="2" t="str">
        <f t="shared" si="1"/>
        <v/>
      </c>
      <c r="P189" s="2" t="str">
        <f t="array" ref="P189">IF(B189="","",IF(N189&lt;&gt;1,"n.a.",INDEX(Counterparties!$C$6:$C$80,MATCH(B189,Counterparties!$A$6:$A$80,0))))</f>
        <v/>
      </c>
      <c r="Q189" s="2" t="str">
        <f t="array" ref="Q189">IF(B189="","",IF(N189&lt;&gt;1,"n.a.",INDEX(Counterparties!$G$6:$G$80,MATCH(B189,Counterparties!$A$6:$A$80,0))))</f>
        <v/>
      </c>
      <c r="R189" s="2">
        <f t="array" ref="R189">IF(A189="",0,IF(M189&lt;&gt;1,0,IF(AND(INDEX(Companies!$R$6:$R$55,MATCH(A189,Companies!$A$6:$A$55,0))=1,INDEX(Companies!$I$6:$I$55,MATCH(A189,Companies!$A$6:$A$55,0))&gt;=MAX(10,Rules!$B$22)),1,0)))</f>
        <v>0</v>
      </c>
      <c r="S189" s="2" t="str">
        <f t="array" ref="S189">IF(B189="","",IF(N189&lt;&gt;1,"Check counterparty ID",INDEX(Counterparties!$N$6:$N$80,MATCH(B189,Counterparties!$A$6:$A$80,0))))</f>
        <v/>
      </c>
      <c r="T189" s="2" t="str">
        <f t="shared" si="2"/>
        <v/>
      </c>
      <c r="U189" s="2">
        <f t="shared" si="3"/>
        <v>0</v>
      </c>
      <c r="V189" s="2">
        <f t="shared" si="4"/>
        <v>0</v>
      </c>
      <c r="W189" s="2">
        <f>IF(COUNTA(A189:L189)=0,0,IF(AND(OR(C189="Client",C189="Partner",C189="Client and partner"),D189&lt;&gt;"",E189="Active",H189&lt;&gt;"",ISNUMBER(I189),ISNUMBER(J189),I189&lt;=J189,J189&lt;=Rules!$B$6,Rules!$B$6-J189&lt;=Rules!$B$42,K189="Yes",OR(F189="",AND(ISNUMBER(F189),F189&lt;=Rules!$B$6)),OR(G189="",AND(ISNUMBER(G189),G189&gt;=Rules!$B$6)),OR(F189="",G189="",G189&gt;=F189)),1,0))</f>
        <v>0</v>
      </c>
    </row>
    <row r="190" ht="21.0" customHeight="1">
      <c r="A190" s="44"/>
      <c r="B190" s="44"/>
      <c r="C190" s="44"/>
      <c r="D190" s="44"/>
      <c r="E190" s="44"/>
      <c r="F190" s="48"/>
      <c r="G190" s="48"/>
      <c r="H190" s="44"/>
      <c r="I190" s="48"/>
      <c r="J190" s="48"/>
      <c r="K190" s="44"/>
      <c r="L190" s="44"/>
      <c r="M190" s="2" t="str">
        <f>IF(A190="","",COUNTIF(Companies!$A$6:$A$55,A190))</f>
        <v/>
      </c>
      <c r="N190" s="2" t="str">
        <f>IF(B190="","",COUNTIF(Counterparties!$A$6:$A$80,B190))</f>
        <v/>
      </c>
      <c r="O190" s="2" t="str">
        <f t="shared" si="1"/>
        <v/>
      </c>
      <c r="P190" s="2" t="str">
        <f t="array" ref="P190">IF(B190="","",IF(N190&lt;&gt;1,"n.a.",INDEX(Counterparties!$C$6:$C$80,MATCH(B190,Counterparties!$A$6:$A$80,0))))</f>
        <v/>
      </c>
      <c r="Q190" s="2" t="str">
        <f t="array" ref="Q190">IF(B190="","",IF(N190&lt;&gt;1,"n.a.",INDEX(Counterparties!$G$6:$G$80,MATCH(B190,Counterparties!$A$6:$A$80,0))))</f>
        <v/>
      </c>
      <c r="R190" s="2">
        <f t="array" ref="R190">IF(A190="",0,IF(M190&lt;&gt;1,0,IF(AND(INDEX(Companies!$R$6:$R$55,MATCH(A190,Companies!$A$6:$A$55,0))=1,INDEX(Companies!$I$6:$I$55,MATCH(A190,Companies!$A$6:$A$55,0))&gt;=MAX(10,Rules!$B$22)),1,0)))</f>
        <v>0</v>
      </c>
      <c r="S190" s="2" t="str">
        <f t="array" ref="S190">IF(B190="","",IF(N190&lt;&gt;1,"Check counterparty ID",INDEX(Counterparties!$N$6:$N$80,MATCH(B190,Counterparties!$A$6:$A$80,0))))</f>
        <v/>
      </c>
      <c r="T190" s="2" t="str">
        <f t="shared" si="2"/>
        <v/>
      </c>
      <c r="U190" s="2">
        <f t="shared" si="3"/>
        <v>0</v>
      </c>
      <c r="V190" s="2">
        <f t="shared" si="4"/>
        <v>0</v>
      </c>
      <c r="W190" s="2">
        <f>IF(COUNTA(A190:L190)=0,0,IF(AND(OR(C190="Client",C190="Partner",C190="Client and partner"),D190&lt;&gt;"",E190="Active",H190&lt;&gt;"",ISNUMBER(I190),ISNUMBER(J190),I190&lt;=J190,J190&lt;=Rules!$B$6,Rules!$B$6-J190&lt;=Rules!$B$42,K190="Yes",OR(F190="",AND(ISNUMBER(F190),F190&lt;=Rules!$B$6)),OR(G190="",AND(ISNUMBER(G190),G190&gt;=Rules!$B$6)),OR(F190="",G190="",G190&gt;=F190)),1,0))</f>
        <v>0</v>
      </c>
    </row>
    <row r="191" ht="21.0" customHeight="1">
      <c r="A191" s="44"/>
      <c r="B191" s="44"/>
      <c r="C191" s="44"/>
      <c r="D191" s="44"/>
      <c r="E191" s="44"/>
      <c r="F191" s="48"/>
      <c r="G191" s="48"/>
      <c r="H191" s="44"/>
      <c r="I191" s="48"/>
      <c r="J191" s="48"/>
      <c r="K191" s="44"/>
      <c r="L191" s="44"/>
      <c r="M191" s="2" t="str">
        <f>IF(A191="","",COUNTIF(Companies!$A$6:$A$55,A191))</f>
        <v/>
      </c>
      <c r="N191" s="2" t="str">
        <f>IF(B191="","",COUNTIF(Counterparties!$A$6:$A$80,B191))</f>
        <v/>
      </c>
      <c r="O191" s="2" t="str">
        <f t="shared" si="1"/>
        <v/>
      </c>
      <c r="P191" s="2" t="str">
        <f t="array" ref="P191">IF(B191="","",IF(N191&lt;&gt;1,"n.a.",INDEX(Counterparties!$C$6:$C$80,MATCH(B191,Counterparties!$A$6:$A$80,0))))</f>
        <v/>
      </c>
      <c r="Q191" s="2" t="str">
        <f t="array" ref="Q191">IF(B191="","",IF(N191&lt;&gt;1,"n.a.",INDEX(Counterparties!$G$6:$G$80,MATCH(B191,Counterparties!$A$6:$A$80,0))))</f>
        <v/>
      </c>
      <c r="R191" s="2">
        <f t="array" ref="R191">IF(A191="",0,IF(M191&lt;&gt;1,0,IF(AND(INDEX(Companies!$R$6:$R$55,MATCH(A191,Companies!$A$6:$A$55,0))=1,INDEX(Companies!$I$6:$I$55,MATCH(A191,Companies!$A$6:$A$55,0))&gt;=MAX(10,Rules!$B$22)),1,0)))</f>
        <v>0</v>
      </c>
      <c r="S191" s="2" t="str">
        <f t="array" ref="S191">IF(B191="","",IF(N191&lt;&gt;1,"Check counterparty ID",INDEX(Counterparties!$N$6:$N$80,MATCH(B191,Counterparties!$A$6:$A$80,0))))</f>
        <v/>
      </c>
      <c r="T191" s="2" t="str">
        <f t="shared" si="2"/>
        <v/>
      </c>
      <c r="U191" s="2">
        <f t="shared" si="3"/>
        <v>0</v>
      </c>
      <c r="V191" s="2">
        <f t="shared" si="4"/>
        <v>0</v>
      </c>
      <c r="W191" s="2">
        <f>IF(COUNTA(A191:L191)=0,0,IF(AND(OR(C191="Client",C191="Partner",C191="Client and partner"),D191&lt;&gt;"",E191="Active",H191&lt;&gt;"",ISNUMBER(I191),ISNUMBER(J191),I191&lt;=J191,J191&lt;=Rules!$B$6,Rules!$B$6-J191&lt;=Rules!$B$42,K191="Yes",OR(F191="",AND(ISNUMBER(F191),F191&lt;=Rules!$B$6)),OR(G191="",AND(ISNUMBER(G191),G191&gt;=Rules!$B$6)),OR(F191="",G191="",G191&gt;=F191)),1,0))</f>
        <v>0</v>
      </c>
    </row>
    <row r="192" ht="21.0" customHeight="1">
      <c r="A192" s="44"/>
      <c r="B192" s="44"/>
      <c r="C192" s="44"/>
      <c r="D192" s="44"/>
      <c r="E192" s="44"/>
      <c r="F192" s="48"/>
      <c r="G192" s="48"/>
      <c r="H192" s="44"/>
      <c r="I192" s="48"/>
      <c r="J192" s="48"/>
      <c r="K192" s="44"/>
      <c r="L192" s="44"/>
      <c r="M192" s="2" t="str">
        <f>IF(A192="","",COUNTIF(Companies!$A$6:$A$55,A192))</f>
        <v/>
      </c>
      <c r="N192" s="2" t="str">
        <f>IF(B192="","",COUNTIF(Counterparties!$A$6:$A$80,B192))</f>
        <v/>
      </c>
      <c r="O192" s="2" t="str">
        <f t="shared" si="1"/>
        <v/>
      </c>
      <c r="P192" s="2" t="str">
        <f t="array" ref="P192">IF(B192="","",IF(N192&lt;&gt;1,"n.a.",INDEX(Counterparties!$C$6:$C$80,MATCH(B192,Counterparties!$A$6:$A$80,0))))</f>
        <v/>
      </c>
      <c r="Q192" s="2" t="str">
        <f t="array" ref="Q192">IF(B192="","",IF(N192&lt;&gt;1,"n.a.",INDEX(Counterparties!$G$6:$G$80,MATCH(B192,Counterparties!$A$6:$A$80,0))))</f>
        <v/>
      </c>
      <c r="R192" s="2">
        <f t="array" ref="R192">IF(A192="",0,IF(M192&lt;&gt;1,0,IF(AND(INDEX(Companies!$R$6:$R$55,MATCH(A192,Companies!$A$6:$A$55,0))=1,INDEX(Companies!$I$6:$I$55,MATCH(A192,Companies!$A$6:$A$55,0))&gt;=MAX(10,Rules!$B$22)),1,0)))</f>
        <v>0</v>
      </c>
      <c r="S192" s="2" t="str">
        <f t="array" ref="S192">IF(B192="","",IF(N192&lt;&gt;1,"Check counterparty ID",INDEX(Counterparties!$N$6:$N$80,MATCH(B192,Counterparties!$A$6:$A$80,0))))</f>
        <v/>
      </c>
      <c r="T192" s="2" t="str">
        <f t="shared" si="2"/>
        <v/>
      </c>
      <c r="U192" s="2">
        <f t="shared" si="3"/>
        <v>0</v>
      </c>
      <c r="V192" s="2">
        <f t="shared" si="4"/>
        <v>0</v>
      </c>
      <c r="W192" s="2">
        <f>IF(COUNTA(A192:L192)=0,0,IF(AND(OR(C192="Client",C192="Partner",C192="Client and partner"),D192&lt;&gt;"",E192="Active",H192&lt;&gt;"",ISNUMBER(I192),ISNUMBER(J192),I192&lt;=J192,J192&lt;=Rules!$B$6,Rules!$B$6-J192&lt;=Rules!$B$42,K192="Yes",OR(F192="",AND(ISNUMBER(F192),F192&lt;=Rules!$B$6)),OR(G192="",AND(ISNUMBER(G192),G192&gt;=Rules!$B$6)),OR(F192="",G192="",G192&gt;=F192)),1,0))</f>
        <v>0</v>
      </c>
    </row>
    <row r="193" ht="21.0" customHeight="1">
      <c r="A193" s="44"/>
      <c r="B193" s="44"/>
      <c r="C193" s="44"/>
      <c r="D193" s="44"/>
      <c r="E193" s="44"/>
      <c r="F193" s="48"/>
      <c r="G193" s="48"/>
      <c r="H193" s="44"/>
      <c r="I193" s="48"/>
      <c r="J193" s="48"/>
      <c r="K193" s="44"/>
      <c r="L193" s="44"/>
      <c r="M193" s="2" t="str">
        <f>IF(A193="","",COUNTIF(Companies!$A$6:$A$55,A193))</f>
        <v/>
      </c>
      <c r="N193" s="2" t="str">
        <f>IF(B193="","",COUNTIF(Counterparties!$A$6:$A$80,B193))</f>
        <v/>
      </c>
      <c r="O193" s="2" t="str">
        <f t="shared" si="1"/>
        <v/>
      </c>
      <c r="P193" s="2" t="str">
        <f t="array" ref="P193">IF(B193="","",IF(N193&lt;&gt;1,"n.a.",INDEX(Counterparties!$C$6:$C$80,MATCH(B193,Counterparties!$A$6:$A$80,0))))</f>
        <v/>
      </c>
      <c r="Q193" s="2" t="str">
        <f t="array" ref="Q193">IF(B193="","",IF(N193&lt;&gt;1,"n.a.",INDEX(Counterparties!$G$6:$G$80,MATCH(B193,Counterparties!$A$6:$A$80,0))))</f>
        <v/>
      </c>
      <c r="R193" s="2">
        <f t="array" ref="R193">IF(A193="",0,IF(M193&lt;&gt;1,0,IF(AND(INDEX(Companies!$R$6:$R$55,MATCH(A193,Companies!$A$6:$A$55,0))=1,INDEX(Companies!$I$6:$I$55,MATCH(A193,Companies!$A$6:$A$55,0))&gt;=MAX(10,Rules!$B$22)),1,0)))</f>
        <v>0</v>
      </c>
      <c r="S193" s="2" t="str">
        <f t="array" ref="S193">IF(B193="","",IF(N193&lt;&gt;1,"Check counterparty ID",INDEX(Counterparties!$N$6:$N$80,MATCH(B193,Counterparties!$A$6:$A$80,0))))</f>
        <v/>
      </c>
      <c r="T193" s="2" t="str">
        <f t="shared" si="2"/>
        <v/>
      </c>
      <c r="U193" s="2">
        <f t="shared" si="3"/>
        <v>0</v>
      </c>
      <c r="V193" s="2">
        <f t="shared" si="4"/>
        <v>0</v>
      </c>
      <c r="W193" s="2">
        <f>IF(COUNTA(A193:L193)=0,0,IF(AND(OR(C193="Client",C193="Partner",C193="Client and partner"),D193&lt;&gt;"",E193="Active",H193&lt;&gt;"",ISNUMBER(I193),ISNUMBER(J193),I193&lt;=J193,J193&lt;=Rules!$B$6,Rules!$B$6-J193&lt;=Rules!$B$42,K193="Yes",OR(F193="",AND(ISNUMBER(F193),F193&lt;=Rules!$B$6)),OR(G193="",AND(ISNUMBER(G193),G193&gt;=Rules!$B$6)),OR(F193="",G193="",G193&gt;=F193)),1,0))</f>
        <v>0</v>
      </c>
    </row>
    <row r="194" ht="21.0" customHeight="1">
      <c r="A194" s="44"/>
      <c r="B194" s="44"/>
      <c r="C194" s="44"/>
      <c r="D194" s="44"/>
      <c r="E194" s="44"/>
      <c r="F194" s="48"/>
      <c r="G194" s="48"/>
      <c r="H194" s="44"/>
      <c r="I194" s="48"/>
      <c r="J194" s="48"/>
      <c r="K194" s="44"/>
      <c r="L194" s="44"/>
      <c r="M194" s="2" t="str">
        <f>IF(A194="","",COUNTIF(Companies!$A$6:$A$55,A194))</f>
        <v/>
      </c>
      <c r="N194" s="2" t="str">
        <f>IF(B194="","",COUNTIF(Counterparties!$A$6:$A$80,B194))</f>
        <v/>
      </c>
      <c r="O194" s="2" t="str">
        <f t="shared" si="1"/>
        <v/>
      </c>
      <c r="P194" s="2" t="str">
        <f t="array" ref="P194">IF(B194="","",IF(N194&lt;&gt;1,"n.a.",INDEX(Counterparties!$C$6:$C$80,MATCH(B194,Counterparties!$A$6:$A$80,0))))</f>
        <v/>
      </c>
      <c r="Q194" s="2" t="str">
        <f t="array" ref="Q194">IF(B194="","",IF(N194&lt;&gt;1,"n.a.",INDEX(Counterparties!$G$6:$G$80,MATCH(B194,Counterparties!$A$6:$A$80,0))))</f>
        <v/>
      </c>
      <c r="R194" s="2">
        <f t="array" ref="R194">IF(A194="",0,IF(M194&lt;&gt;1,0,IF(AND(INDEX(Companies!$R$6:$R$55,MATCH(A194,Companies!$A$6:$A$55,0))=1,INDEX(Companies!$I$6:$I$55,MATCH(A194,Companies!$A$6:$A$55,0))&gt;=MAX(10,Rules!$B$22)),1,0)))</f>
        <v>0</v>
      </c>
      <c r="S194" s="2" t="str">
        <f t="array" ref="S194">IF(B194="","",IF(N194&lt;&gt;1,"Check counterparty ID",INDEX(Counterparties!$N$6:$N$80,MATCH(B194,Counterparties!$A$6:$A$80,0))))</f>
        <v/>
      </c>
      <c r="T194" s="2" t="str">
        <f t="shared" si="2"/>
        <v/>
      </c>
      <c r="U194" s="2">
        <f t="shared" si="3"/>
        <v>0</v>
      </c>
      <c r="V194" s="2">
        <f t="shared" si="4"/>
        <v>0</v>
      </c>
      <c r="W194" s="2">
        <f>IF(COUNTA(A194:L194)=0,0,IF(AND(OR(C194="Client",C194="Partner",C194="Client and partner"),D194&lt;&gt;"",E194="Active",H194&lt;&gt;"",ISNUMBER(I194),ISNUMBER(J194),I194&lt;=J194,J194&lt;=Rules!$B$6,Rules!$B$6-J194&lt;=Rules!$B$42,K194="Yes",OR(F194="",AND(ISNUMBER(F194),F194&lt;=Rules!$B$6)),OR(G194="",AND(ISNUMBER(G194),G194&gt;=Rules!$B$6)),OR(F194="",G194="",G194&gt;=F194)),1,0))</f>
        <v>0</v>
      </c>
    </row>
    <row r="195" ht="21.0" customHeight="1">
      <c r="A195" s="44"/>
      <c r="B195" s="44"/>
      <c r="C195" s="44"/>
      <c r="D195" s="44"/>
      <c r="E195" s="44"/>
      <c r="F195" s="48"/>
      <c r="G195" s="48"/>
      <c r="H195" s="44"/>
      <c r="I195" s="48"/>
      <c r="J195" s="48"/>
      <c r="K195" s="44"/>
      <c r="L195" s="44"/>
      <c r="M195" s="2" t="str">
        <f>IF(A195="","",COUNTIF(Companies!$A$6:$A$55,A195))</f>
        <v/>
      </c>
      <c r="N195" s="2" t="str">
        <f>IF(B195="","",COUNTIF(Counterparties!$A$6:$A$80,B195))</f>
        <v/>
      </c>
      <c r="O195" s="2" t="str">
        <f t="shared" si="1"/>
        <v/>
      </c>
      <c r="P195" s="2" t="str">
        <f t="array" ref="P195">IF(B195="","",IF(N195&lt;&gt;1,"n.a.",INDEX(Counterparties!$C$6:$C$80,MATCH(B195,Counterparties!$A$6:$A$80,0))))</f>
        <v/>
      </c>
      <c r="Q195" s="2" t="str">
        <f t="array" ref="Q195">IF(B195="","",IF(N195&lt;&gt;1,"n.a.",INDEX(Counterparties!$G$6:$G$80,MATCH(B195,Counterparties!$A$6:$A$80,0))))</f>
        <v/>
      </c>
      <c r="R195" s="2">
        <f t="array" ref="R195">IF(A195="",0,IF(M195&lt;&gt;1,0,IF(AND(INDEX(Companies!$R$6:$R$55,MATCH(A195,Companies!$A$6:$A$55,0))=1,INDEX(Companies!$I$6:$I$55,MATCH(A195,Companies!$A$6:$A$55,0))&gt;=MAX(10,Rules!$B$22)),1,0)))</f>
        <v>0</v>
      </c>
      <c r="S195" s="2" t="str">
        <f t="array" ref="S195">IF(B195="","",IF(N195&lt;&gt;1,"Check counterparty ID",INDEX(Counterparties!$N$6:$N$80,MATCH(B195,Counterparties!$A$6:$A$80,0))))</f>
        <v/>
      </c>
      <c r="T195" s="2" t="str">
        <f t="shared" si="2"/>
        <v/>
      </c>
      <c r="U195" s="2">
        <f t="shared" si="3"/>
        <v>0</v>
      </c>
      <c r="V195" s="2">
        <f t="shared" si="4"/>
        <v>0</v>
      </c>
      <c r="W195" s="2">
        <f>IF(COUNTA(A195:L195)=0,0,IF(AND(OR(C195="Client",C195="Partner",C195="Client and partner"),D195&lt;&gt;"",E195="Active",H195&lt;&gt;"",ISNUMBER(I195),ISNUMBER(J195),I195&lt;=J195,J195&lt;=Rules!$B$6,Rules!$B$6-J195&lt;=Rules!$B$42,K195="Yes",OR(F195="",AND(ISNUMBER(F195),F195&lt;=Rules!$B$6)),OR(G195="",AND(ISNUMBER(G195),G195&gt;=Rules!$B$6)),OR(F195="",G195="",G195&gt;=F195)),1,0))</f>
        <v>0</v>
      </c>
    </row>
    <row r="196" ht="21.0" customHeight="1">
      <c r="A196" s="44"/>
      <c r="B196" s="44"/>
      <c r="C196" s="44"/>
      <c r="D196" s="44"/>
      <c r="E196" s="44"/>
      <c r="F196" s="48"/>
      <c r="G196" s="48"/>
      <c r="H196" s="44"/>
      <c r="I196" s="48"/>
      <c r="J196" s="48"/>
      <c r="K196" s="44"/>
      <c r="L196" s="44"/>
      <c r="M196" s="2" t="str">
        <f>IF(A196="","",COUNTIF(Companies!$A$6:$A$55,A196))</f>
        <v/>
      </c>
      <c r="N196" s="2" t="str">
        <f>IF(B196="","",COUNTIF(Counterparties!$A$6:$A$80,B196))</f>
        <v/>
      </c>
      <c r="O196" s="2" t="str">
        <f t="shared" si="1"/>
        <v/>
      </c>
      <c r="P196" s="2" t="str">
        <f t="array" ref="P196">IF(B196="","",IF(N196&lt;&gt;1,"n.a.",INDEX(Counterparties!$C$6:$C$80,MATCH(B196,Counterparties!$A$6:$A$80,0))))</f>
        <v/>
      </c>
      <c r="Q196" s="2" t="str">
        <f t="array" ref="Q196">IF(B196="","",IF(N196&lt;&gt;1,"n.a.",INDEX(Counterparties!$G$6:$G$80,MATCH(B196,Counterparties!$A$6:$A$80,0))))</f>
        <v/>
      </c>
      <c r="R196" s="2">
        <f t="array" ref="R196">IF(A196="",0,IF(M196&lt;&gt;1,0,IF(AND(INDEX(Companies!$R$6:$R$55,MATCH(A196,Companies!$A$6:$A$55,0))=1,INDEX(Companies!$I$6:$I$55,MATCH(A196,Companies!$A$6:$A$55,0))&gt;=MAX(10,Rules!$B$22)),1,0)))</f>
        <v>0</v>
      </c>
      <c r="S196" s="2" t="str">
        <f t="array" ref="S196">IF(B196="","",IF(N196&lt;&gt;1,"Check counterparty ID",INDEX(Counterparties!$N$6:$N$80,MATCH(B196,Counterparties!$A$6:$A$80,0))))</f>
        <v/>
      </c>
      <c r="T196" s="2" t="str">
        <f t="shared" si="2"/>
        <v/>
      </c>
      <c r="U196" s="2">
        <f t="shared" si="3"/>
        <v>0</v>
      </c>
      <c r="V196" s="2">
        <f t="shared" si="4"/>
        <v>0</v>
      </c>
      <c r="W196" s="2">
        <f>IF(COUNTA(A196:L196)=0,0,IF(AND(OR(C196="Client",C196="Partner",C196="Client and partner"),D196&lt;&gt;"",E196="Active",H196&lt;&gt;"",ISNUMBER(I196),ISNUMBER(J196),I196&lt;=J196,J196&lt;=Rules!$B$6,Rules!$B$6-J196&lt;=Rules!$B$42,K196="Yes",OR(F196="",AND(ISNUMBER(F196),F196&lt;=Rules!$B$6)),OR(G196="",AND(ISNUMBER(G196),G196&gt;=Rules!$B$6)),OR(F196="",G196="",G196&gt;=F196)),1,0))</f>
        <v>0</v>
      </c>
    </row>
    <row r="197" ht="21.0" customHeight="1">
      <c r="A197" s="44"/>
      <c r="B197" s="44"/>
      <c r="C197" s="44"/>
      <c r="D197" s="44"/>
      <c r="E197" s="44"/>
      <c r="F197" s="48"/>
      <c r="G197" s="48"/>
      <c r="H197" s="44"/>
      <c r="I197" s="48"/>
      <c r="J197" s="48"/>
      <c r="K197" s="44"/>
      <c r="L197" s="44"/>
      <c r="M197" s="2" t="str">
        <f>IF(A197="","",COUNTIF(Companies!$A$6:$A$55,A197))</f>
        <v/>
      </c>
      <c r="N197" s="2" t="str">
        <f>IF(B197="","",COUNTIF(Counterparties!$A$6:$A$80,B197))</f>
        <v/>
      </c>
      <c r="O197" s="2" t="str">
        <f t="shared" si="1"/>
        <v/>
      </c>
      <c r="P197" s="2" t="str">
        <f t="array" ref="P197">IF(B197="","",IF(N197&lt;&gt;1,"n.a.",INDEX(Counterparties!$C$6:$C$80,MATCH(B197,Counterparties!$A$6:$A$80,0))))</f>
        <v/>
      </c>
      <c r="Q197" s="2" t="str">
        <f t="array" ref="Q197">IF(B197="","",IF(N197&lt;&gt;1,"n.a.",INDEX(Counterparties!$G$6:$G$80,MATCH(B197,Counterparties!$A$6:$A$80,0))))</f>
        <v/>
      </c>
      <c r="R197" s="2">
        <f t="array" ref="R197">IF(A197="",0,IF(M197&lt;&gt;1,0,IF(AND(INDEX(Companies!$R$6:$R$55,MATCH(A197,Companies!$A$6:$A$55,0))=1,INDEX(Companies!$I$6:$I$55,MATCH(A197,Companies!$A$6:$A$55,0))&gt;=MAX(10,Rules!$B$22)),1,0)))</f>
        <v>0</v>
      </c>
      <c r="S197" s="2" t="str">
        <f t="array" ref="S197">IF(B197="","",IF(N197&lt;&gt;1,"Check counterparty ID",INDEX(Counterparties!$N$6:$N$80,MATCH(B197,Counterparties!$A$6:$A$80,0))))</f>
        <v/>
      </c>
      <c r="T197" s="2" t="str">
        <f t="shared" si="2"/>
        <v/>
      </c>
      <c r="U197" s="2">
        <f t="shared" si="3"/>
        <v>0</v>
      </c>
      <c r="V197" s="2">
        <f t="shared" si="4"/>
        <v>0</v>
      </c>
      <c r="W197" s="2">
        <f>IF(COUNTA(A197:L197)=0,0,IF(AND(OR(C197="Client",C197="Partner",C197="Client and partner"),D197&lt;&gt;"",E197="Active",H197&lt;&gt;"",ISNUMBER(I197),ISNUMBER(J197),I197&lt;=J197,J197&lt;=Rules!$B$6,Rules!$B$6-J197&lt;=Rules!$B$42,K197="Yes",OR(F197="",AND(ISNUMBER(F197),F197&lt;=Rules!$B$6)),OR(G197="",AND(ISNUMBER(G197),G197&gt;=Rules!$B$6)),OR(F197="",G197="",G197&gt;=F197)),1,0))</f>
        <v>0</v>
      </c>
    </row>
    <row r="198" ht="21.0" customHeight="1">
      <c r="A198" s="44"/>
      <c r="B198" s="44"/>
      <c r="C198" s="44"/>
      <c r="D198" s="44"/>
      <c r="E198" s="44"/>
      <c r="F198" s="48"/>
      <c r="G198" s="48"/>
      <c r="H198" s="44"/>
      <c r="I198" s="48"/>
      <c r="J198" s="48"/>
      <c r="K198" s="44"/>
      <c r="L198" s="44"/>
      <c r="M198" s="2" t="str">
        <f>IF(A198="","",COUNTIF(Companies!$A$6:$A$55,A198))</f>
        <v/>
      </c>
      <c r="N198" s="2" t="str">
        <f>IF(B198="","",COUNTIF(Counterparties!$A$6:$A$80,B198))</f>
        <v/>
      </c>
      <c r="O198" s="2" t="str">
        <f t="shared" si="1"/>
        <v/>
      </c>
      <c r="P198" s="2" t="str">
        <f t="array" ref="P198">IF(B198="","",IF(N198&lt;&gt;1,"n.a.",INDEX(Counterparties!$C$6:$C$80,MATCH(B198,Counterparties!$A$6:$A$80,0))))</f>
        <v/>
      </c>
      <c r="Q198" s="2" t="str">
        <f t="array" ref="Q198">IF(B198="","",IF(N198&lt;&gt;1,"n.a.",INDEX(Counterparties!$G$6:$G$80,MATCH(B198,Counterparties!$A$6:$A$80,0))))</f>
        <v/>
      </c>
      <c r="R198" s="2">
        <f t="array" ref="R198">IF(A198="",0,IF(M198&lt;&gt;1,0,IF(AND(INDEX(Companies!$R$6:$R$55,MATCH(A198,Companies!$A$6:$A$55,0))=1,INDEX(Companies!$I$6:$I$55,MATCH(A198,Companies!$A$6:$A$55,0))&gt;=MAX(10,Rules!$B$22)),1,0)))</f>
        <v>0</v>
      </c>
      <c r="S198" s="2" t="str">
        <f t="array" ref="S198">IF(B198="","",IF(N198&lt;&gt;1,"Check counterparty ID",INDEX(Counterparties!$N$6:$N$80,MATCH(B198,Counterparties!$A$6:$A$80,0))))</f>
        <v/>
      </c>
      <c r="T198" s="2" t="str">
        <f t="shared" si="2"/>
        <v/>
      </c>
      <c r="U198" s="2">
        <f t="shared" si="3"/>
        <v>0</v>
      </c>
      <c r="V198" s="2">
        <f t="shared" si="4"/>
        <v>0</v>
      </c>
      <c r="W198" s="2">
        <f>IF(COUNTA(A198:L198)=0,0,IF(AND(OR(C198="Client",C198="Partner",C198="Client and partner"),D198&lt;&gt;"",E198="Active",H198&lt;&gt;"",ISNUMBER(I198),ISNUMBER(J198),I198&lt;=J198,J198&lt;=Rules!$B$6,Rules!$B$6-J198&lt;=Rules!$B$42,K198="Yes",OR(F198="",AND(ISNUMBER(F198),F198&lt;=Rules!$B$6)),OR(G198="",AND(ISNUMBER(G198),G198&gt;=Rules!$B$6)),OR(F198="",G198="",G198&gt;=F198)),1,0))</f>
        <v>0</v>
      </c>
    </row>
    <row r="199" ht="21.0" customHeight="1">
      <c r="A199" s="44"/>
      <c r="B199" s="44"/>
      <c r="C199" s="44"/>
      <c r="D199" s="44"/>
      <c r="E199" s="44"/>
      <c r="F199" s="48"/>
      <c r="G199" s="48"/>
      <c r="H199" s="44"/>
      <c r="I199" s="48"/>
      <c r="J199" s="48"/>
      <c r="K199" s="44"/>
      <c r="L199" s="44"/>
      <c r="M199" s="2" t="str">
        <f>IF(A199="","",COUNTIF(Companies!$A$6:$A$55,A199))</f>
        <v/>
      </c>
      <c r="N199" s="2" t="str">
        <f>IF(B199="","",COUNTIF(Counterparties!$A$6:$A$80,B199))</f>
        <v/>
      </c>
      <c r="O199" s="2" t="str">
        <f t="shared" si="1"/>
        <v/>
      </c>
      <c r="P199" s="2" t="str">
        <f t="array" ref="P199">IF(B199="","",IF(N199&lt;&gt;1,"n.a.",INDEX(Counterparties!$C$6:$C$80,MATCH(B199,Counterparties!$A$6:$A$80,0))))</f>
        <v/>
      </c>
      <c r="Q199" s="2" t="str">
        <f t="array" ref="Q199">IF(B199="","",IF(N199&lt;&gt;1,"n.a.",INDEX(Counterparties!$G$6:$G$80,MATCH(B199,Counterparties!$A$6:$A$80,0))))</f>
        <v/>
      </c>
      <c r="R199" s="2">
        <f t="array" ref="R199">IF(A199="",0,IF(M199&lt;&gt;1,0,IF(AND(INDEX(Companies!$R$6:$R$55,MATCH(A199,Companies!$A$6:$A$55,0))=1,INDEX(Companies!$I$6:$I$55,MATCH(A199,Companies!$A$6:$A$55,0))&gt;=MAX(10,Rules!$B$22)),1,0)))</f>
        <v>0</v>
      </c>
      <c r="S199" s="2" t="str">
        <f t="array" ref="S199">IF(B199="","",IF(N199&lt;&gt;1,"Check counterparty ID",INDEX(Counterparties!$N$6:$N$80,MATCH(B199,Counterparties!$A$6:$A$80,0))))</f>
        <v/>
      </c>
      <c r="T199" s="2" t="str">
        <f t="shared" si="2"/>
        <v/>
      </c>
      <c r="U199" s="2">
        <f t="shared" si="3"/>
        <v>0</v>
      </c>
      <c r="V199" s="2">
        <f t="shared" si="4"/>
        <v>0</v>
      </c>
      <c r="W199" s="2">
        <f>IF(COUNTA(A199:L199)=0,0,IF(AND(OR(C199="Client",C199="Partner",C199="Client and partner"),D199&lt;&gt;"",E199="Active",H199&lt;&gt;"",ISNUMBER(I199),ISNUMBER(J199),I199&lt;=J199,J199&lt;=Rules!$B$6,Rules!$B$6-J199&lt;=Rules!$B$42,K199="Yes",OR(F199="",AND(ISNUMBER(F199),F199&lt;=Rules!$B$6)),OR(G199="",AND(ISNUMBER(G199),G199&gt;=Rules!$B$6)),OR(F199="",G199="",G199&gt;=F199)),1,0))</f>
        <v>0</v>
      </c>
    </row>
    <row r="200" ht="21.0" customHeight="1">
      <c r="A200" s="44"/>
      <c r="B200" s="44"/>
      <c r="C200" s="44"/>
      <c r="D200" s="44"/>
      <c r="E200" s="44"/>
      <c r="F200" s="48"/>
      <c r="G200" s="48"/>
      <c r="H200" s="44"/>
      <c r="I200" s="48"/>
      <c r="J200" s="48"/>
      <c r="K200" s="44"/>
      <c r="L200" s="44"/>
      <c r="M200" s="2" t="str">
        <f>IF(A200="","",COUNTIF(Companies!$A$6:$A$55,A200))</f>
        <v/>
      </c>
      <c r="N200" s="2" t="str">
        <f>IF(B200="","",COUNTIF(Counterparties!$A$6:$A$80,B200))</f>
        <v/>
      </c>
      <c r="O200" s="2" t="str">
        <f t="shared" si="1"/>
        <v/>
      </c>
      <c r="P200" s="2" t="str">
        <f t="array" ref="P200">IF(B200="","",IF(N200&lt;&gt;1,"n.a.",INDEX(Counterparties!$C$6:$C$80,MATCH(B200,Counterparties!$A$6:$A$80,0))))</f>
        <v/>
      </c>
      <c r="Q200" s="2" t="str">
        <f t="array" ref="Q200">IF(B200="","",IF(N200&lt;&gt;1,"n.a.",INDEX(Counterparties!$G$6:$G$80,MATCH(B200,Counterparties!$A$6:$A$80,0))))</f>
        <v/>
      </c>
      <c r="R200" s="2">
        <f t="array" ref="R200">IF(A200="",0,IF(M200&lt;&gt;1,0,IF(AND(INDEX(Companies!$R$6:$R$55,MATCH(A200,Companies!$A$6:$A$55,0))=1,INDEX(Companies!$I$6:$I$55,MATCH(A200,Companies!$A$6:$A$55,0))&gt;=MAX(10,Rules!$B$22)),1,0)))</f>
        <v>0</v>
      </c>
      <c r="S200" s="2" t="str">
        <f t="array" ref="S200">IF(B200="","",IF(N200&lt;&gt;1,"Check counterparty ID",INDEX(Counterparties!$N$6:$N$80,MATCH(B200,Counterparties!$A$6:$A$80,0))))</f>
        <v/>
      </c>
      <c r="T200" s="2" t="str">
        <f t="shared" si="2"/>
        <v/>
      </c>
      <c r="U200" s="2">
        <f t="shared" si="3"/>
        <v>0</v>
      </c>
      <c r="V200" s="2">
        <f t="shared" si="4"/>
        <v>0</v>
      </c>
      <c r="W200" s="2">
        <f>IF(COUNTA(A200:L200)=0,0,IF(AND(OR(C200="Client",C200="Partner",C200="Client and partner"),D200&lt;&gt;"",E200="Active",H200&lt;&gt;"",ISNUMBER(I200),ISNUMBER(J200),I200&lt;=J200,J200&lt;=Rules!$B$6,Rules!$B$6-J200&lt;=Rules!$B$42,K200="Yes",OR(F200="",AND(ISNUMBER(F200),F200&lt;=Rules!$B$6)),OR(G200="",AND(ISNUMBER(G200),G200&gt;=Rules!$B$6)),OR(F200="",G200="",G200&gt;=F200)),1,0))</f>
        <v>0</v>
      </c>
    </row>
    <row r="201" ht="21.0" customHeight="1">
      <c r="A201" s="44"/>
      <c r="B201" s="44"/>
      <c r="C201" s="44"/>
      <c r="D201" s="44"/>
      <c r="E201" s="44"/>
      <c r="F201" s="48"/>
      <c r="G201" s="48"/>
      <c r="H201" s="44"/>
      <c r="I201" s="48"/>
      <c r="J201" s="48"/>
      <c r="K201" s="44"/>
      <c r="L201" s="44"/>
      <c r="M201" s="2" t="str">
        <f>IF(A201="","",COUNTIF(Companies!$A$6:$A$55,A201))</f>
        <v/>
      </c>
      <c r="N201" s="2" t="str">
        <f>IF(B201="","",COUNTIF(Counterparties!$A$6:$A$80,B201))</f>
        <v/>
      </c>
      <c r="O201" s="2" t="str">
        <f t="shared" si="1"/>
        <v/>
      </c>
      <c r="P201" s="2" t="str">
        <f t="array" ref="P201">IF(B201="","",IF(N201&lt;&gt;1,"n.a.",INDEX(Counterparties!$C$6:$C$80,MATCH(B201,Counterparties!$A$6:$A$80,0))))</f>
        <v/>
      </c>
      <c r="Q201" s="2" t="str">
        <f t="array" ref="Q201">IF(B201="","",IF(N201&lt;&gt;1,"n.a.",INDEX(Counterparties!$G$6:$G$80,MATCH(B201,Counterparties!$A$6:$A$80,0))))</f>
        <v/>
      </c>
      <c r="R201" s="2">
        <f t="array" ref="R201">IF(A201="",0,IF(M201&lt;&gt;1,0,IF(AND(INDEX(Companies!$R$6:$R$55,MATCH(A201,Companies!$A$6:$A$55,0))=1,INDEX(Companies!$I$6:$I$55,MATCH(A201,Companies!$A$6:$A$55,0))&gt;=MAX(10,Rules!$B$22)),1,0)))</f>
        <v>0</v>
      </c>
      <c r="S201" s="2" t="str">
        <f t="array" ref="S201">IF(B201="","",IF(N201&lt;&gt;1,"Check counterparty ID",INDEX(Counterparties!$N$6:$N$80,MATCH(B201,Counterparties!$A$6:$A$80,0))))</f>
        <v/>
      </c>
      <c r="T201" s="2" t="str">
        <f t="shared" si="2"/>
        <v/>
      </c>
      <c r="U201" s="2">
        <f t="shared" si="3"/>
        <v>0</v>
      </c>
      <c r="V201" s="2">
        <f t="shared" si="4"/>
        <v>0</v>
      </c>
      <c r="W201" s="2">
        <f>IF(COUNTA(A201:L201)=0,0,IF(AND(OR(C201="Client",C201="Partner",C201="Client and partner"),D201&lt;&gt;"",E201="Active",H201&lt;&gt;"",ISNUMBER(I201),ISNUMBER(J201),I201&lt;=J201,J201&lt;=Rules!$B$6,Rules!$B$6-J201&lt;=Rules!$B$42,K201="Yes",OR(F201="",AND(ISNUMBER(F201),F201&lt;=Rules!$B$6)),OR(G201="",AND(ISNUMBER(G201),G201&gt;=Rules!$B$6)),OR(F201="",G201="",G201&gt;=F201)),1,0))</f>
        <v>0</v>
      </c>
    </row>
    <row r="202" ht="21.0" customHeight="1">
      <c r="A202" s="44"/>
      <c r="B202" s="44"/>
      <c r="C202" s="44"/>
      <c r="D202" s="44"/>
      <c r="E202" s="44"/>
      <c r="F202" s="48"/>
      <c r="G202" s="48"/>
      <c r="H202" s="44"/>
      <c r="I202" s="48"/>
      <c r="J202" s="48"/>
      <c r="K202" s="44"/>
      <c r="L202" s="44"/>
      <c r="M202" s="2" t="str">
        <f>IF(A202="","",COUNTIF(Companies!$A$6:$A$55,A202))</f>
        <v/>
      </c>
      <c r="N202" s="2" t="str">
        <f>IF(B202="","",COUNTIF(Counterparties!$A$6:$A$80,B202))</f>
        <v/>
      </c>
      <c r="O202" s="2" t="str">
        <f t="shared" si="1"/>
        <v/>
      </c>
      <c r="P202" s="2" t="str">
        <f t="array" ref="P202">IF(B202="","",IF(N202&lt;&gt;1,"n.a.",INDEX(Counterparties!$C$6:$C$80,MATCH(B202,Counterparties!$A$6:$A$80,0))))</f>
        <v/>
      </c>
      <c r="Q202" s="2" t="str">
        <f t="array" ref="Q202">IF(B202="","",IF(N202&lt;&gt;1,"n.a.",INDEX(Counterparties!$G$6:$G$80,MATCH(B202,Counterparties!$A$6:$A$80,0))))</f>
        <v/>
      </c>
      <c r="R202" s="2">
        <f t="array" ref="R202">IF(A202="",0,IF(M202&lt;&gt;1,0,IF(AND(INDEX(Companies!$R$6:$R$55,MATCH(A202,Companies!$A$6:$A$55,0))=1,INDEX(Companies!$I$6:$I$55,MATCH(A202,Companies!$A$6:$A$55,0))&gt;=MAX(10,Rules!$B$22)),1,0)))</f>
        <v>0</v>
      </c>
      <c r="S202" s="2" t="str">
        <f t="array" ref="S202">IF(B202="","",IF(N202&lt;&gt;1,"Check counterparty ID",INDEX(Counterparties!$N$6:$N$80,MATCH(B202,Counterparties!$A$6:$A$80,0))))</f>
        <v/>
      </c>
      <c r="T202" s="2" t="str">
        <f t="shared" si="2"/>
        <v/>
      </c>
      <c r="U202" s="2">
        <f t="shared" si="3"/>
        <v>0</v>
      </c>
      <c r="V202" s="2">
        <f t="shared" si="4"/>
        <v>0</v>
      </c>
      <c r="W202" s="2">
        <f>IF(COUNTA(A202:L202)=0,0,IF(AND(OR(C202="Client",C202="Partner",C202="Client and partner"),D202&lt;&gt;"",E202="Active",H202&lt;&gt;"",ISNUMBER(I202),ISNUMBER(J202),I202&lt;=J202,J202&lt;=Rules!$B$6,Rules!$B$6-J202&lt;=Rules!$B$42,K202="Yes",OR(F202="",AND(ISNUMBER(F202),F202&lt;=Rules!$B$6)),OR(G202="",AND(ISNUMBER(G202),G202&gt;=Rules!$B$6)),OR(F202="",G202="",G202&gt;=F202)),1,0))</f>
        <v>0</v>
      </c>
    </row>
    <row r="203" ht="21.0" customHeight="1">
      <c r="A203" s="44"/>
      <c r="B203" s="44"/>
      <c r="C203" s="44"/>
      <c r="D203" s="44"/>
      <c r="E203" s="44"/>
      <c r="F203" s="48"/>
      <c r="G203" s="48"/>
      <c r="H203" s="44"/>
      <c r="I203" s="48"/>
      <c r="J203" s="48"/>
      <c r="K203" s="44"/>
      <c r="L203" s="44"/>
      <c r="M203" s="2" t="str">
        <f>IF(A203="","",COUNTIF(Companies!$A$6:$A$55,A203))</f>
        <v/>
      </c>
      <c r="N203" s="2" t="str">
        <f>IF(B203="","",COUNTIF(Counterparties!$A$6:$A$80,B203))</f>
        <v/>
      </c>
      <c r="O203" s="2" t="str">
        <f t="shared" si="1"/>
        <v/>
      </c>
      <c r="P203" s="2" t="str">
        <f t="array" ref="P203">IF(B203="","",IF(N203&lt;&gt;1,"n.a.",INDEX(Counterparties!$C$6:$C$80,MATCH(B203,Counterparties!$A$6:$A$80,0))))</f>
        <v/>
      </c>
      <c r="Q203" s="2" t="str">
        <f t="array" ref="Q203">IF(B203="","",IF(N203&lt;&gt;1,"n.a.",INDEX(Counterparties!$G$6:$G$80,MATCH(B203,Counterparties!$A$6:$A$80,0))))</f>
        <v/>
      </c>
      <c r="R203" s="2">
        <f t="array" ref="R203">IF(A203="",0,IF(M203&lt;&gt;1,0,IF(AND(INDEX(Companies!$R$6:$R$55,MATCH(A203,Companies!$A$6:$A$55,0))=1,INDEX(Companies!$I$6:$I$55,MATCH(A203,Companies!$A$6:$A$55,0))&gt;=MAX(10,Rules!$B$22)),1,0)))</f>
        <v>0</v>
      </c>
      <c r="S203" s="2" t="str">
        <f t="array" ref="S203">IF(B203="","",IF(N203&lt;&gt;1,"Check counterparty ID",INDEX(Counterparties!$N$6:$N$80,MATCH(B203,Counterparties!$A$6:$A$80,0))))</f>
        <v/>
      </c>
      <c r="T203" s="2" t="str">
        <f t="shared" si="2"/>
        <v/>
      </c>
      <c r="U203" s="2">
        <f t="shared" si="3"/>
        <v>0</v>
      </c>
      <c r="V203" s="2">
        <f t="shared" si="4"/>
        <v>0</v>
      </c>
      <c r="W203" s="2">
        <f>IF(COUNTA(A203:L203)=0,0,IF(AND(OR(C203="Client",C203="Partner",C203="Client and partner"),D203&lt;&gt;"",E203="Active",H203&lt;&gt;"",ISNUMBER(I203),ISNUMBER(J203),I203&lt;=J203,J203&lt;=Rules!$B$6,Rules!$B$6-J203&lt;=Rules!$B$42,K203="Yes",OR(F203="",AND(ISNUMBER(F203),F203&lt;=Rules!$B$6)),OR(G203="",AND(ISNUMBER(G203),G203&gt;=Rules!$B$6)),OR(F203="",G203="",G203&gt;=F203)),1,0))</f>
        <v>0</v>
      </c>
    </row>
    <row r="204" ht="21.0" customHeight="1">
      <c r="A204" s="44"/>
      <c r="B204" s="44"/>
      <c r="C204" s="44"/>
      <c r="D204" s="44"/>
      <c r="E204" s="44"/>
      <c r="F204" s="48"/>
      <c r="G204" s="48"/>
      <c r="H204" s="44"/>
      <c r="I204" s="48"/>
      <c r="J204" s="48"/>
      <c r="K204" s="44"/>
      <c r="L204" s="44"/>
      <c r="M204" s="2" t="str">
        <f>IF(A204="","",COUNTIF(Companies!$A$6:$A$55,A204))</f>
        <v/>
      </c>
      <c r="N204" s="2" t="str">
        <f>IF(B204="","",COUNTIF(Counterparties!$A$6:$A$80,B204))</f>
        <v/>
      </c>
      <c r="O204" s="2" t="str">
        <f t="shared" si="1"/>
        <v/>
      </c>
      <c r="P204" s="2" t="str">
        <f t="array" ref="P204">IF(B204="","",IF(N204&lt;&gt;1,"n.a.",INDEX(Counterparties!$C$6:$C$80,MATCH(B204,Counterparties!$A$6:$A$80,0))))</f>
        <v/>
      </c>
      <c r="Q204" s="2" t="str">
        <f t="array" ref="Q204">IF(B204="","",IF(N204&lt;&gt;1,"n.a.",INDEX(Counterparties!$G$6:$G$80,MATCH(B204,Counterparties!$A$6:$A$80,0))))</f>
        <v/>
      </c>
      <c r="R204" s="2">
        <f t="array" ref="R204">IF(A204="",0,IF(M204&lt;&gt;1,0,IF(AND(INDEX(Companies!$R$6:$R$55,MATCH(A204,Companies!$A$6:$A$55,0))=1,INDEX(Companies!$I$6:$I$55,MATCH(A204,Companies!$A$6:$A$55,0))&gt;=MAX(10,Rules!$B$22)),1,0)))</f>
        <v>0</v>
      </c>
      <c r="S204" s="2" t="str">
        <f t="array" ref="S204">IF(B204="","",IF(N204&lt;&gt;1,"Check counterparty ID",INDEX(Counterparties!$N$6:$N$80,MATCH(B204,Counterparties!$A$6:$A$80,0))))</f>
        <v/>
      </c>
      <c r="T204" s="2" t="str">
        <f t="shared" si="2"/>
        <v/>
      </c>
      <c r="U204" s="2">
        <f t="shared" si="3"/>
        <v>0</v>
      </c>
      <c r="V204" s="2">
        <f t="shared" si="4"/>
        <v>0</v>
      </c>
      <c r="W204" s="2">
        <f>IF(COUNTA(A204:L204)=0,0,IF(AND(OR(C204="Client",C204="Partner",C204="Client and partner"),D204&lt;&gt;"",E204="Active",H204&lt;&gt;"",ISNUMBER(I204),ISNUMBER(J204),I204&lt;=J204,J204&lt;=Rules!$B$6,Rules!$B$6-J204&lt;=Rules!$B$42,K204="Yes",OR(F204="",AND(ISNUMBER(F204),F204&lt;=Rules!$B$6)),OR(G204="",AND(ISNUMBER(G204),G204&gt;=Rules!$B$6)),OR(F204="",G204="",G204&gt;=F204)),1,0))</f>
        <v>0</v>
      </c>
    </row>
    <row r="205" ht="21.0" customHeight="1">
      <c r="A205" s="44"/>
      <c r="B205" s="44"/>
      <c r="C205" s="44"/>
      <c r="D205" s="44"/>
      <c r="E205" s="44"/>
      <c r="F205" s="48"/>
      <c r="G205" s="48"/>
      <c r="H205" s="44"/>
      <c r="I205" s="48"/>
      <c r="J205" s="48"/>
      <c r="K205" s="44"/>
      <c r="L205" s="44"/>
      <c r="M205" s="2" t="str">
        <f>IF(A205="","",COUNTIF(Companies!$A$6:$A$55,A205))</f>
        <v/>
      </c>
      <c r="N205" s="2" t="str">
        <f>IF(B205="","",COUNTIF(Counterparties!$A$6:$A$80,B205))</f>
        <v/>
      </c>
      <c r="O205" s="2" t="str">
        <f t="shared" si="1"/>
        <v/>
      </c>
      <c r="P205" s="2" t="str">
        <f t="array" ref="P205">IF(B205="","",IF(N205&lt;&gt;1,"n.a.",INDEX(Counterparties!$C$6:$C$80,MATCH(B205,Counterparties!$A$6:$A$80,0))))</f>
        <v/>
      </c>
      <c r="Q205" s="2" t="str">
        <f t="array" ref="Q205">IF(B205="","",IF(N205&lt;&gt;1,"n.a.",INDEX(Counterparties!$G$6:$G$80,MATCH(B205,Counterparties!$A$6:$A$80,0))))</f>
        <v/>
      </c>
      <c r="R205" s="2">
        <f t="array" ref="R205">IF(A205="",0,IF(M205&lt;&gt;1,0,IF(AND(INDEX(Companies!$R$6:$R$55,MATCH(A205,Companies!$A$6:$A$55,0))=1,INDEX(Companies!$I$6:$I$55,MATCH(A205,Companies!$A$6:$A$55,0))&gt;=MAX(10,Rules!$B$22)),1,0)))</f>
        <v>0</v>
      </c>
      <c r="S205" s="2" t="str">
        <f t="array" ref="S205">IF(B205="","",IF(N205&lt;&gt;1,"Check counterparty ID",INDEX(Counterparties!$N$6:$N$80,MATCH(B205,Counterparties!$A$6:$A$80,0))))</f>
        <v/>
      </c>
      <c r="T205" s="2" t="str">
        <f t="shared" si="2"/>
        <v/>
      </c>
      <c r="U205" s="2">
        <f t="shared" si="3"/>
        <v>0</v>
      </c>
      <c r="V205" s="2">
        <f t="shared" si="4"/>
        <v>0</v>
      </c>
      <c r="W205" s="2">
        <f>IF(COUNTA(A205:L205)=0,0,IF(AND(OR(C205="Client",C205="Partner",C205="Client and partner"),D205&lt;&gt;"",E205="Active",H205&lt;&gt;"",ISNUMBER(I205),ISNUMBER(J205),I205&lt;=J205,J205&lt;=Rules!$B$6,Rules!$B$6-J205&lt;=Rules!$B$42,K205="Yes",OR(F205="",AND(ISNUMBER(F205),F205&lt;=Rules!$B$6)),OR(G205="",AND(ISNUMBER(G205),G205&gt;=Rules!$B$6)),OR(F205="",G205="",G205&gt;=F205)),1,0))</f>
        <v>0</v>
      </c>
    </row>
  </sheetData>
  <autoFilter ref="$A$5:$W$205"/>
  <mergeCells count="2">
    <mergeCell ref="A2:B2"/>
    <mergeCell ref="A3:B3"/>
  </mergeCells>
  <dataValidations>
    <dataValidation type="list" allowBlank="1" showErrorMessage="1" sqref="K6:L205">
      <formula1>"Yes,No"</formula1>
    </dataValidation>
    <dataValidation type="list" allowBlank="1" showErrorMessage="1" sqref="C6:C205">
      <formula1>"Client,Partner,Client and partner"</formula1>
    </dataValidation>
    <dataValidation type="list" allowBlank="1" showErrorMessage="1" sqref="E6:E205">
      <formula1>"Active,Expired,Proposed,Unclear"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2" width="23.25"/>
    <col customWidth="1" min="3" max="3" width="18.25"/>
    <col customWidth="1" min="4" max="4" width="27.0"/>
    <col customWidth="1" min="5" max="21" width="18.25"/>
    <col customWidth="1" min="22" max="23" width="29.5"/>
    <col customWidth="1" min="24" max="27" width="18.25"/>
    <col customWidth="1" min="28" max="28" width="37.63"/>
  </cols>
  <sheetData>
    <row r="2">
      <c r="A2" s="76" t="s">
        <v>448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4" t="s">
        <v>878</v>
      </c>
      <c r="B3" s="14"/>
      <c r="C3" s="12" t="s">
        <v>879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30.0" customHeight="1">
      <c r="A4" s="14" t="s">
        <v>21</v>
      </c>
      <c r="B4" s="14" t="str">
        <f>IFERROR(__xludf.DUMMYFUNCTION("IF(Rules!B7=""Not selected"",""Not selected"",IF(REGEXMATCH(LOWER(Rules!B7&amp;"" ""&amp;Rules!B8),""financial|bank|insurance|reit|real estate""),""Needs sector profile"",""General operating""))"),"Not selected")</f>
        <v>Not selected</v>
      </c>
      <c r="C4" s="14"/>
      <c r="D4" s="14"/>
      <c r="E4" s="14"/>
      <c r="F4" s="14" t="s">
        <v>880</v>
      </c>
      <c r="G4" s="14" t="s">
        <v>34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30.0" customHeight="1">
      <c r="A5" s="14" t="s">
        <v>881</v>
      </c>
      <c r="B5" s="14">
        <f>MAX(10,Rules!B22)</f>
        <v>10</v>
      </c>
      <c r="C5" s="14"/>
      <c r="D5" s="14"/>
      <c r="E5" s="14"/>
      <c r="F5" s="14" t="s">
        <v>882</v>
      </c>
      <c r="G5" s="77">
        <v>0.5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30.0" customHeight="1">
      <c r="A6" s="14" t="s">
        <v>883</v>
      </c>
      <c r="B6" s="14">
        <f>MAX(3,Rules!B12)</f>
        <v>3</v>
      </c>
      <c r="C6" s="14"/>
      <c r="D6" s="14"/>
      <c r="E6" s="14"/>
      <c r="F6" s="14" t="s">
        <v>884</v>
      </c>
      <c r="G6" s="77">
        <v>0.5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30.0" customHeight="1">
      <c r="A7" s="14" t="s">
        <v>8</v>
      </c>
      <c r="B7" s="14">
        <f>COUNTIF(Companies!$R$6:$R$55,1)</f>
        <v>0</v>
      </c>
      <c r="C7" s="14"/>
      <c r="D7" s="14"/>
      <c r="E7" s="14"/>
      <c r="F7" s="14" t="s">
        <v>885</v>
      </c>
      <c r="G7" s="32">
        <f>SUM(G5:G6)</f>
        <v>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30.0" customHeight="1">
      <c r="A8" s="14" t="s">
        <v>886</v>
      </c>
      <c r="B8" s="14">
        <f>COUNTIF($X$15:$X$64,1)</f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30.0" customHeight="1">
      <c r="A9" s="14" t="s">
        <v>887</v>
      </c>
      <c r="B9" s="14" t="str">
        <f>IF(Rules!B7="Not selected","Choose research scope",IF(Rules!B15&lt;&gt;"Yes","Confirm issuer universe",IF(B4="Needs sector profile","Sector profile required",IF(OR(COUNT(G5:G6)&lt;&gt;2,MIN(G5:G6)&lt;0,ABS(SUM(G5:G6)-1)&gt;0.000001),"Check weights",IF(B8&lt;B6,"Too few core-ready companies","Ready")))))</f>
        <v>Choose research scope</v>
      </c>
      <c r="C9" s="14"/>
      <c r="D9" s="14"/>
      <c r="E9" s="14"/>
      <c r="F9" s="14" t="s">
        <v>888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30.0" customHeight="1">
      <c r="A10" s="14" t="s">
        <v>889</v>
      </c>
      <c r="B10" s="14" t="s">
        <v>890</v>
      </c>
      <c r="C10" s="14"/>
      <c r="D10" s="14"/>
      <c r="E10" s="14"/>
      <c r="F10" s="14" t="s">
        <v>891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30.0" customHeight="1">
      <c r="A11" s="14" t="s">
        <v>892</v>
      </c>
      <c r="B11" s="20">
        <f>Rules!B6</f>
        <v>46298</v>
      </c>
      <c r="C11" s="14"/>
      <c r="D11" s="14"/>
      <c r="E11" s="14"/>
      <c r="F11" s="14" t="s">
        <v>893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58.5" customHeight="1">
      <c r="A14" s="47" t="s">
        <v>139</v>
      </c>
      <c r="B14" s="47" t="s">
        <v>141</v>
      </c>
      <c r="C14" s="47" t="s">
        <v>258</v>
      </c>
      <c r="D14" s="47" t="s">
        <v>894</v>
      </c>
      <c r="E14" s="47" t="s">
        <v>895</v>
      </c>
      <c r="F14" s="47" t="s">
        <v>896</v>
      </c>
      <c r="G14" s="47" t="s">
        <v>897</v>
      </c>
      <c r="H14" s="47" t="s">
        <v>898</v>
      </c>
      <c r="I14" s="47" t="s">
        <v>899</v>
      </c>
      <c r="J14" s="47" t="s">
        <v>900</v>
      </c>
      <c r="K14" s="47" t="s">
        <v>901</v>
      </c>
      <c r="L14" s="47" t="s">
        <v>902</v>
      </c>
      <c r="M14" s="47" t="s">
        <v>903</v>
      </c>
      <c r="N14" s="47" t="s">
        <v>904</v>
      </c>
      <c r="O14" s="47" t="s">
        <v>905</v>
      </c>
      <c r="P14" s="47" t="s">
        <v>906</v>
      </c>
      <c r="Q14" s="47" t="s">
        <v>907</v>
      </c>
      <c r="R14" s="47" t="s">
        <v>908</v>
      </c>
      <c r="S14" s="47" t="s">
        <v>909</v>
      </c>
      <c r="T14" s="47" t="s">
        <v>910</v>
      </c>
      <c r="U14" s="47" t="s">
        <v>911</v>
      </c>
      <c r="V14" s="47" t="s">
        <v>217</v>
      </c>
      <c r="W14" s="47" t="s">
        <v>912</v>
      </c>
      <c r="X14" s="47" t="s">
        <v>913</v>
      </c>
      <c r="Y14" s="47" t="s">
        <v>914</v>
      </c>
      <c r="Z14" s="47" t="s">
        <v>915</v>
      </c>
      <c r="AA14" s="47" t="s">
        <v>916</v>
      </c>
      <c r="AB14" s="47" t="s">
        <v>917</v>
      </c>
    </row>
    <row r="15" ht="31.5" customHeight="1">
      <c r="A15" s="14" t="str">
        <f>IF(Companies!A6="","",Companies!A6)</f>
        <v>US-XOM</v>
      </c>
      <c r="B15" s="14" t="str">
        <f>IF(A15="","",Companies!C6)</f>
        <v>ExxonMobil</v>
      </c>
      <c r="C15" s="78">
        <f>IF(A15="","",IF(ISNUMBER(Companies!I6),Companies!I6,"n.a."))</f>
        <v>674.39</v>
      </c>
      <c r="D15" s="79"/>
      <c r="E15" s="14" t="str">
        <f>IFERROR(__xludf.DUMMYFUNCTION("IF(A15="""","""",IFNA(INDEX(FILTER('Profitability inputs'!$G$6:$G$205,'Profitability inputs'!$A$6:$A$205=A15,'Profitability inputs'!$C$6:$C$205=""TTM"",'Profitability inputs'!$AD$6:$AD$205=1),1),""n.a.""))"),"n.a.")</f>
        <v>n.a.</v>
      </c>
      <c r="F15" s="20" t="str">
        <f>IFERROR(__xludf.DUMMYFUNCTION("IF(A15="""","""",IFNA(INDEX(FILTER('Profitability inputs'!$D$6:$D$205,'Profitability inputs'!$A$6:$A$205=A15,'Profitability inputs'!$C$6:$C$205=""TTM"",'Profitability inputs'!$AD$6:$AD$205=1),1),""n.a.""))"),"n.a.")</f>
        <v>n.a.</v>
      </c>
      <c r="G15" s="80" t="str">
        <f>IFERROR(__xludf.DUMMYFUNCTION("IF(A15="""","""",IFNA(INDEX(FILTER('Profitability inputs'!$AG$6:$AG$205,'Profitability inputs'!$A$6:$A$205=A15,'Profitability inputs'!$C$6:$C$205=""TTM"",'Profitability inputs'!$AD$6:$AD$205=1),1),""n.a.""))"),"n.a.")</f>
        <v>n.a.</v>
      </c>
      <c r="H15" s="80" t="str">
        <f>IFERROR(__xludf.DUMMYFUNCTION("IF(A15="""","""",IFNA(INDEX(FILTER('Profitability inputs'!$AH$6:$AH$205,'Profitability inputs'!$A$6:$A$205=A15,'Profitability inputs'!$C$6:$C$205=""TTM"",'Profitability inputs'!$AD$6:$AD$205=1),1),""n.a.""))"),"n.a.")</f>
        <v>n.a.</v>
      </c>
      <c r="I15" s="81" t="str">
        <f t="shared" ref="I15:I64" si="1">IF(A15="","",IF(OR(X15&lt;&gt;1,$B$9&lt;&gt;"Ready",NOT(ISNUMBER(M15)),M15&lt;$B$6),"n.a.",100*(COUNTIFS($X$15:$X$64,1,$D$15:$D$64,D15,$E$15:$E$64,E15,$G$15:$G$64,"&lt;"&amp;G15)+0.5*(COUNTIFS($X$15:$X$64,1,$D$15:$D$64,D15,$E$15:$E$64,E15,$G$15:$G$64,G15)-1))/(M15-1)))</f>
        <v>n.a.</v>
      </c>
      <c r="J15" s="81" t="str">
        <f t="shared" ref="J15:J64" si="2">IF(A15="","",IF(OR(X15&lt;&gt;1,$B$9&lt;&gt;"Ready",NOT(ISNUMBER(M15)),M15&lt;$B$6),"n.a.",100*(COUNTIFS($X$15:$X$64,1,$D$15:$D$64,D15,$E$15:$E$64,E15,$H$15:$H$64,"&lt;"&amp;H15)+0.5*(COUNTIFS($X$15:$X$64,1,$D$15:$D$64,D15,$E$15:$E$64,E15,$H$15:$H$64,H15)-1))/(M15-1)))</f>
        <v>n.a.</v>
      </c>
      <c r="K15" s="81" t="str">
        <f t="shared" ref="K15:K64" si="3">IF(A15="","",IF(COUNT(I15:J15)&lt;&gt;2,"n.a.",$G$5*I15+$G$6*J15))</f>
        <v>n.a.</v>
      </c>
      <c r="L15" s="14" t="str">
        <f t="shared" ref="L15:L64" si="4">IF(A15="","",IF(NOT(ISNUMBER(K15)),"n.a.",1+COUNTIFS($X$15:$X$64,1,$D$15:$D$64,D15,$E$15:$E$64,E15,$K$15:$K$64,"&gt;"&amp;K15)))</f>
        <v>n.a.</v>
      </c>
      <c r="M15" s="14" t="str">
        <f t="shared" ref="M15:M64" si="5">IF(A15="","",IF(X15&lt;&gt;1,"n.a.",COUNTIFS($X$15:$X$64,1,$D$15:$D$64,D15,$E$15:$E$64,E15)))</f>
        <v>n.a.</v>
      </c>
      <c r="N15" s="80" t="str">
        <f>IFERROR(__xludf.DUMMYFUNCTION("IF(A15="""","""",IFNA(INDEX(FILTER('Profitability inputs'!$AI$6:$AI$205,'Profitability inputs'!$A$6:$A$205=A15,'Profitability inputs'!$C$6:$C$205=""TTM"",'Profitability inputs'!$AD$6:$AD$205=1),1),""n.a.""))"),"n.a.")</f>
        <v>n.a.</v>
      </c>
      <c r="O15" s="82" t="str">
        <f>IFERROR(__xludf.DUMMYFUNCTION("IF(A15="""","""",IF(AA15&lt;&gt;3,""n.a."",IF(OR(COUNT(FILTER('Profitability inputs'!$V$6:$V$205,'Profitability inputs'!$A$6:$A$205=A15,'Profitability inputs'!$AN$6:$AN$205=1))&lt;&gt;3,COUNT(FILTER('Profitability inputs'!$W$6:$W$205,'Profitability inputs'!$A$6:$A$20"&amp;"5=A15,'Profitability inputs'!$AN$6:$AN$205=1))&lt;&gt;3,SUMIFS('Profitability inputs'!$W$6:$W$205,'Profitability inputs'!$A$6:$A$205,A15,'Profitability inputs'!$AN$6:$AN$205,1)&lt;=0),""n.a."",SUMIFS('Profitability inputs'!$V$6:$V$205,'Profitability inputs'!$A$6:$"&amp;"A$205,A15,'Profitability inputs'!$AN$6:$AN$205,1)/SUMIFS('Profitability inputs'!$W$6:$W$205,'Profitability inputs'!$A$6:$A$205,A15,'Profitability inputs'!$AN$6:$AN$205,1))))"),"n.a.")</f>
        <v>n.a.</v>
      </c>
      <c r="P15" s="80" t="str">
        <f>IFERROR(__xludf.DUMMYFUNCTION("IF(A15="""","""",IF(AA15&lt;&gt;3,""n.a."",MEDIAN(FILTER('Profitability inputs'!$AG$6:$AG$205,'Profitability inputs'!$A$6:$A$205=A15,'Profitability inputs'!$AN$6:$AN$205=1))))"),"n.a.")</f>
        <v>n.a.</v>
      </c>
      <c r="Q15" s="80" t="str">
        <f>IFERROR(__xludf.DUMMYFUNCTION("IF(A15="""","""",IF(AA15&lt;&gt;3,""n.a."",MEDIAN(FILTER('Profitability inputs'!$AH$6:$AH$205,'Profitability inputs'!$A$6:$A$205=A15,'Profitability inputs'!$AN$6:$AN$205=1))))"),"n.a.")</f>
        <v>n.a.</v>
      </c>
      <c r="R15" s="83" t="str">
        <f t="shared" ref="R15:R64" si="6">IF(A15="","",IF(AND(ISNUMBER(G15),ISNUMBER(P15)),100*(G15-P15),"n.a."))</f>
        <v>n.a.</v>
      </c>
      <c r="S15" s="83" t="str">
        <f t="shared" ref="S15:S64" si="7">IF(A15="","",IF(AND(ISNUMBER(H15),ISNUMBER(Q15)),100*(H15-Q15),"n.a."))</f>
        <v>n.a.</v>
      </c>
      <c r="T15" s="80" t="str">
        <f>IFERROR(__xludf.DUMMYFUNCTION("IF(A15="""","""",IFNA(INDEX(FILTER('Profitability inputs'!$AJ$6:$AJ$205,'Profitability inputs'!$A$6:$A$205=A15,'Profitability inputs'!$C$6:$C$205=""TTM"",'Profitability inputs'!$AD$6:$AD$205=1),1),""n.a.""))"),"n.a.")</f>
        <v>n.a.</v>
      </c>
      <c r="U15" s="80" t="str">
        <f>IFERROR(__xludf.DUMMYFUNCTION("IF(A15="""","""",IFNA(INDEX(FILTER('Profitability inputs'!$AK$6:$AK$205,'Profitability inputs'!$A$6:$A$205=A15,'Profitability inputs'!$C$6:$C$205=""TTM"",'Profitability inputs'!$AD$6:$AD$205=1),1),""n.a.""))"),"n.a.")</f>
        <v>n.a.</v>
      </c>
      <c r="V15" s="14" t="str">
        <f>IF(A15="","",IF(Companies!R6&lt;&gt;1,"Outside cap/scope universe",IF(D15="","Set business cohort",IF(COUNTIFS('Profitability inputs'!$A$6:$A$205,A15,'Profitability inputs'!$C$6:$C$205,"TTM")=0,"Add TTM financials",IF(COUNTIFS('Profitability inputs'!$A$6:$A$205,A15,'Profitability inputs'!$C$6:$C$205,"TTM")&lt;&gt;1,"Duplicate TTM records",IF(X15&lt;&gt;1,"Check financial data/dates/profile",IF($B$9&lt;&gt;"Ready",$B$9,IF(M15&lt;$B$6,"Too few same-cohort companies","Ready"))))))))</f>
        <v>Outside cap/scope universe</v>
      </c>
      <c r="W15" s="14" t="str">
        <f t="shared" ref="W15:W64" si="8">IF(A15="","",TEXTJOIN("; ",TRUE,IF(ISNUMBER(G15),IF(G15&lt;0,"Negative operating return",""),"ROIC unavailable"),IF(ISNUMBER(H15),IF(H15&lt;0,"Operating loss",""),""),IF(ISNUMBER(N15),IF(N15&lt;0,"Common-equity loss",""),"ROE unavailable"),IF(AA15&lt;&gt;3,"History incomplete",""),IF(AND(AA15=3,NOT(ISNUMBER(O15))),"Cash ratio unavailable",""),IF(ISNUMBER(O15),IF(O15&lt;0,"Negative three-year CFO",""),"")))</f>
        <v>ROIC unavailable; ROE unavailable; History incomplete</v>
      </c>
      <c r="X15" s="14">
        <f>IFERROR(__xludf.DUMMYFUNCTION("IF(A15="""","""",IFERROR(IF(AND(Companies!R6=1,ISNUMBER(C15),C15&gt;=$B$5,D15&lt;&gt;"""",COUNTIFS('Profitability inputs'!$A$6:$A$205,A15,'Profitability inputs'!$C$6:$C$205,""TTM"")=1,COUNTIFS('Profitability inputs'!$A$6:$A$205,A15,'Profitability inputs'!$C$6:$C$2"&amp;"05,""TTM"",'Profitability inputs'!$AD$6:$AD$205,1)=1,ISNUMBER(F15),F15&lt;=Rules!$B$6,Rules!$B$6-F15&lt;=Rules!$B$11,NOT(REGEXMATCH(LOWER(Companies!D6&amp;"" ""&amp;Companies!E6),""financial|bank|insurance|reit|real estate""))),1,0),0))"),0.0)</f>
        <v>0</v>
      </c>
      <c r="Y15" s="81" t="str">
        <f t="shared" ref="Y15:Y64" si="9">IF(A15="","",I15)</f>
        <v>n.a.</v>
      </c>
      <c r="Z15" s="81" t="str">
        <f t="shared" ref="Z15:Z64" si="10">IF(A15="","",IF(AND(ISNUMBER(K15),ISNUMBER(Y15)),K15-Y15,"n.a."))</f>
        <v>n.a.</v>
      </c>
      <c r="AA15" s="14">
        <f>IF(A15="","",COUNTIFS('Profitability inputs'!$A$6:$A$205,A15,'Profitability inputs'!$AN$6:$AN$205,1))</f>
        <v>0</v>
      </c>
      <c r="AB15" s="14" t="str">
        <f>IFERROR(__xludf.DUMMYFUNCTION("IF(A15="""","""",IFNA(INDEX(FILTER('Profitability inputs'!$AA$6:$AA$205,'Profitability inputs'!$A$6:$A$205=A15,'Profitability inputs'!$C$6:$C$205=""TTM"",'Profitability inputs'!$AD$6:$AD$205=1),1),""n.a.""))"),"n.a.")</f>
        <v>n.a.</v>
      </c>
    </row>
    <row r="16" ht="31.5" customHeight="1">
      <c r="A16" s="14" t="str">
        <f>IF(Companies!A7="","",Companies!A7)</f>
        <v>US-JNJ</v>
      </c>
      <c r="B16" s="14" t="str">
        <f>IF(A16="","",Companies!C7)</f>
        <v>Johnson &amp; Johnson</v>
      </c>
      <c r="C16" s="78">
        <f>IF(A16="","",IF(ISNUMBER(Companies!I7),Companies!I7,"n.a."))</f>
        <v>617.01</v>
      </c>
      <c r="D16" s="79"/>
      <c r="E16" s="14" t="str">
        <f>IFERROR(__xludf.DUMMYFUNCTION("IF(A16="""","""",IFNA(INDEX(FILTER('Profitability inputs'!$G$6:$G$205,'Profitability inputs'!$A$6:$A$205=A16,'Profitability inputs'!$C$6:$C$205=""TTM"",'Profitability inputs'!$AD$6:$AD$205=1),1),""n.a.""))"),"n.a.")</f>
        <v>n.a.</v>
      </c>
      <c r="F16" s="20" t="str">
        <f>IFERROR(__xludf.DUMMYFUNCTION("IF(A16="""","""",IFNA(INDEX(FILTER('Profitability inputs'!$D$6:$D$205,'Profitability inputs'!$A$6:$A$205=A16,'Profitability inputs'!$C$6:$C$205=""TTM"",'Profitability inputs'!$AD$6:$AD$205=1),1),""n.a.""))"),"n.a.")</f>
        <v>n.a.</v>
      </c>
      <c r="G16" s="80" t="str">
        <f>IFERROR(__xludf.DUMMYFUNCTION("IF(A16="""","""",IFNA(INDEX(FILTER('Profitability inputs'!$AG$6:$AG$205,'Profitability inputs'!$A$6:$A$205=A16,'Profitability inputs'!$C$6:$C$205=""TTM"",'Profitability inputs'!$AD$6:$AD$205=1),1),""n.a.""))"),"n.a.")</f>
        <v>n.a.</v>
      </c>
      <c r="H16" s="80" t="str">
        <f>IFERROR(__xludf.DUMMYFUNCTION("IF(A16="""","""",IFNA(INDEX(FILTER('Profitability inputs'!$AH$6:$AH$205,'Profitability inputs'!$A$6:$A$205=A16,'Profitability inputs'!$C$6:$C$205=""TTM"",'Profitability inputs'!$AD$6:$AD$205=1),1),""n.a.""))"),"n.a.")</f>
        <v>n.a.</v>
      </c>
      <c r="I16" s="81" t="str">
        <f t="shared" si="1"/>
        <v>n.a.</v>
      </c>
      <c r="J16" s="81" t="str">
        <f t="shared" si="2"/>
        <v>n.a.</v>
      </c>
      <c r="K16" s="81" t="str">
        <f t="shared" si="3"/>
        <v>n.a.</v>
      </c>
      <c r="L16" s="14" t="str">
        <f t="shared" si="4"/>
        <v>n.a.</v>
      </c>
      <c r="M16" s="14" t="str">
        <f t="shared" si="5"/>
        <v>n.a.</v>
      </c>
      <c r="N16" s="80" t="str">
        <f>IFERROR(__xludf.DUMMYFUNCTION("IF(A16="""","""",IFNA(INDEX(FILTER('Profitability inputs'!$AI$6:$AI$205,'Profitability inputs'!$A$6:$A$205=A16,'Profitability inputs'!$C$6:$C$205=""TTM"",'Profitability inputs'!$AD$6:$AD$205=1),1),""n.a.""))"),"n.a.")</f>
        <v>n.a.</v>
      </c>
      <c r="O16" s="82" t="str">
        <f>IFERROR(__xludf.DUMMYFUNCTION("IF(A16="""","""",IF(AA16&lt;&gt;3,""n.a."",IF(OR(COUNT(FILTER('Profitability inputs'!$V$6:$V$205,'Profitability inputs'!$A$6:$A$205=A16,'Profitability inputs'!$AN$6:$AN$205=1))&lt;&gt;3,COUNT(FILTER('Profitability inputs'!$W$6:$W$205,'Profitability inputs'!$A$6:$A$20"&amp;"5=A16,'Profitability inputs'!$AN$6:$AN$205=1))&lt;&gt;3,SUMIFS('Profitability inputs'!$W$6:$W$205,'Profitability inputs'!$A$6:$A$205,A16,'Profitability inputs'!$AN$6:$AN$205,1)&lt;=0),""n.a."",SUMIFS('Profitability inputs'!$V$6:$V$205,'Profitability inputs'!$A$6:$"&amp;"A$205,A16,'Profitability inputs'!$AN$6:$AN$205,1)/SUMIFS('Profitability inputs'!$W$6:$W$205,'Profitability inputs'!$A$6:$A$205,A16,'Profitability inputs'!$AN$6:$AN$205,1))))"),"n.a.")</f>
        <v>n.a.</v>
      </c>
      <c r="P16" s="80" t="str">
        <f>IFERROR(__xludf.DUMMYFUNCTION("IF(A16="""","""",IF(AA16&lt;&gt;3,""n.a."",MEDIAN(FILTER('Profitability inputs'!$AG$6:$AG$205,'Profitability inputs'!$A$6:$A$205=A16,'Profitability inputs'!$AN$6:$AN$205=1))))"),"n.a.")</f>
        <v>n.a.</v>
      </c>
      <c r="Q16" s="80" t="str">
        <f>IFERROR(__xludf.DUMMYFUNCTION("IF(A16="""","""",IF(AA16&lt;&gt;3,""n.a."",MEDIAN(FILTER('Profitability inputs'!$AH$6:$AH$205,'Profitability inputs'!$A$6:$A$205=A16,'Profitability inputs'!$AN$6:$AN$205=1))))"),"n.a.")</f>
        <v>n.a.</v>
      </c>
      <c r="R16" s="83" t="str">
        <f t="shared" si="6"/>
        <v>n.a.</v>
      </c>
      <c r="S16" s="83" t="str">
        <f t="shared" si="7"/>
        <v>n.a.</v>
      </c>
      <c r="T16" s="80" t="str">
        <f>IFERROR(__xludf.DUMMYFUNCTION("IF(A16="""","""",IFNA(INDEX(FILTER('Profitability inputs'!$AJ$6:$AJ$205,'Profitability inputs'!$A$6:$A$205=A16,'Profitability inputs'!$C$6:$C$205=""TTM"",'Profitability inputs'!$AD$6:$AD$205=1),1),""n.a.""))"),"n.a.")</f>
        <v>n.a.</v>
      </c>
      <c r="U16" s="80" t="str">
        <f>IFERROR(__xludf.DUMMYFUNCTION("IF(A16="""","""",IFNA(INDEX(FILTER('Profitability inputs'!$AK$6:$AK$205,'Profitability inputs'!$A$6:$A$205=A16,'Profitability inputs'!$C$6:$C$205=""TTM"",'Profitability inputs'!$AD$6:$AD$205=1),1),""n.a.""))"),"n.a.")</f>
        <v>n.a.</v>
      </c>
      <c r="V16" s="14" t="str">
        <f>IF(A16="","",IF(Companies!R7&lt;&gt;1,"Outside cap/scope universe",IF(D16="","Set business cohort",IF(COUNTIFS('Profitability inputs'!$A$6:$A$205,A16,'Profitability inputs'!$C$6:$C$205,"TTM")=0,"Add TTM financials",IF(COUNTIFS('Profitability inputs'!$A$6:$A$205,A16,'Profitability inputs'!$C$6:$C$205,"TTM")&lt;&gt;1,"Duplicate TTM records",IF(X16&lt;&gt;1,"Check financial data/dates/profile",IF($B$9&lt;&gt;"Ready",$B$9,IF(M16&lt;$B$6,"Too few same-cohort companies","Ready"))))))))</f>
        <v>Outside cap/scope universe</v>
      </c>
      <c r="W16" s="14" t="str">
        <f t="shared" si="8"/>
        <v>ROIC unavailable; ROE unavailable; History incomplete</v>
      </c>
      <c r="X16" s="14">
        <f>IFERROR(__xludf.DUMMYFUNCTION("IF(A16="""","""",IFERROR(IF(AND(Companies!R7=1,ISNUMBER(C16),C16&gt;=$B$5,D16&lt;&gt;"""",COUNTIFS('Profitability inputs'!$A$6:$A$205,A16,'Profitability inputs'!$C$6:$C$205,""TTM"")=1,COUNTIFS('Profitability inputs'!$A$6:$A$205,A16,'Profitability inputs'!$C$6:$C$2"&amp;"05,""TTM"",'Profitability inputs'!$AD$6:$AD$205,1)=1,ISNUMBER(F16),F16&lt;=Rules!$B$6,Rules!$B$6-F16&lt;=Rules!$B$11,NOT(REGEXMATCH(LOWER(Companies!D7&amp;"" ""&amp;Companies!E7),""financial|bank|insurance|reit|real estate""))),1,0),0))"),0.0)</f>
        <v>0</v>
      </c>
      <c r="Y16" s="81" t="str">
        <f t="shared" si="9"/>
        <v>n.a.</v>
      </c>
      <c r="Z16" s="81" t="str">
        <f t="shared" si="10"/>
        <v>n.a.</v>
      </c>
      <c r="AA16" s="14">
        <f>IF(A16="","",COUNTIFS('Profitability inputs'!$A$6:$A$205,A16,'Profitability inputs'!$AN$6:$AN$205,1))</f>
        <v>0</v>
      </c>
      <c r="AB16" s="14" t="str">
        <f>IFERROR(__xludf.DUMMYFUNCTION("IF(A16="""","""",IFNA(INDEX(FILTER('Profitability inputs'!$AA$6:$AA$205,'Profitability inputs'!$A$6:$A$205=A16,'Profitability inputs'!$C$6:$C$205=""TTM"",'Profitability inputs'!$AD$6:$AD$205=1),1),""n.a.""))"),"n.a.")</f>
        <v>n.a.</v>
      </c>
    </row>
    <row r="17" ht="31.5" customHeight="1">
      <c r="A17" s="14" t="str">
        <f>IF(Companies!A8="","",Companies!A8)</f>
        <v>US-PG</v>
      </c>
      <c r="B17" s="14" t="str">
        <f>IF(A17="","",Companies!C8)</f>
        <v>Procter &amp; Gamble</v>
      </c>
      <c r="C17" s="78">
        <f>IF(A17="","",IF(ISNUMBER(Companies!I8),Companies!I8,"n.a."))</f>
        <v>336.58</v>
      </c>
      <c r="D17" s="79"/>
      <c r="E17" s="14" t="str">
        <f>IFERROR(__xludf.DUMMYFUNCTION("IF(A17="""","""",IFNA(INDEX(FILTER('Profitability inputs'!$G$6:$G$205,'Profitability inputs'!$A$6:$A$205=A17,'Profitability inputs'!$C$6:$C$205=""TTM"",'Profitability inputs'!$AD$6:$AD$205=1),1),""n.a.""))"),"n.a.")</f>
        <v>n.a.</v>
      </c>
      <c r="F17" s="20" t="str">
        <f>IFERROR(__xludf.DUMMYFUNCTION("IF(A17="""","""",IFNA(INDEX(FILTER('Profitability inputs'!$D$6:$D$205,'Profitability inputs'!$A$6:$A$205=A17,'Profitability inputs'!$C$6:$C$205=""TTM"",'Profitability inputs'!$AD$6:$AD$205=1),1),""n.a.""))"),"n.a.")</f>
        <v>n.a.</v>
      </c>
      <c r="G17" s="80" t="str">
        <f>IFERROR(__xludf.DUMMYFUNCTION("IF(A17="""","""",IFNA(INDEX(FILTER('Profitability inputs'!$AG$6:$AG$205,'Profitability inputs'!$A$6:$A$205=A17,'Profitability inputs'!$C$6:$C$205=""TTM"",'Profitability inputs'!$AD$6:$AD$205=1),1),""n.a.""))"),"n.a.")</f>
        <v>n.a.</v>
      </c>
      <c r="H17" s="80" t="str">
        <f>IFERROR(__xludf.DUMMYFUNCTION("IF(A17="""","""",IFNA(INDEX(FILTER('Profitability inputs'!$AH$6:$AH$205,'Profitability inputs'!$A$6:$A$205=A17,'Profitability inputs'!$C$6:$C$205=""TTM"",'Profitability inputs'!$AD$6:$AD$205=1),1),""n.a.""))"),"n.a.")</f>
        <v>n.a.</v>
      </c>
      <c r="I17" s="81" t="str">
        <f t="shared" si="1"/>
        <v>n.a.</v>
      </c>
      <c r="J17" s="81" t="str">
        <f t="shared" si="2"/>
        <v>n.a.</v>
      </c>
      <c r="K17" s="81" t="str">
        <f t="shared" si="3"/>
        <v>n.a.</v>
      </c>
      <c r="L17" s="14" t="str">
        <f t="shared" si="4"/>
        <v>n.a.</v>
      </c>
      <c r="M17" s="14" t="str">
        <f t="shared" si="5"/>
        <v>n.a.</v>
      </c>
      <c r="N17" s="80" t="str">
        <f>IFERROR(__xludf.DUMMYFUNCTION("IF(A17="""","""",IFNA(INDEX(FILTER('Profitability inputs'!$AI$6:$AI$205,'Profitability inputs'!$A$6:$A$205=A17,'Profitability inputs'!$C$6:$C$205=""TTM"",'Profitability inputs'!$AD$6:$AD$205=1),1),""n.a.""))"),"n.a.")</f>
        <v>n.a.</v>
      </c>
      <c r="O17" s="82" t="str">
        <f>IFERROR(__xludf.DUMMYFUNCTION("IF(A17="""","""",IF(AA17&lt;&gt;3,""n.a."",IF(OR(COUNT(FILTER('Profitability inputs'!$V$6:$V$205,'Profitability inputs'!$A$6:$A$205=A17,'Profitability inputs'!$AN$6:$AN$205=1))&lt;&gt;3,COUNT(FILTER('Profitability inputs'!$W$6:$W$205,'Profitability inputs'!$A$6:$A$20"&amp;"5=A17,'Profitability inputs'!$AN$6:$AN$205=1))&lt;&gt;3,SUMIFS('Profitability inputs'!$W$6:$W$205,'Profitability inputs'!$A$6:$A$205,A17,'Profitability inputs'!$AN$6:$AN$205,1)&lt;=0),""n.a."",SUMIFS('Profitability inputs'!$V$6:$V$205,'Profitability inputs'!$A$6:$"&amp;"A$205,A17,'Profitability inputs'!$AN$6:$AN$205,1)/SUMIFS('Profitability inputs'!$W$6:$W$205,'Profitability inputs'!$A$6:$A$205,A17,'Profitability inputs'!$AN$6:$AN$205,1))))"),"n.a.")</f>
        <v>n.a.</v>
      </c>
      <c r="P17" s="80" t="str">
        <f>IFERROR(__xludf.DUMMYFUNCTION("IF(A17="""","""",IF(AA17&lt;&gt;3,""n.a."",MEDIAN(FILTER('Profitability inputs'!$AG$6:$AG$205,'Profitability inputs'!$A$6:$A$205=A17,'Profitability inputs'!$AN$6:$AN$205=1))))"),"n.a.")</f>
        <v>n.a.</v>
      </c>
      <c r="Q17" s="80" t="str">
        <f>IFERROR(__xludf.DUMMYFUNCTION("IF(A17="""","""",IF(AA17&lt;&gt;3,""n.a."",MEDIAN(FILTER('Profitability inputs'!$AH$6:$AH$205,'Profitability inputs'!$A$6:$A$205=A17,'Profitability inputs'!$AN$6:$AN$205=1))))"),"n.a.")</f>
        <v>n.a.</v>
      </c>
      <c r="R17" s="83" t="str">
        <f t="shared" si="6"/>
        <v>n.a.</v>
      </c>
      <c r="S17" s="83" t="str">
        <f t="shared" si="7"/>
        <v>n.a.</v>
      </c>
      <c r="T17" s="80" t="str">
        <f>IFERROR(__xludf.DUMMYFUNCTION("IF(A17="""","""",IFNA(INDEX(FILTER('Profitability inputs'!$AJ$6:$AJ$205,'Profitability inputs'!$A$6:$A$205=A17,'Profitability inputs'!$C$6:$C$205=""TTM"",'Profitability inputs'!$AD$6:$AD$205=1),1),""n.a.""))"),"n.a.")</f>
        <v>n.a.</v>
      </c>
      <c r="U17" s="80" t="str">
        <f>IFERROR(__xludf.DUMMYFUNCTION("IF(A17="""","""",IFNA(INDEX(FILTER('Profitability inputs'!$AK$6:$AK$205,'Profitability inputs'!$A$6:$A$205=A17,'Profitability inputs'!$C$6:$C$205=""TTM"",'Profitability inputs'!$AD$6:$AD$205=1),1),""n.a.""))"),"n.a.")</f>
        <v>n.a.</v>
      </c>
      <c r="V17" s="14" t="str">
        <f>IF(A17="","",IF(Companies!R8&lt;&gt;1,"Outside cap/scope universe",IF(D17="","Set business cohort",IF(COUNTIFS('Profitability inputs'!$A$6:$A$205,A17,'Profitability inputs'!$C$6:$C$205,"TTM")=0,"Add TTM financials",IF(COUNTIFS('Profitability inputs'!$A$6:$A$205,A17,'Profitability inputs'!$C$6:$C$205,"TTM")&lt;&gt;1,"Duplicate TTM records",IF(X17&lt;&gt;1,"Check financial data/dates/profile",IF($B$9&lt;&gt;"Ready",$B$9,IF(M17&lt;$B$6,"Too few same-cohort companies","Ready"))))))))</f>
        <v>Outside cap/scope universe</v>
      </c>
      <c r="W17" s="14" t="str">
        <f t="shared" si="8"/>
        <v>ROIC unavailable; ROE unavailable; History incomplete</v>
      </c>
      <c r="X17" s="14">
        <f>IFERROR(__xludf.DUMMYFUNCTION("IF(A17="""","""",IFERROR(IF(AND(Companies!R8=1,ISNUMBER(C17),C17&gt;=$B$5,D17&lt;&gt;"""",COUNTIFS('Profitability inputs'!$A$6:$A$205,A17,'Profitability inputs'!$C$6:$C$205,""TTM"")=1,COUNTIFS('Profitability inputs'!$A$6:$A$205,A17,'Profitability inputs'!$C$6:$C$2"&amp;"05,""TTM"",'Profitability inputs'!$AD$6:$AD$205,1)=1,ISNUMBER(F17),F17&lt;=Rules!$B$6,Rules!$B$6-F17&lt;=Rules!$B$11,NOT(REGEXMATCH(LOWER(Companies!D8&amp;"" ""&amp;Companies!E8),""financial|bank|insurance|reit|real estate""))),1,0),0))"),0.0)</f>
        <v>0</v>
      </c>
      <c r="Y17" s="81" t="str">
        <f t="shared" si="9"/>
        <v>n.a.</v>
      </c>
      <c r="Z17" s="81" t="str">
        <f t="shared" si="10"/>
        <v>n.a.</v>
      </c>
      <c r="AA17" s="14">
        <f>IF(A17="","",COUNTIFS('Profitability inputs'!$A$6:$A$205,A17,'Profitability inputs'!$AN$6:$AN$205,1))</f>
        <v>0</v>
      </c>
      <c r="AB17" s="14" t="str">
        <f>IFERROR(__xludf.DUMMYFUNCTION("IF(A17="""","""",IFNA(INDEX(FILTER('Profitability inputs'!$AA$6:$AA$205,'Profitability inputs'!$A$6:$A$205=A17,'Profitability inputs'!$C$6:$C$205=""TTM"",'Profitability inputs'!$AD$6:$AD$205=1),1),""n.a.""))"),"n.a.")</f>
        <v>n.a.</v>
      </c>
    </row>
    <row r="18" ht="31.5" customHeight="1">
      <c r="A18" s="14" t="str">
        <f>IF(Companies!A9="","",Companies!A9)</f>
        <v>US-HD</v>
      </c>
      <c r="B18" s="14" t="str">
        <f>IF(A18="","",Companies!C9)</f>
        <v>Home Depot</v>
      </c>
      <c r="C18" s="78">
        <f>IF(A18="","",IF(ISNUMBER(Companies!I9),Companies!I9,"n.a."))</f>
        <v>282.2</v>
      </c>
      <c r="D18" s="79"/>
      <c r="E18" s="14" t="str">
        <f>IFERROR(__xludf.DUMMYFUNCTION("IF(A18="""","""",IFNA(INDEX(FILTER('Profitability inputs'!$G$6:$G$205,'Profitability inputs'!$A$6:$A$205=A18,'Profitability inputs'!$C$6:$C$205=""TTM"",'Profitability inputs'!$AD$6:$AD$205=1),1),""n.a.""))"),"n.a.")</f>
        <v>n.a.</v>
      </c>
      <c r="F18" s="20" t="str">
        <f>IFERROR(__xludf.DUMMYFUNCTION("IF(A18="""","""",IFNA(INDEX(FILTER('Profitability inputs'!$D$6:$D$205,'Profitability inputs'!$A$6:$A$205=A18,'Profitability inputs'!$C$6:$C$205=""TTM"",'Profitability inputs'!$AD$6:$AD$205=1),1),""n.a.""))"),"n.a.")</f>
        <v>n.a.</v>
      </c>
      <c r="G18" s="80" t="str">
        <f>IFERROR(__xludf.DUMMYFUNCTION("IF(A18="""","""",IFNA(INDEX(FILTER('Profitability inputs'!$AG$6:$AG$205,'Profitability inputs'!$A$6:$A$205=A18,'Profitability inputs'!$C$6:$C$205=""TTM"",'Profitability inputs'!$AD$6:$AD$205=1),1),""n.a.""))"),"n.a.")</f>
        <v>n.a.</v>
      </c>
      <c r="H18" s="80" t="str">
        <f>IFERROR(__xludf.DUMMYFUNCTION("IF(A18="""","""",IFNA(INDEX(FILTER('Profitability inputs'!$AH$6:$AH$205,'Profitability inputs'!$A$6:$A$205=A18,'Profitability inputs'!$C$6:$C$205=""TTM"",'Profitability inputs'!$AD$6:$AD$205=1),1),""n.a.""))"),"n.a.")</f>
        <v>n.a.</v>
      </c>
      <c r="I18" s="81" t="str">
        <f t="shared" si="1"/>
        <v>n.a.</v>
      </c>
      <c r="J18" s="81" t="str">
        <f t="shared" si="2"/>
        <v>n.a.</v>
      </c>
      <c r="K18" s="81" t="str">
        <f t="shared" si="3"/>
        <v>n.a.</v>
      </c>
      <c r="L18" s="14" t="str">
        <f t="shared" si="4"/>
        <v>n.a.</v>
      </c>
      <c r="M18" s="14" t="str">
        <f t="shared" si="5"/>
        <v>n.a.</v>
      </c>
      <c r="N18" s="80" t="str">
        <f>IFERROR(__xludf.DUMMYFUNCTION("IF(A18="""","""",IFNA(INDEX(FILTER('Profitability inputs'!$AI$6:$AI$205,'Profitability inputs'!$A$6:$A$205=A18,'Profitability inputs'!$C$6:$C$205=""TTM"",'Profitability inputs'!$AD$6:$AD$205=1),1),""n.a.""))"),"n.a.")</f>
        <v>n.a.</v>
      </c>
      <c r="O18" s="82" t="str">
        <f>IFERROR(__xludf.DUMMYFUNCTION("IF(A18="""","""",IF(AA18&lt;&gt;3,""n.a."",IF(OR(COUNT(FILTER('Profitability inputs'!$V$6:$V$205,'Profitability inputs'!$A$6:$A$205=A18,'Profitability inputs'!$AN$6:$AN$205=1))&lt;&gt;3,COUNT(FILTER('Profitability inputs'!$W$6:$W$205,'Profitability inputs'!$A$6:$A$20"&amp;"5=A18,'Profitability inputs'!$AN$6:$AN$205=1))&lt;&gt;3,SUMIFS('Profitability inputs'!$W$6:$W$205,'Profitability inputs'!$A$6:$A$205,A18,'Profitability inputs'!$AN$6:$AN$205,1)&lt;=0),""n.a."",SUMIFS('Profitability inputs'!$V$6:$V$205,'Profitability inputs'!$A$6:$"&amp;"A$205,A18,'Profitability inputs'!$AN$6:$AN$205,1)/SUMIFS('Profitability inputs'!$W$6:$W$205,'Profitability inputs'!$A$6:$A$205,A18,'Profitability inputs'!$AN$6:$AN$205,1))))"),"n.a.")</f>
        <v>n.a.</v>
      </c>
      <c r="P18" s="80" t="str">
        <f>IFERROR(__xludf.DUMMYFUNCTION("IF(A18="""","""",IF(AA18&lt;&gt;3,""n.a."",MEDIAN(FILTER('Profitability inputs'!$AG$6:$AG$205,'Profitability inputs'!$A$6:$A$205=A18,'Profitability inputs'!$AN$6:$AN$205=1))))"),"n.a.")</f>
        <v>n.a.</v>
      </c>
      <c r="Q18" s="80" t="str">
        <f>IFERROR(__xludf.DUMMYFUNCTION("IF(A18="""","""",IF(AA18&lt;&gt;3,""n.a."",MEDIAN(FILTER('Profitability inputs'!$AH$6:$AH$205,'Profitability inputs'!$A$6:$A$205=A18,'Profitability inputs'!$AN$6:$AN$205=1))))"),"n.a.")</f>
        <v>n.a.</v>
      </c>
      <c r="R18" s="83" t="str">
        <f t="shared" si="6"/>
        <v>n.a.</v>
      </c>
      <c r="S18" s="83" t="str">
        <f t="shared" si="7"/>
        <v>n.a.</v>
      </c>
      <c r="T18" s="80" t="str">
        <f>IFERROR(__xludf.DUMMYFUNCTION("IF(A18="""","""",IFNA(INDEX(FILTER('Profitability inputs'!$AJ$6:$AJ$205,'Profitability inputs'!$A$6:$A$205=A18,'Profitability inputs'!$C$6:$C$205=""TTM"",'Profitability inputs'!$AD$6:$AD$205=1),1),""n.a.""))"),"n.a.")</f>
        <v>n.a.</v>
      </c>
      <c r="U18" s="80" t="str">
        <f>IFERROR(__xludf.DUMMYFUNCTION("IF(A18="""","""",IFNA(INDEX(FILTER('Profitability inputs'!$AK$6:$AK$205,'Profitability inputs'!$A$6:$A$205=A18,'Profitability inputs'!$C$6:$C$205=""TTM"",'Profitability inputs'!$AD$6:$AD$205=1),1),""n.a.""))"),"n.a.")</f>
        <v>n.a.</v>
      </c>
      <c r="V18" s="14" t="str">
        <f>IF(A18="","",IF(Companies!R9&lt;&gt;1,"Outside cap/scope universe",IF(D18="","Set business cohort",IF(COUNTIFS('Profitability inputs'!$A$6:$A$205,A18,'Profitability inputs'!$C$6:$C$205,"TTM")=0,"Add TTM financials",IF(COUNTIFS('Profitability inputs'!$A$6:$A$205,A18,'Profitability inputs'!$C$6:$C$205,"TTM")&lt;&gt;1,"Duplicate TTM records",IF(X18&lt;&gt;1,"Check financial data/dates/profile",IF($B$9&lt;&gt;"Ready",$B$9,IF(M18&lt;$B$6,"Too few same-cohort companies","Ready"))))))))</f>
        <v>Outside cap/scope universe</v>
      </c>
      <c r="W18" s="14" t="str">
        <f t="shared" si="8"/>
        <v>ROIC unavailable; ROE unavailable; History incomplete</v>
      </c>
      <c r="X18" s="14">
        <f>IFERROR(__xludf.DUMMYFUNCTION("IF(A18="""","""",IFERROR(IF(AND(Companies!R9=1,ISNUMBER(C18),C18&gt;=$B$5,D18&lt;&gt;"""",COUNTIFS('Profitability inputs'!$A$6:$A$205,A18,'Profitability inputs'!$C$6:$C$205,""TTM"")=1,COUNTIFS('Profitability inputs'!$A$6:$A$205,A18,'Profitability inputs'!$C$6:$C$2"&amp;"05,""TTM"",'Profitability inputs'!$AD$6:$AD$205,1)=1,ISNUMBER(F18),F18&lt;=Rules!$B$6,Rules!$B$6-F18&lt;=Rules!$B$11,NOT(REGEXMATCH(LOWER(Companies!D9&amp;"" ""&amp;Companies!E9),""financial|bank|insurance|reit|real estate""))),1,0),0))"),0.0)</f>
        <v>0</v>
      </c>
      <c r="Y18" s="81" t="str">
        <f t="shared" si="9"/>
        <v>n.a.</v>
      </c>
      <c r="Z18" s="81" t="str">
        <f t="shared" si="10"/>
        <v>n.a.</v>
      </c>
      <c r="AA18" s="14">
        <f>IF(A18="","",COUNTIFS('Profitability inputs'!$A$6:$A$205,A18,'Profitability inputs'!$AN$6:$AN$205,1))</f>
        <v>0</v>
      </c>
      <c r="AB18" s="14" t="str">
        <f>IFERROR(__xludf.DUMMYFUNCTION("IF(A18="""","""",IFNA(INDEX(FILTER('Profitability inputs'!$AA$6:$AA$205,'Profitability inputs'!$A$6:$A$205=A18,'Profitability inputs'!$C$6:$C$205=""TTM"",'Profitability inputs'!$AD$6:$AD$205=1),1),""n.a.""))"),"n.a.")</f>
        <v>n.a.</v>
      </c>
    </row>
    <row r="19" ht="31.5" customHeight="1">
      <c r="A19" s="14" t="str">
        <f>IF(Companies!A10="","",Companies!A10)</f>
        <v>US-IBM</v>
      </c>
      <c r="B19" s="14" t="str">
        <f>IF(A19="","",Companies!C10)</f>
        <v>IBM</v>
      </c>
      <c r="C19" s="78">
        <f>IF(A19="","",IF(ISNUMBER(Companies!I10),Companies!I10,"n.a."))</f>
        <v>209.76</v>
      </c>
      <c r="D19" s="79"/>
      <c r="E19" s="14" t="str">
        <f>IFERROR(__xludf.DUMMYFUNCTION("IF(A19="""","""",IFNA(INDEX(FILTER('Profitability inputs'!$G$6:$G$205,'Profitability inputs'!$A$6:$A$205=A19,'Profitability inputs'!$C$6:$C$205=""TTM"",'Profitability inputs'!$AD$6:$AD$205=1),1),""n.a.""))"),"n.a.")</f>
        <v>n.a.</v>
      </c>
      <c r="F19" s="20" t="str">
        <f>IFERROR(__xludf.DUMMYFUNCTION("IF(A19="""","""",IFNA(INDEX(FILTER('Profitability inputs'!$D$6:$D$205,'Profitability inputs'!$A$6:$A$205=A19,'Profitability inputs'!$C$6:$C$205=""TTM"",'Profitability inputs'!$AD$6:$AD$205=1),1),""n.a.""))"),"n.a.")</f>
        <v>n.a.</v>
      </c>
      <c r="G19" s="80" t="str">
        <f>IFERROR(__xludf.DUMMYFUNCTION("IF(A19="""","""",IFNA(INDEX(FILTER('Profitability inputs'!$AG$6:$AG$205,'Profitability inputs'!$A$6:$A$205=A19,'Profitability inputs'!$C$6:$C$205=""TTM"",'Profitability inputs'!$AD$6:$AD$205=1),1),""n.a.""))"),"n.a.")</f>
        <v>n.a.</v>
      </c>
      <c r="H19" s="80" t="str">
        <f>IFERROR(__xludf.DUMMYFUNCTION("IF(A19="""","""",IFNA(INDEX(FILTER('Profitability inputs'!$AH$6:$AH$205,'Profitability inputs'!$A$6:$A$205=A19,'Profitability inputs'!$C$6:$C$205=""TTM"",'Profitability inputs'!$AD$6:$AD$205=1),1),""n.a.""))"),"n.a.")</f>
        <v>n.a.</v>
      </c>
      <c r="I19" s="81" t="str">
        <f t="shared" si="1"/>
        <v>n.a.</v>
      </c>
      <c r="J19" s="81" t="str">
        <f t="shared" si="2"/>
        <v>n.a.</v>
      </c>
      <c r="K19" s="81" t="str">
        <f t="shared" si="3"/>
        <v>n.a.</v>
      </c>
      <c r="L19" s="14" t="str">
        <f t="shared" si="4"/>
        <v>n.a.</v>
      </c>
      <c r="M19" s="14" t="str">
        <f t="shared" si="5"/>
        <v>n.a.</v>
      </c>
      <c r="N19" s="80" t="str">
        <f>IFERROR(__xludf.DUMMYFUNCTION("IF(A19="""","""",IFNA(INDEX(FILTER('Profitability inputs'!$AI$6:$AI$205,'Profitability inputs'!$A$6:$A$205=A19,'Profitability inputs'!$C$6:$C$205=""TTM"",'Profitability inputs'!$AD$6:$AD$205=1),1),""n.a.""))"),"n.a.")</f>
        <v>n.a.</v>
      </c>
      <c r="O19" s="82" t="str">
        <f>IFERROR(__xludf.DUMMYFUNCTION("IF(A19="""","""",IF(AA19&lt;&gt;3,""n.a."",IF(OR(COUNT(FILTER('Profitability inputs'!$V$6:$V$205,'Profitability inputs'!$A$6:$A$205=A19,'Profitability inputs'!$AN$6:$AN$205=1))&lt;&gt;3,COUNT(FILTER('Profitability inputs'!$W$6:$W$205,'Profitability inputs'!$A$6:$A$20"&amp;"5=A19,'Profitability inputs'!$AN$6:$AN$205=1))&lt;&gt;3,SUMIFS('Profitability inputs'!$W$6:$W$205,'Profitability inputs'!$A$6:$A$205,A19,'Profitability inputs'!$AN$6:$AN$205,1)&lt;=0),""n.a."",SUMIFS('Profitability inputs'!$V$6:$V$205,'Profitability inputs'!$A$6:$"&amp;"A$205,A19,'Profitability inputs'!$AN$6:$AN$205,1)/SUMIFS('Profitability inputs'!$W$6:$W$205,'Profitability inputs'!$A$6:$A$205,A19,'Profitability inputs'!$AN$6:$AN$205,1))))"),"n.a.")</f>
        <v>n.a.</v>
      </c>
      <c r="P19" s="80" t="str">
        <f>IFERROR(__xludf.DUMMYFUNCTION("IF(A19="""","""",IF(AA19&lt;&gt;3,""n.a."",MEDIAN(FILTER('Profitability inputs'!$AG$6:$AG$205,'Profitability inputs'!$A$6:$A$205=A19,'Profitability inputs'!$AN$6:$AN$205=1))))"),"n.a.")</f>
        <v>n.a.</v>
      </c>
      <c r="Q19" s="80" t="str">
        <f>IFERROR(__xludf.DUMMYFUNCTION("IF(A19="""","""",IF(AA19&lt;&gt;3,""n.a."",MEDIAN(FILTER('Profitability inputs'!$AH$6:$AH$205,'Profitability inputs'!$A$6:$A$205=A19,'Profitability inputs'!$AN$6:$AN$205=1))))"),"n.a.")</f>
        <v>n.a.</v>
      </c>
      <c r="R19" s="83" t="str">
        <f t="shared" si="6"/>
        <v>n.a.</v>
      </c>
      <c r="S19" s="83" t="str">
        <f t="shared" si="7"/>
        <v>n.a.</v>
      </c>
      <c r="T19" s="80" t="str">
        <f>IFERROR(__xludf.DUMMYFUNCTION("IF(A19="""","""",IFNA(INDEX(FILTER('Profitability inputs'!$AJ$6:$AJ$205,'Profitability inputs'!$A$6:$A$205=A19,'Profitability inputs'!$C$6:$C$205=""TTM"",'Profitability inputs'!$AD$6:$AD$205=1),1),""n.a.""))"),"n.a.")</f>
        <v>n.a.</v>
      </c>
      <c r="U19" s="80" t="str">
        <f>IFERROR(__xludf.DUMMYFUNCTION("IF(A19="""","""",IFNA(INDEX(FILTER('Profitability inputs'!$AK$6:$AK$205,'Profitability inputs'!$A$6:$A$205=A19,'Profitability inputs'!$C$6:$C$205=""TTM"",'Profitability inputs'!$AD$6:$AD$205=1),1),""n.a.""))"),"n.a.")</f>
        <v>n.a.</v>
      </c>
      <c r="V19" s="14" t="str">
        <f>IF(A19="","",IF(Companies!R10&lt;&gt;1,"Outside cap/scope universe",IF(D19="","Set business cohort",IF(COUNTIFS('Profitability inputs'!$A$6:$A$205,A19,'Profitability inputs'!$C$6:$C$205,"TTM")=0,"Add TTM financials",IF(COUNTIFS('Profitability inputs'!$A$6:$A$205,A19,'Profitability inputs'!$C$6:$C$205,"TTM")&lt;&gt;1,"Duplicate TTM records",IF(X19&lt;&gt;1,"Check financial data/dates/profile",IF($B$9&lt;&gt;"Ready",$B$9,IF(M19&lt;$B$6,"Too few same-cohort companies","Ready"))))))))</f>
        <v>Outside cap/scope universe</v>
      </c>
      <c r="W19" s="14" t="str">
        <f t="shared" si="8"/>
        <v>ROIC unavailable; ROE unavailable; History incomplete</v>
      </c>
      <c r="X19" s="14">
        <f>IFERROR(__xludf.DUMMYFUNCTION("IF(A19="""","""",IFERROR(IF(AND(Companies!R10=1,ISNUMBER(C19),C19&gt;=$B$5,D19&lt;&gt;"""",COUNTIFS('Profitability inputs'!$A$6:$A$205,A19,'Profitability inputs'!$C$6:$C$205,""TTM"")=1,COUNTIFS('Profitability inputs'!$A$6:$A$205,A19,'Profitability inputs'!$C$6:$C$"&amp;"205,""TTM"",'Profitability inputs'!$AD$6:$AD$205,1)=1,ISNUMBER(F19),F19&lt;=Rules!$B$6,Rules!$B$6-F19&lt;=Rules!$B$11,NOT(REGEXMATCH(LOWER(Companies!D10&amp;"" ""&amp;Companies!E10),""financial|bank|insurance|reit|real estate""))),1,0),0))"),0.0)</f>
        <v>0</v>
      </c>
      <c r="Y19" s="81" t="str">
        <f t="shared" si="9"/>
        <v>n.a.</v>
      </c>
      <c r="Z19" s="81" t="str">
        <f t="shared" si="10"/>
        <v>n.a.</v>
      </c>
      <c r="AA19" s="14">
        <f>IF(A19="","",COUNTIFS('Profitability inputs'!$A$6:$A$205,A19,'Profitability inputs'!$AN$6:$AN$205,1))</f>
        <v>0</v>
      </c>
      <c r="AB19" s="14" t="str">
        <f>IFERROR(__xludf.DUMMYFUNCTION("IF(A19="""","""",IFNA(INDEX(FILTER('Profitability inputs'!$AA$6:$AA$205,'Profitability inputs'!$A$6:$A$205=A19,'Profitability inputs'!$C$6:$C$205=""TTM"",'Profitability inputs'!$AD$6:$AD$205=1),1),""n.a.""))"),"n.a.")</f>
        <v>n.a.</v>
      </c>
    </row>
    <row r="20" ht="31.5" customHeight="1">
      <c r="A20" s="14" t="str">
        <f>IF(Companies!A11="","",Companies!A11)</f>
        <v>US-VZ</v>
      </c>
      <c r="B20" s="14" t="str">
        <f>IF(A20="","",Companies!C11)</f>
        <v>Verizon</v>
      </c>
      <c r="C20" s="78">
        <f>IF(A20="","",IF(ISNUMBER(Companies!I11),Companies!I11,"n.a."))</f>
        <v>190.79</v>
      </c>
      <c r="D20" s="79"/>
      <c r="E20" s="14" t="str">
        <f>IFERROR(__xludf.DUMMYFUNCTION("IF(A20="""","""",IFNA(INDEX(FILTER('Profitability inputs'!$G$6:$G$205,'Profitability inputs'!$A$6:$A$205=A20,'Profitability inputs'!$C$6:$C$205=""TTM"",'Profitability inputs'!$AD$6:$AD$205=1),1),""n.a.""))"),"n.a.")</f>
        <v>n.a.</v>
      </c>
      <c r="F20" s="20" t="str">
        <f>IFERROR(__xludf.DUMMYFUNCTION("IF(A20="""","""",IFNA(INDEX(FILTER('Profitability inputs'!$D$6:$D$205,'Profitability inputs'!$A$6:$A$205=A20,'Profitability inputs'!$C$6:$C$205=""TTM"",'Profitability inputs'!$AD$6:$AD$205=1),1),""n.a.""))"),"n.a.")</f>
        <v>n.a.</v>
      </c>
      <c r="G20" s="80" t="str">
        <f>IFERROR(__xludf.DUMMYFUNCTION("IF(A20="""","""",IFNA(INDEX(FILTER('Profitability inputs'!$AG$6:$AG$205,'Profitability inputs'!$A$6:$A$205=A20,'Profitability inputs'!$C$6:$C$205=""TTM"",'Profitability inputs'!$AD$6:$AD$205=1),1),""n.a.""))"),"n.a.")</f>
        <v>n.a.</v>
      </c>
      <c r="H20" s="80" t="str">
        <f>IFERROR(__xludf.DUMMYFUNCTION("IF(A20="""","""",IFNA(INDEX(FILTER('Profitability inputs'!$AH$6:$AH$205,'Profitability inputs'!$A$6:$A$205=A20,'Profitability inputs'!$C$6:$C$205=""TTM"",'Profitability inputs'!$AD$6:$AD$205=1),1),""n.a.""))"),"n.a.")</f>
        <v>n.a.</v>
      </c>
      <c r="I20" s="81" t="str">
        <f t="shared" si="1"/>
        <v>n.a.</v>
      </c>
      <c r="J20" s="81" t="str">
        <f t="shared" si="2"/>
        <v>n.a.</v>
      </c>
      <c r="K20" s="81" t="str">
        <f t="shared" si="3"/>
        <v>n.a.</v>
      </c>
      <c r="L20" s="14" t="str">
        <f t="shared" si="4"/>
        <v>n.a.</v>
      </c>
      <c r="M20" s="14" t="str">
        <f t="shared" si="5"/>
        <v>n.a.</v>
      </c>
      <c r="N20" s="80" t="str">
        <f>IFERROR(__xludf.DUMMYFUNCTION("IF(A20="""","""",IFNA(INDEX(FILTER('Profitability inputs'!$AI$6:$AI$205,'Profitability inputs'!$A$6:$A$205=A20,'Profitability inputs'!$C$6:$C$205=""TTM"",'Profitability inputs'!$AD$6:$AD$205=1),1),""n.a.""))"),"n.a.")</f>
        <v>n.a.</v>
      </c>
      <c r="O20" s="82" t="str">
        <f>IFERROR(__xludf.DUMMYFUNCTION("IF(A20="""","""",IF(AA20&lt;&gt;3,""n.a."",IF(OR(COUNT(FILTER('Profitability inputs'!$V$6:$V$205,'Profitability inputs'!$A$6:$A$205=A20,'Profitability inputs'!$AN$6:$AN$205=1))&lt;&gt;3,COUNT(FILTER('Profitability inputs'!$W$6:$W$205,'Profitability inputs'!$A$6:$A$20"&amp;"5=A20,'Profitability inputs'!$AN$6:$AN$205=1))&lt;&gt;3,SUMIFS('Profitability inputs'!$W$6:$W$205,'Profitability inputs'!$A$6:$A$205,A20,'Profitability inputs'!$AN$6:$AN$205,1)&lt;=0),""n.a."",SUMIFS('Profitability inputs'!$V$6:$V$205,'Profitability inputs'!$A$6:$"&amp;"A$205,A20,'Profitability inputs'!$AN$6:$AN$205,1)/SUMIFS('Profitability inputs'!$W$6:$W$205,'Profitability inputs'!$A$6:$A$205,A20,'Profitability inputs'!$AN$6:$AN$205,1))))"),"n.a.")</f>
        <v>n.a.</v>
      </c>
      <c r="P20" s="80" t="str">
        <f>IFERROR(__xludf.DUMMYFUNCTION("IF(A20="""","""",IF(AA20&lt;&gt;3,""n.a."",MEDIAN(FILTER('Profitability inputs'!$AG$6:$AG$205,'Profitability inputs'!$A$6:$A$205=A20,'Profitability inputs'!$AN$6:$AN$205=1))))"),"n.a.")</f>
        <v>n.a.</v>
      </c>
      <c r="Q20" s="80" t="str">
        <f>IFERROR(__xludf.DUMMYFUNCTION("IF(A20="""","""",IF(AA20&lt;&gt;3,""n.a."",MEDIAN(FILTER('Profitability inputs'!$AH$6:$AH$205,'Profitability inputs'!$A$6:$A$205=A20,'Profitability inputs'!$AN$6:$AN$205=1))))"),"n.a.")</f>
        <v>n.a.</v>
      </c>
      <c r="R20" s="83" t="str">
        <f t="shared" si="6"/>
        <v>n.a.</v>
      </c>
      <c r="S20" s="83" t="str">
        <f t="shared" si="7"/>
        <v>n.a.</v>
      </c>
      <c r="T20" s="80" t="str">
        <f>IFERROR(__xludf.DUMMYFUNCTION("IF(A20="""","""",IFNA(INDEX(FILTER('Profitability inputs'!$AJ$6:$AJ$205,'Profitability inputs'!$A$6:$A$205=A20,'Profitability inputs'!$C$6:$C$205=""TTM"",'Profitability inputs'!$AD$6:$AD$205=1),1),""n.a.""))"),"n.a.")</f>
        <v>n.a.</v>
      </c>
      <c r="U20" s="80" t="str">
        <f>IFERROR(__xludf.DUMMYFUNCTION("IF(A20="""","""",IFNA(INDEX(FILTER('Profitability inputs'!$AK$6:$AK$205,'Profitability inputs'!$A$6:$A$205=A20,'Profitability inputs'!$C$6:$C$205=""TTM"",'Profitability inputs'!$AD$6:$AD$205=1),1),""n.a.""))"),"n.a.")</f>
        <v>n.a.</v>
      </c>
      <c r="V20" s="14" t="str">
        <f>IF(A20="","",IF(Companies!R11&lt;&gt;1,"Outside cap/scope universe",IF(D20="","Set business cohort",IF(COUNTIFS('Profitability inputs'!$A$6:$A$205,A20,'Profitability inputs'!$C$6:$C$205,"TTM")=0,"Add TTM financials",IF(COUNTIFS('Profitability inputs'!$A$6:$A$205,A20,'Profitability inputs'!$C$6:$C$205,"TTM")&lt;&gt;1,"Duplicate TTM records",IF(X20&lt;&gt;1,"Check financial data/dates/profile",IF($B$9&lt;&gt;"Ready",$B$9,IF(M20&lt;$B$6,"Too few same-cohort companies","Ready"))))))))</f>
        <v>Outside cap/scope universe</v>
      </c>
      <c r="W20" s="14" t="str">
        <f t="shared" si="8"/>
        <v>ROIC unavailable; ROE unavailable; History incomplete</v>
      </c>
      <c r="X20" s="14">
        <f>IFERROR(__xludf.DUMMYFUNCTION("IF(A20="""","""",IFERROR(IF(AND(Companies!R11=1,ISNUMBER(C20),C20&gt;=$B$5,D20&lt;&gt;"""",COUNTIFS('Profitability inputs'!$A$6:$A$205,A20,'Profitability inputs'!$C$6:$C$205,""TTM"")=1,COUNTIFS('Profitability inputs'!$A$6:$A$205,A20,'Profitability inputs'!$C$6:$C$"&amp;"205,""TTM"",'Profitability inputs'!$AD$6:$AD$205,1)=1,ISNUMBER(F20),F20&lt;=Rules!$B$6,Rules!$B$6-F20&lt;=Rules!$B$11,NOT(REGEXMATCH(LOWER(Companies!D11&amp;"" ""&amp;Companies!E11),""financial|bank|insurance|reit|real estate""))),1,0),0))"),0.0)</f>
        <v>0</v>
      </c>
      <c r="Y20" s="81" t="str">
        <f t="shared" si="9"/>
        <v>n.a.</v>
      </c>
      <c r="Z20" s="81" t="str">
        <f t="shared" si="10"/>
        <v>n.a.</v>
      </c>
      <c r="AA20" s="14">
        <f>IF(A20="","",COUNTIFS('Profitability inputs'!$A$6:$A$205,A20,'Profitability inputs'!$AN$6:$AN$205,1))</f>
        <v>0</v>
      </c>
      <c r="AB20" s="14" t="str">
        <f>IFERROR(__xludf.DUMMYFUNCTION("IF(A20="""","""",IFNA(INDEX(FILTER('Profitability inputs'!$AA$6:$AA$205,'Profitability inputs'!$A$6:$A$205=A20,'Profitability inputs'!$C$6:$C$205=""TTM"",'Profitability inputs'!$AD$6:$AD$205=1),1),""n.a.""))"),"n.a.")</f>
        <v>n.a.</v>
      </c>
    </row>
    <row r="21" ht="31.5" customHeight="1">
      <c r="A21" s="14" t="str">
        <f>IF(Companies!A12="","",Companies!A12)</f>
        <v>US-HON</v>
      </c>
      <c r="B21" s="14" t="str">
        <f>IF(A21="","",Companies!C12)</f>
        <v>Honeywell Technologies</v>
      </c>
      <c r="C21" s="78">
        <f>IF(A21="","",IF(ISNUMBER(Companies!I12),Companies!I12,"n.a."))</f>
        <v>67.82</v>
      </c>
      <c r="D21" s="79"/>
      <c r="E21" s="14" t="str">
        <f>IFERROR(__xludf.DUMMYFUNCTION("IF(A21="""","""",IFNA(INDEX(FILTER('Profitability inputs'!$G$6:$G$205,'Profitability inputs'!$A$6:$A$205=A21,'Profitability inputs'!$C$6:$C$205=""TTM"",'Profitability inputs'!$AD$6:$AD$205=1),1),""n.a.""))"),"n.a.")</f>
        <v>n.a.</v>
      </c>
      <c r="F21" s="20" t="str">
        <f>IFERROR(__xludf.DUMMYFUNCTION("IF(A21="""","""",IFNA(INDEX(FILTER('Profitability inputs'!$D$6:$D$205,'Profitability inputs'!$A$6:$A$205=A21,'Profitability inputs'!$C$6:$C$205=""TTM"",'Profitability inputs'!$AD$6:$AD$205=1),1),""n.a.""))"),"n.a.")</f>
        <v>n.a.</v>
      </c>
      <c r="G21" s="80" t="str">
        <f>IFERROR(__xludf.DUMMYFUNCTION("IF(A21="""","""",IFNA(INDEX(FILTER('Profitability inputs'!$AG$6:$AG$205,'Profitability inputs'!$A$6:$A$205=A21,'Profitability inputs'!$C$6:$C$205=""TTM"",'Profitability inputs'!$AD$6:$AD$205=1),1),""n.a.""))"),"n.a.")</f>
        <v>n.a.</v>
      </c>
      <c r="H21" s="80" t="str">
        <f>IFERROR(__xludf.DUMMYFUNCTION("IF(A21="""","""",IFNA(INDEX(FILTER('Profitability inputs'!$AH$6:$AH$205,'Profitability inputs'!$A$6:$A$205=A21,'Profitability inputs'!$C$6:$C$205=""TTM"",'Profitability inputs'!$AD$6:$AD$205=1),1),""n.a.""))"),"n.a.")</f>
        <v>n.a.</v>
      </c>
      <c r="I21" s="81" t="str">
        <f t="shared" si="1"/>
        <v>n.a.</v>
      </c>
      <c r="J21" s="81" t="str">
        <f t="shared" si="2"/>
        <v>n.a.</v>
      </c>
      <c r="K21" s="81" t="str">
        <f t="shared" si="3"/>
        <v>n.a.</v>
      </c>
      <c r="L21" s="14" t="str">
        <f t="shared" si="4"/>
        <v>n.a.</v>
      </c>
      <c r="M21" s="14" t="str">
        <f t="shared" si="5"/>
        <v>n.a.</v>
      </c>
      <c r="N21" s="80" t="str">
        <f>IFERROR(__xludf.DUMMYFUNCTION("IF(A21="""","""",IFNA(INDEX(FILTER('Profitability inputs'!$AI$6:$AI$205,'Profitability inputs'!$A$6:$A$205=A21,'Profitability inputs'!$C$6:$C$205=""TTM"",'Profitability inputs'!$AD$6:$AD$205=1),1),""n.a.""))"),"n.a.")</f>
        <v>n.a.</v>
      </c>
      <c r="O21" s="82" t="str">
        <f>IFERROR(__xludf.DUMMYFUNCTION("IF(A21="""","""",IF(AA21&lt;&gt;3,""n.a."",IF(OR(COUNT(FILTER('Profitability inputs'!$V$6:$V$205,'Profitability inputs'!$A$6:$A$205=A21,'Profitability inputs'!$AN$6:$AN$205=1))&lt;&gt;3,COUNT(FILTER('Profitability inputs'!$W$6:$W$205,'Profitability inputs'!$A$6:$A$20"&amp;"5=A21,'Profitability inputs'!$AN$6:$AN$205=1))&lt;&gt;3,SUMIFS('Profitability inputs'!$W$6:$W$205,'Profitability inputs'!$A$6:$A$205,A21,'Profitability inputs'!$AN$6:$AN$205,1)&lt;=0),""n.a."",SUMIFS('Profitability inputs'!$V$6:$V$205,'Profitability inputs'!$A$6:$"&amp;"A$205,A21,'Profitability inputs'!$AN$6:$AN$205,1)/SUMIFS('Profitability inputs'!$W$6:$W$205,'Profitability inputs'!$A$6:$A$205,A21,'Profitability inputs'!$AN$6:$AN$205,1))))"),"n.a.")</f>
        <v>n.a.</v>
      </c>
      <c r="P21" s="80" t="str">
        <f>IFERROR(__xludf.DUMMYFUNCTION("IF(A21="""","""",IF(AA21&lt;&gt;3,""n.a."",MEDIAN(FILTER('Profitability inputs'!$AG$6:$AG$205,'Profitability inputs'!$A$6:$A$205=A21,'Profitability inputs'!$AN$6:$AN$205=1))))"),"n.a.")</f>
        <v>n.a.</v>
      </c>
      <c r="Q21" s="80" t="str">
        <f>IFERROR(__xludf.DUMMYFUNCTION("IF(A21="""","""",IF(AA21&lt;&gt;3,""n.a."",MEDIAN(FILTER('Profitability inputs'!$AH$6:$AH$205,'Profitability inputs'!$A$6:$A$205=A21,'Profitability inputs'!$AN$6:$AN$205=1))))"),"n.a.")</f>
        <v>n.a.</v>
      </c>
      <c r="R21" s="83" t="str">
        <f t="shared" si="6"/>
        <v>n.a.</v>
      </c>
      <c r="S21" s="83" t="str">
        <f t="shared" si="7"/>
        <v>n.a.</v>
      </c>
      <c r="T21" s="80" t="str">
        <f>IFERROR(__xludf.DUMMYFUNCTION("IF(A21="""","""",IFNA(INDEX(FILTER('Profitability inputs'!$AJ$6:$AJ$205,'Profitability inputs'!$A$6:$A$205=A21,'Profitability inputs'!$C$6:$C$205=""TTM"",'Profitability inputs'!$AD$6:$AD$205=1),1),""n.a.""))"),"n.a.")</f>
        <v>n.a.</v>
      </c>
      <c r="U21" s="80" t="str">
        <f>IFERROR(__xludf.DUMMYFUNCTION("IF(A21="""","""",IFNA(INDEX(FILTER('Profitability inputs'!$AK$6:$AK$205,'Profitability inputs'!$A$6:$A$205=A21,'Profitability inputs'!$C$6:$C$205=""TTM"",'Profitability inputs'!$AD$6:$AD$205=1),1),""n.a.""))"),"n.a.")</f>
        <v>n.a.</v>
      </c>
      <c r="V21" s="14" t="str">
        <f>IF(A21="","",IF(Companies!R12&lt;&gt;1,"Outside cap/scope universe",IF(D21="","Set business cohort",IF(COUNTIFS('Profitability inputs'!$A$6:$A$205,A21,'Profitability inputs'!$C$6:$C$205,"TTM")=0,"Add TTM financials",IF(COUNTIFS('Profitability inputs'!$A$6:$A$205,A21,'Profitability inputs'!$C$6:$C$205,"TTM")&lt;&gt;1,"Duplicate TTM records",IF(X21&lt;&gt;1,"Check financial data/dates/profile",IF($B$9&lt;&gt;"Ready",$B$9,IF(M21&lt;$B$6,"Too few same-cohort companies","Ready"))))))))</f>
        <v>Outside cap/scope universe</v>
      </c>
      <c r="W21" s="14" t="str">
        <f t="shared" si="8"/>
        <v>ROIC unavailable; ROE unavailable; History incomplete</v>
      </c>
      <c r="X21" s="14">
        <f>IFERROR(__xludf.DUMMYFUNCTION("IF(A21="""","""",IFERROR(IF(AND(Companies!R12=1,ISNUMBER(C21),C21&gt;=$B$5,D21&lt;&gt;"""",COUNTIFS('Profitability inputs'!$A$6:$A$205,A21,'Profitability inputs'!$C$6:$C$205,""TTM"")=1,COUNTIFS('Profitability inputs'!$A$6:$A$205,A21,'Profitability inputs'!$C$6:$C$"&amp;"205,""TTM"",'Profitability inputs'!$AD$6:$AD$205,1)=1,ISNUMBER(F21),F21&lt;=Rules!$B$6,Rules!$B$6-F21&lt;=Rules!$B$11,NOT(REGEXMATCH(LOWER(Companies!D12&amp;"" ""&amp;Companies!E12),""financial|bank|insurance|reit|real estate""))),1,0),0))"),0.0)</f>
        <v>0</v>
      </c>
      <c r="Y21" s="81" t="str">
        <f t="shared" si="9"/>
        <v>n.a.</v>
      </c>
      <c r="Z21" s="81" t="str">
        <f t="shared" si="10"/>
        <v>n.a.</v>
      </c>
      <c r="AA21" s="14">
        <f>IF(A21="","",COUNTIFS('Profitability inputs'!$A$6:$A$205,A21,'Profitability inputs'!$AN$6:$AN$205,1))</f>
        <v>0</v>
      </c>
      <c r="AB21" s="14" t="str">
        <f>IFERROR(__xludf.DUMMYFUNCTION("IF(A21="""","""",IFNA(INDEX(FILTER('Profitability inputs'!$AA$6:$AA$205,'Profitability inputs'!$A$6:$A$205=A21,'Profitability inputs'!$C$6:$C$205=""TTM"",'Profitability inputs'!$AD$6:$AD$205=1),1),""n.a.""))"),"n.a.")</f>
        <v>n.a.</v>
      </c>
    </row>
    <row r="22" ht="31.5" customHeight="1">
      <c r="A22" s="14" t="str">
        <f>IF(Companies!A13="","",Companies!A13)</f>
        <v>US-SHW</v>
      </c>
      <c r="B22" s="14" t="str">
        <f>IF(A22="","",Companies!C13)</f>
        <v>Sherwin-Williams</v>
      </c>
      <c r="C22" s="78">
        <f>IF(A22="","",IF(ISNUMBER(Companies!I13),Companies!I13,"n.a."))</f>
        <v>77.11</v>
      </c>
      <c r="D22" s="79"/>
      <c r="E22" s="14" t="str">
        <f>IFERROR(__xludf.DUMMYFUNCTION("IF(A22="""","""",IFNA(INDEX(FILTER('Profitability inputs'!$G$6:$G$205,'Profitability inputs'!$A$6:$A$205=A22,'Profitability inputs'!$C$6:$C$205=""TTM"",'Profitability inputs'!$AD$6:$AD$205=1),1),""n.a.""))"),"n.a.")</f>
        <v>n.a.</v>
      </c>
      <c r="F22" s="20" t="str">
        <f>IFERROR(__xludf.DUMMYFUNCTION("IF(A22="""","""",IFNA(INDEX(FILTER('Profitability inputs'!$D$6:$D$205,'Profitability inputs'!$A$6:$A$205=A22,'Profitability inputs'!$C$6:$C$205=""TTM"",'Profitability inputs'!$AD$6:$AD$205=1),1),""n.a.""))"),"n.a.")</f>
        <v>n.a.</v>
      </c>
      <c r="G22" s="80" t="str">
        <f>IFERROR(__xludf.DUMMYFUNCTION("IF(A22="""","""",IFNA(INDEX(FILTER('Profitability inputs'!$AG$6:$AG$205,'Profitability inputs'!$A$6:$A$205=A22,'Profitability inputs'!$C$6:$C$205=""TTM"",'Profitability inputs'!$AD$6:$AD$205=1),1),""n.a.""))"),"n.a.")</f>
        <v>n.a.</v>
      </c>
      <c r="H22" s="80" t="str">
        <f>IFERROR(__xludf.DUMMYFUNCTION("IF(A22="""","""",IFNA(INDEX(FILTER('Profitability inputs'!$AH$6:$AH$205,'Profitability inputs'!$A$6:$A$205=A22,'Profitability inputs'!$C$6:$C$205=""TTM"",'Profitability inputs'!$AD$6:$AD$205=1),1),""n.a.""))"),"n.a.")</f>
        <v>n.a.</v>
      </c>
      <c r="I22" s="81" t="str">
        <f t="shared" si="1"/>
        <v>n.a.</v>
      </c>
      <c r="J22" s="81" t="str">
        <f t="shared" si="2"/>
        <v>n.a.</v>
      </c>
      <c r="K22" s="81" t="str">
        <f t="shared" si="3"/>
        <v>n.a.</v>
      </c>
      <c r="L22" s="14" t="str">
        <f t="shared" si="4"/>
        <v>n.a.</v>
      </c>
      <c r="M22" s="14" t="str">
        <f t="shared" si="5"/>
        <v>n.a.</v>
      </c>
      <c r="N22" s="80" t="str">
        <f>IFERROR(__xludf.DUMMYFUNCTION("IF(A22="""","""",IFNA(INDEX(FILTER('Profitability inputs'!$AI$6:$AI$205,'Profitability inputs'!$A$6:$A$205=A22,'Profitability inputs'!$C$6:$C$205=""TTM"",'Profitability inputs'!$AD$6:$AD$205=1),1),""n.a.""))"),"n.a.")</f>
        <v>n.a.</v>
      </c>
      <c r="O22" s="82" t="str">
        <f>IFERROR(__xludf.DUMMYFUNCTION("IF(A22="""","""",IF(AA22&lt;&gt;3,""n.a."",IF(OR(COUNT(FILTER('Profitability inputs'!$V$6:$V$205,'Profitability inputs'!$A$6:$A$205=A22,'Profitability inputs'!$AN$6:$AN$205=1))&lt;&gt;3,COUNT(FILTER('Profitability inputs'!$W$6:$W$205,'Profitability inputs'!$A$6:$A$20"&amp;"5=A22,'Profitability inputs'!$AN$6:$AN$205=1))&lt;&gt;3,SUMIFS('Profitability inputs'!$W$6:$W$205,'Profitability inputs'!$A$6:$A$205,A22,'Profitability inputs'!$AN$6:$AN$205,1)&lt;=0),""n.a."",SUMIFS('Profitability inputs'!$V$6:$V$205,'Profitability inputs'!$A$6:$"&amp;"A$205,A22,'Profitability inputs'!$AN$6:$AN$205,1)/SUMIFS('Profitability inputs'!$W$6:$W$205,'Profitability inputs'!$A$6:$A$205,A22,'Profitability inputs'!$AN$6:$AN$205,1))))"),"n.a.")</f>
        <v>n.a.</v>
      </c>
      <c r="P22" s="80" t="str">
        <f>IFERROR(__xludf.DUMMYFUNCTION("IF(A22="""","""",IF(AA22&lt;&gt;3,""n.a."",MEDIAN(FILTER('Profitability inputs'!$AG$6:$AG$205,'Profitability inputs'!$A$6:$A$205=A22,'Profitability inputs'!$AN$6:$AN$205=1))))"),"n.a.")</f>
        <v>n.a.</v>
      </c>
      <c r="Q22" s="80" t="str">
        <f>IFERROR(__xludf.DUMMYFUNCTION("IF(A22="""","""",IF(AA22&lt;&gt;3,""n.a."",MEDIAN(FILTER('Profitability inputs'!$AH$6:$AH$205,'Profitability inputs'!$A$6:$A$205=A22,'Profitability inputs'!$AN$6:$AN$205=1))))"),"n.a.")</f>
        <v>n.a.</v>
      </c>
      <c r="R22" s="83" t="str">
        <f t="shared" si="6"/>
        <v>n.a.</v>
      </c>
      <c r="S22" s="83" t="str">
        <f t="shared" si="7"/>
        <v>n.a.</v>
      </c>
      <c r="T22" s="80" t="str">
        <f>IFERROR(__xludf.DUMMYFUNCTION("IF(A22="""","""",IFNA(INDEX(FILTER('Profitability inputs'!$AJ$6:$AJ$205,'Profitability inputs'!$A$6:$A$205=A22,'Profitability inputs'!$C$6:$C$205=""TTM"",'Profitability inputs'!$AD$6:$AD$205=1),1),""n.a.""))"),"n.a.")</f>
        <v>n.a.</v>
      </c>
      <c r="U22" s="80" t="str">
        <f>IFERROR(__xludf.DUMMYFUNCTION("IF(A22="""","""",IFNA(INDEX(FILTER('Profitability inputs'!$AK$6:$AK$205,'Profitability inputs'!$A$6:$A$205=A22,'Profitability inputs'!$C$6:$C$205=""TTM"",'Profitability inputs'!$AD$6:$AD$205=1),1),""n.a.""))"),"n.a.")</f>
        <v>n.a.</v>
      </c>
      <c r="V22" s="14" t="str">
        <f>IF(A22="","",IF(Companies!R13&lt;&gt;1,"Outside cap/scope universe",IF(D22="","Set business cohort",IF(COUNTIFS('Profitability inputs'!$A$6:$A$205,A22,'Profitability inputs'!$C$6:$C$205,"TTM")=0,"Add TTM financials",IF(COUNTIFS('Profitability inputs'!$A$6:$A$205,A22,'Profitability inputs'!$C$6:$C$205,"TTM")&lt;&gt;1,"Duplicate TTM records",IF(X22&lt;&gt;1,"Check financial data/dates/profile",IF($B$9&lt;&gt;"Ready",$B$9,IF(M22&lt;$B$6,"Too few same-cohort companies","Ready"))))))))</f>
        <v>Outside cap/scope universe</v>
      </c>
      <c r="W22" s="14" t="str">
        <f t="shared" si="8"/>
        <v>ROIC unavailable; ROE unavailable; History incomplete</v>
      </c>
      <c r="X22" s="14">
        <f>IFERROR(__xludf.DUMMYFUNCTION("IF(A22="""","""",IFERROR(IF(AND(Companies!R13=1,ISNUMBER(C22),C22&gt;=$B$5,D22&lt;&gt;"""",COUNTIFS('Profitability inputs'!$A$6:$A$205,A22,'Profitability inputs'!$C$6:$C$205,""TTM"")=1,COUNTIFS('Profitability inputs'!$A$6:$A$205,A22,'Profitability inputs'!$C$6:$C$"&amp;"205,""TTM"",'Profitability inputs'!$AD$6:$AD$205,1)=1,ISNUMBER(F22),F22&lt;=Rules!$B$6,Rules!$B$6-F22&lt;=Rules!$B$11,NOT(REGEXMATCH(LOWER(Companies!D13&amp;"" ""&amp;Companies!E13),""financial|bank|insurance|reit|real estate""))),1,0),0))"),0.0)</f>
        <v>0</v>
      </c>
      <c r="Y22" s="81" t="str">
        <f t="shared" si="9"/>
        <v>n.a.</v>
      </c>
      <c r="Z22" s="81" t="str">
        <f t="shared" si="10"/>
        <v>n.a.</v>
      </c>
      <c r="AA22" s="14">
        <f>IF(A22="","",COUNTIFS('Profitability inputs'!$A$6:$A$205,A22,'Profitability inputs'!$AN$6:$AN$205,1))</f>
        <v>0</v>
      </c>
      <c r="AB22" s="14" t="str">
        <f>IFERROR(__xludf.DUMMYFUNCTION("IF(A22="""","""",IFNA(INDEX(FILTER('Profitability inputs'!$AA$6:$AA$205,'Profitability inputs'!$A$6:$A$205=A22,'Profitability inputs'!$C$6:$C$205=""TTM"",'Profitability inputs'!$AD$6:$AD$205=1),1),""n.a.""))"),"n.a.")</f>
        <v>n.a.</v>
      </c>
    </row>
    <row r="23" ht="31.5" customHeight="1">
      <c r="A23" s="14" t="str">
        <f>IF(Companies!A14="","",Companies!A14)</f>
        <v>US-AEP</v>
      </c>
      <c r="B23" s="14" t="str">
        <f>IF(A23="","",Companies!C14)</f>
        <v>American Electric Power</v>
      </c>
      <c r="C23" s="78">
        <f>IF(A23="","",IF(ISNUMBER(Companies!I14),Companies!I14,"n.a."))</f>
        <v>65.09</v>
      </c>
      <c r="D23" s="79"/>
      <c r="E23" s="14" t="str">
        <f>IFERROR(__xludf.DUMMYFUNCTION("IF(A23="""","""",IFNA(INDEX(FILTER('Profitability inputs'!$G$6:$G$205,'Profitability inputs'!$A$6:$A$205=A23,'Profitability inputs'!$C$6:$C$205=""TTM"",'Profitability inputs'!$AD$6:$AD$205=1),1),""n.a.""))"),"n.a.")</f>
        <v>n.a.</v>
      </c>
      <c r="F23" s="20" t="str">
        <f>IFERROR(__xludf.DUMMYFUNCTION("IF(A23="""","""",IFNA(INDEX(FILTER('Profitability inputs'!$D$6:$D$205,'Profitability inputs'!$A$6:$A$205=A23,'Profitability inputs'!$C$6:$C$205=""TTM"",'Profitability inputs'!$AD$6:$AD$205=1),1),""n.a.""))"),"n.a.")</f>
        <v>n.a.</v>
      </c>
      <c r="G23" s="80" t="str">
        <f>IFERROR(__xludf.DUMMYFUNCTION("IF(A23="""","""",IFNA(INDEX(FILTER('Profitability inputs'!$AG$6:$AG$205,'Profitability inputs'!$A$6:$A$205=A23,'Profitability inputs'!$C$6:$C$205=""TTM"",'Profitability inputs'!$AD$6:$AD$205=1),1),""n.a.""))"),"n.a.")</f>
        <v>n.a.</v>
      </c>
      <c r="H23" s="80" t="str">
        <f>IFERROR(__xludf.DUMMYFUNCTION("IF(A23="""","""",IFNA(INDEX(FILTER('Profitability inputs'!$AH$6:$AH$205,'Profitability inputs'!$A$6:$A$205=A23,'Profitability inputs'!$C$6:$C$205=""TTM"",'Profitability inputs'!$AD$6:$AD$205=1),1),""n.a.""))"),"n.a.")</f>
        <v>n.a.</v>
      </c>
      <c r="I23" s="81" t="str">
        <f t="shared" si="1"/>
        <v>n.a.</v>
      </c>
      <c r="J23" s="81" t="str">
        <f t="shared" si="2"/>
        <v>n.a.</v>
      </c>
      <c r="K23" s="81" t="str">
        <f t="shared" si="3"/>
        <v>n.a.</v>
      </c>
      <c r="L23" s="14" t="str">
        <f t="shared" si="4"/>
        <v>n.a.</v>
      </c>
      <c r="M23" s="14" t="str">
        <f t="shared" si="5"/>
        <v>n.a.</v>
      </c>
      <c r="N23" s="80" t="str">
        <f>IFERROR(__xludf.DUMMYFUNCTION("IF(A23="""","""",IFNA(INDEX(FILTER('Profitability inputs'!$AI$6:$AI$205,'Profitability inputs'!$A$6:$A$205=A23,'Profitability inputs'!$C$6:$C$205=""TTM"",'Profitability inputs'!$AD$6:$AD$205=1),1),""n.a.""))"),"n.a.")</f>
        <v>n.a.</v>
      </c>
      <c r="O23" s="82" t="str">
        <f>IFERROR(__xludf.DUMMYFUNCTION("IF(A23="""","""",IF(AA23&lt;&gt;3,""n.a."",IF(OR(COUNT(FILTER('Profitability inputs'!$V$6:$V$205,'Profitability inputs'!$A$6:$A$205=A23,'Profitability inputs'!$AN$6:$AN$205=1))&lt;&gt;3,COUNT(FILTER('Profitability inputs'!$W$6:$W$205,'Profitability inputs'!$A$6:$A$20"&amp;"5=A23,'Profitability inputs'!$AN$6:$AN$205=1))&lt;&gt;3,SUMIFS('Profitability inputs'!$W$6:$W$205,'Profitability inputs'!$A$6:$A$205,A23,'Profitability inputs'!$AN$6:$AN$205,1)&lt;=0),""n.a."",SUMIFS('Profitability inputs'!$V$6:$V$205,'Profitability inputs'!$A$6:$"&amp;"A$205,A23,'Profitability inputs'!$AN$6:$AN$205,1)/SUMIFS('Profitability inputs'!$W$6:$W$205,'Profitability inputs'!$A$6:$A$205,A23,'Profitability inputs'!$AN$6:$AN$205,1))))"),"n.a.")</f>
        <v>n.a.</v>
      </c>
      <c r="P23" s="80" t="str">
        <f>IFERROR(__xludf.DUMMYFUNCTION("IF(A23="""","""",IF(AA23&lt;&gt;3,""n.a."",MEDIAN(FILTER('Profitability inputs'!$AG$6:$AG$205,'Profitability inputs'!$A$6:$A$205=A23,'Profitability inputs'!$AN$6:$AN$205=1))))"),"n.a.")</f>
        <v>n.a.</v>
      </c>
      <c r="Q23" s="80" t="str">
        <f>IFERROR(__xludf.DUMMYFUNCTION("IF(A23="""","""",IF(AA23&lt;&gt;3,""n.a."",MEDIAN(FILTER('Profitability inputs'!$AH$6:$AH$205,'Profitability inputs'!$A$6:$A$205=A23,'Profitability inputs'!$AN$6:$AN$205=1))))"),"n.a.")</f>
        <v>n.a.</v>
      </c>
      <c r="R23" s="83" t="str">
        <f t="shared" si="6"/>
        <v>n.a.</v>
      </c>
      <c r="S23" s="83" t="str">
        <f t="shared" si="7"/>
        <v>n.a.</v>
      </c>
      <c r="T23" s="80" t="str">
        <f>IFERROR(__xludf.DUMMYFUNCTION("IF(A23="""","""",IFNA(INDEX(FILTER('Profitability inputs'!$AJ$6:$AJ$205,'Profitability inputs'!$A$6:$A$205=A23,'Profitability inputs'!$C$6:$C$205=""TTM"",'Profitability inputs'!$AD$6:$AD$205=1),1),""n.a.""))"),"n.a.")</f>
        <v>n.a.</v>
      </c>
      <c r="U23" s="80" t="str">
        <f>IFERROR(__xludf.DUMMYFUNCTION("IF(A23="""","""",IFNA(INDEX(FILTER('Profitability inputs'!$AK$6:$AK$205,'Profitability inputs'!$A$6:$A$205=A23,'Profitability inputs'!$C$6:$C$205=""TTM"",'Profitability inputs'!$AD$6:$AD$205=1),1),""n.a.""))"),"n.a.")</f>
        <v>n.a.</v>
      </c>
      <c r="V23" s="14" t="str">
        <f>IF(A23="","",IF(Companies!R14&lt;&gt;1,"Outside cap/scope universe",IF(D23="","Set business cohort",IF(COUNTIFS('Profitability inputs'!$A$6:$A$205,A23,'Profitability inputs'!$C$6:$C$205,"TTM")=0,"Add TTM financials",IF(COUNTIFS('Profitability inputs'!$A$6:$A$205,A23,'Profitability inputs'!$C$6:$C$205,"TTM")&lt;&gt;1,"Duplicate TTM records",IF(X23&lt;&gt;1,"Check financial data/dates/profile",IF($B$9&lt;&gt;"Ready",$B$9,IF(M23&lt;$B$6,"Too few same-cohort companies","Ready"))))))))</f>
        <v>Outside cap/scope universe</v>
      </c>
      <c r="W23" s="14" t="str">
        <f t="shared" si="8"/>
        <v>ROIC unavailable; ROE unavailable; History incomplete</v>
      </c>
      <c r="X23" s="14">
        <f>IFERROR(__xludf.DUMMYFUNCTION("IF(A23="""","""",IFERROR(IF(AND(Companies!R14=1,ISNUMBER(C23),C23&gt;=$B$5,D23&lt;&gt;"""",COUNTIFS('Profitability inputs'!$A$6:$A$205,A23,'Profitability inputs'!$C$6:$C$205,""TTM"")=1,COUNTIFS('Profitability inputs'!$A$6:$A$205,A23,'Profitability inputs'!$C$6:$C$"&amp;"205,""TTM"",'Profitability inputs'!$AD$6:$AD$205,1)=1,ISNUMBER(F23),F23&lt;=Rules!$B$6,Rules!$B$6-F23&lt;=Rules!$B$11,NOT(REGEXMATCH(LOWER(Companies!D14&amp;"" ""&amp;Companies!E14),""financial|bank|insurance|reit|real estate""))),1,0),0))"),0.0)</f>
        <v>0</v>
      </c>
      <c r="Y23" s="81" t="str">
        <f t="shared" si="9"/>
        <v>n.a.</v>
      </c>
      <c r="Z23" s="81" t="str">
        <f t="shared" si="10"/>
        <v>n.a.</v>
      </c>
      <c r="AA23" s="14">
        <f>IF(A23="","",COUNTIFS('Profitability inputs'!$A$6:$A$205,A23,'Profitability inputs'!$AN$6:$AN$205,1))</f>
        <v>0</v>
      </c>
      <c r="AB23" s="14" t="str">
        <f>IFERROR(__xludf.DUMMYFUNCTION("IF(A23="""","""",IFNA(INDEX(FILTER('Profitability inputs'!$AA$6:$AA$205,'Profitability inputs'!$A$6:$A$205=A23,'Profitability inputs'!$C$6:$C$205=""TTM"",'Profitability inputs'!$AD$6:$AD$205=1),1),""n.a.""))"),"n.a.")</f>
        <v>n.a.</v>
      </c>
    </row>
    <row r="24" ht="31.5" customHeight="1">
      <c r="A24" s="14" t="str">
        <f>IF(Companies!A15="","",Companies!A15)</f>
        <v>US-JPM</v>
      </c>
      <c r="B24" s="14" t="str">
        <f>IF(A24="","",Companies!C15)</f>
        <v>JPMorgan Chase</v>
      </c>
      <c r="C24" s="78">
        <f>IF(A24="","",IF(ISNUMBER(Companies!I15),Companies!I15,"n.a."))</f>
        <v>883.53</v>
      </c>
      <c r="D24" s="79"/>
      <c r="E24" s="14" t="str">
        <f>IFERROR(__xludf.DUMMYFUNCTION("IF(A24="""","""",IFNA(INDEX(FILTER('Profitability inputs'!$G$6:$G$205,'Profitability inputs'!$A$6:$A$205=A24,'Profitability inputs'!$C$6:$C$205=""TTM"",'Profitability inputs'!$AD$6:$AD$205=1),1),""n.a.""))"),"n.a.")</f>
        <v>n.a.</v>
      </c>
      <c r="F24" s="20" t="str">
        <f>IFERROR(__xludf.DUMMYFUNCTION("IF(A24="""","""",IFNA(INDEX(FILTER('Profitability inputs'!$D$6:$D$205,'Profitability inputs'!$A$6:$A$205=A24,'Profitability inputs'!$C$6:$C$205=""TTM"",'Profitability inputs'!$AD$6:$AD$205=1),1),""n.a.""))"),"n.a.")</f>
        <v>n.a.</v>
      </c>
      <c r="G24" s="80" t="str">
        <f>IFERROR(__xludf.DUMMYFUNCTION("IF(A24="""","""",IFNA(INDEX(FILTER('Profitability inputs'!$AG$6:$AG$205,'Profitability inputs'!$A$6:$A$205=A24,'Profitability inputs'!$C$6:$C$205=""TTM"",'Profitability inputs'!$AD$6:$AD$205=1),1),""n.a.""))"),"n.a.")</f>
        <v>n.a.</v>
      </c>
      <c r="H24" s="80" t="str">
        <f>IFERROR(__xludf.DUMMYFUNCTION("IF(A24="""","""",IFNA(INDEX(FILTER('Profitability inputs'!$AH$6:$AH$205,'Profitability inputs'!$A$6:$A$205=A24,'Profitability inputs'!$C$6:$C$205=""TTM"",'Profitability inputs'!$AD$6:$AD$205=1),1),""n.a.""))"),"n.a.")</f>
        <v>n.a.</v>
      </c>
      <c r="I24" s="81" t="str">
        <f t="shared" si="1"/>
        <v>n.a.</v>
      </c>
      <c r="J24" s="81" t="str">
        <f t="shared" si="2"/>
        <v>n.a.</v>
      </c>
      <c r="K24" s="81" t="str">
        <f t="shared" si="3"/>
        <v>n.a.</v>
      </c>
      <c r="L24" s="14" t="str">
        <f t="shared" si="4"/>
        <v>n.a.</v>
      </c>
      <c r="M24" s="14" t="str">
        <f t="shared" si="5"/>
        <v>n.a.</v>
      </c>
      <c r="N24" s="80" t="str">
        <f>IFERROR(__xludf.DUMMYFUNCTION("IF(A24="""","""",IFNA(INDEX(FILTER('Profitability inputs'!$AI$6:$AI$205,'Profitability inputs'!$A$6:$A$205=A24,'Profitability inputs'!$C$6:$C$205=""TTM"",'Profitability inputs'!$AD$6:$AD$205=1),1),""n.a.""))"),"n.a.")</f>
        <v>n.a.</v>
      </c>
      <c r="O24" s="82" t="str">
        <f>IFERROR(__xludf.DUMMYFUNCTION("IF(A24="""","""",IF(AA24&lt;&gt;3,""n.a."",IF(OR(COUNT(FILTER('Profitability inputs'!$V$6:$V$205,'Profitability inputs'!$A$6:$A$205=A24,'Profitability inputs'!$AN$6:$AN$205=1))&lt;&gt;3,COUNT(FILTER('Profitability inputs'!$W$6:$W$205,'Profitability inputs'!$A$6:$A$20"&amp;"5=A24,'Profitability inputs'!$AN$6:$AN$205=1))&lt;&gt;3,SUMIFS('Profitability inputs'!$W$6:$W$205,'Profitability inputs'!$A$6:$A$205,A24,'Profitability inputs'!$AN$6:$AN$205,1)&lt;=0),""n.a."",SUMIFS('Profitability inputs'!$V$6:$V$205,'Profitability inputs'!$A$6:$"&amp;"A$205,A24,'Profitability inputs'!$AN$6:$AN$205,1)/SUMIFS('Profitability inputs'!$W$6:$W$205,'Profitability inputs'!$A$6:$A$205,A24,'Profitability inputs'!$AN$6:$AN$205,1))))"),"n.a.")</f>
        <v>n.a.</v>
      </c>
      <c r="P24" s="80" t="str">
        <f>IFERROR(__xludf.DUMMYFUNCTION("IF(A24="""","""",IF(AA24&lt;&gt;3,""n.a."",MEDIAN(FILTER('Profitability inputs'!$AG$6:$AG$205,'Profitability inputs'!$A$6:$A$205=A24,'Profitability inputs'!$AN$6:$AN$205=1))))"),"n.a.")</f>
        <v>n.a.</v>
      </c>
      <c r="Q24" s="80" t="str">
        <f>IFERROR(__xludf.DUMMYFUNCTION("IF(A24="""","""",IF(AA24&lt;&gt;3,""n.a."",MEDIAN(FILTER('Profitability inputs'!$AH$6:$AH$205,'Profitability inputs'!$A$6:$A$205=A24,'Profitability inputs'!$AN$6:$AN$205=1))))"),"n.a.")</f>
        <v>n.a.</v>
      </c>
      <c r="R24" s="83" t="str">
        <f t="shared" si="6"/>
        <v>n.a.</v>
      </c>
      <c r="S24" s="83" t="str">
        <f t="shared" si="7"/>
        <v>n.a.</v>
      </c>
      <c r="T24" s="80" t="str">
        <f>IFERROR(__xludf.DUMMYFUNCTION("IF(A24="""","""",IFNA(INDEX(FILTER('Profitability inputs'!$AJ$6:$AJ$205,'Profitability inputs'!$A$6:$A$205=A24,'Profitability inputs'!$C$6:$C$205=""TTM"",'Profitability inputs'!$AD$6:$AD$205=1),1),""n.a.""))"),"n.a.")</f>
        <v>n.a.</v>
      </c>
      <c r="U24" s="80" t="str">
        <f>IFERROR(__xludf.DUMMYFUNCTION("IF(A24="""","""",IFNA(INDEX(FILTER('Profitability inputs'!$AK$6:$AK$205,'Profitability inputs'!$A$6:$A$205=A24,'Profitability inputs'!$C$6:$C$205=""TTM"",'Profitability inputs'!$AD$6:$AD$205=1),1),""n.a.""))"),"n.a.")</f>
        <v>n.a.</v>
      </c>
      <c r="V24" s="14" t="str">
        <f>IF(A24="","",IF(Companies!R15&lt;&gt;1,"Outside cap/scope universe",IF(D24="","Set business cohort",IF(COUNTIFS('Profitability inputs'!$A$6:$A$205,A24,'Profitability inputs'!$C$6:$C$205,"TTM")=0,"Add TTM financials",IF(COUNTIFS('Profitability inputs'!$A$6:$A$205,A24,'Profitability inputs'!$C$6:$C$205,"TTM")&lt;&gt;1,"Duplicate TTM records",IF(X24&lt;&gt;1,"Check financial data/dates/profile",IF($B$9&lt;&gt;"Ready",$B$9,IF(M24&lt;$B$6,"Too few same-cohort companies","Ready"))))))))</f>
        <v>Outside cap/scope universe</v>
      </c>
      <c r="W24" s="14" t="str">
        <f t="shared" si="8"/>
        <v>ROIC unavailable; ROE unavailable; History incomplete</v>
      </c>
      <c r="X24" s="14">
        <f>IFERROR(__xludf.DUMMYFUNCTION("IF(A24="""","""",IFERROR(IF(AND(Companies!R15=1,ISNUMBER(C24),C24&gt;=$B$5,D24&lt;&gt;"""",COUNTIFS('Profitability inputs'!$A$6:$A$205,A24,'Profitability inputs'!$C$6:$C$205,""TTM"")=1,COUNTIFS('Profitability inputs'!$A$6:$A$205,A24,'Profitability inputs'!$C$6:$C$"&amp;"205,""TTM"",'Profitability inputs'!$AD$6:$AD$205,1)=1,ISNUMBER(F24),F24&lt;=Rules!$B$6,Rules!$B$6-F24&lt;=Rules!$B$11,NOT(REGEXMATCH(LOWER(Companies!D15&amp;"" ""&amp;Companies!E15),""financial|bank|insurance|reit|real estate""))),1,0),0))"),0.0)</f>
        <v>0</v>
      </c>
      <c r="Y24" s="81" t="str">
        <f t="shared" si="9"/>
        <v>n.a.</v>
      </c>
      <c r="Z24" s="81" t="str">
        <f t="shared" si="10"/>
        <v>n.a.</v>
      </c>
      <c r="AA24" s="14">
        <f>IF(A24="","",COUNTIFS('Profitability inputs'!$A$6:$A$205,A24,'Profitability inputs'!$AN$6:$AN$205,1))</f>
        <v>0</v>
      </c>
      <c r="AB24" s="14" t="str">
        <f>IFERROR(__xludf.DUMMYFUNCTION("IF(A24="""","""",IFNA(INDEX(FILTER('Profitability inputs'!$AA$6:$AA$205,'Profitability inputs'!$A$6:$A$205=A24,'Profitability inputs'!$C$6:$C$205=""TTM"",'Profitability inputs'!$AD$6:$AD$205=1),1),""n.a.""))"),"n.a.")</f>
        <v>n.a.</v>
      </c>
    </row>
    <row r="25" ht="31.5" customHeight="1">
      <c r="A25" s="14" t="str">
        <f>IF(Companies!A16="","",Companies!A16)</f>
        <v/>
      </c>
      <c r="B25" s="14" t="str">
        <f>IF(A25="","",Companies!C16)</f>
        <v/>
      </c>
      <c r="C25" s="14" t="str">
        <f>IF(A25="","",IF(ISNUMBER(Companies!I16),Companies!I16,"n.a."))</f>
        <v/>
      </c>
      <c r="D25" s="79"/>
      <c r="E25" s="14" t="str">
        <f>IFERROR(__xludf.DUMMYFUNCTION("IF(A25="""","""",IFNA(INDEX(FILTER('Profitability inputs'!$G$6:$G$205,'Profitability inputs'!$A$6:$A$205=A25,'Profitability inputs'!$C$6:$C$205=""TTM"",'Profitability inputs'!$AD$6:$AD$205=1),1),""n.a.""))"),"")</f>
        <v/>
      </c>
      <c r="F25" s="20" t="str">
        <f>IFERROR(__xludf.DUMMYFUNCTION("IF(A25="""","""",IFNA(INDEX(FILTER('Profitability inputs'!$D$6:$D$205,'Profitability inputs'!$A$6:$A$205=A25,'Profitability inputs'!$C$6:$C$205=""TTM"",'Profitability inputs'!$AD$6:$AD$205=1),1),""n.a.""))"),"")</f>
        <v/>
      </c>
      <c r="G25" s="80" t="str">
        <f>IFERROR(__xludf.DUMMYFUNCTION("IF(A25="""","""",IFNA(INDEX(FILTER('Profitability inputs'!$AG$6:$AG$205,'Profitability inputs'!$A$6:$A$205=A25,'Profitability inputs'!$C$6:$C$205=""TTM"",'Profitability inputs'!$AD$6:$AD$205=1),1),""n.a.""))"),"")</f>
        <v/>
      </c>
      <c r="H25" s="80" t="str">
        <f>IFERROR(__xludf.DUMMYFUNCTION("IF(A25="""","""",IFNA(INDEX(FILTER('Profitability inputs'!$AH$6:$AH$205,'Profitability inputs'!$A$6:$A$205=A25,'Profitability inputs'!$C$6:$C$205=""TTM"",'Profitability inputs'!$AD$6:$AD$205=1),1),""n.a.""))"),"")</f>
        <v/>
      </c>
      <c r="I25" s="81" t="str">
        <f t="shared" si="1"/>
        <v/>
      </c>
      <c r="J25" s="81" t="str">
        <f t="shared" si="2"/>
        <v/>
      </c>
      <c r="K25" s="81" t="str">
        <f t="shared" si="3"/>
        <v/>
      </c>
      <c r="L25" s="14" t="str">
        <f t="shared" si="4"/>
        <v/>
      </c>
      <c r="M25" s="14" t="str">
        <f t="shared" si="5"/>
        <v/>
      </c>
      <c r="N25" s="80" t="str">
        <f>IFERROR(__xludf.DUMMYFUNCTION("IF(A25="""","""",IFNA(INDEX(FILTER('Profitability inputs'!$AI$6:$AI$205,'Profitability inputs'!$A$6:$A$205=A25,'Profitability inputs'!$C$6:$C$205=""TTM"",'Profitability inputs'!$AD$6:$AD$205=1),1),""n.a.""))"),"")</f>
        <v/>
      </c>
      <c r="O25" s="82" t="str">
        <f>IFERROR(__xludf.DUMMYFUNCTION("IF(A25="""","""",IF(AA25&lt;&gt;3,""n.a."",IF(OR(COUNT(FILTER('Profitability inputs'!$V$6:$V$205,'Profitability inputs'!$A$6:$A$205=A25,'Profitability inputs'!$AN$6:$AN$205=1))&lt;&gt;3,COUNT(FILTER('Profitability inputs'!$W$6:$W$205,'Profitability inputs'!$A$6:$A$20"&amp;"5=A25,'Profitability inputs'!$AN$6:$AN$205=1))&lt;&gt;3,SUMIFS('Profitability inputs'!$W$6:$W$205,'Profitability inputs'!$A$6:$A$205,A25,'Profitability inputs'!$AN$6:$AN$205,1)&lt;=0),""n.a."",SUMIFS('Profitability inputs'!$V$6:$V$205,'Profitability inputs'!$A$6:$"&amp;"A$205,A25,'Profitability inputs'!$AN$6:$AN$205,1)/SUMIFS('Profitability inputs'!$W$6:$W$205,'Profitability inputs'!$A$6:$A$205,A25,'Profitability inputs'!$AN$6:$AN$205,1))))"),"")</f>
        <v/>
      </c>
      <c r="P25" s="80" t="str">
        <f>IFERROR(__xludf.DUMMYFUNCTION("IF(A25="""","""",IF(AA25&lt;&gt;3,""n.a."",MEDIAN(FILTER('Profitability inputs'!$AG$6:$AG$205,'Profitability inputs'!$A$6:$A$205=A25,'Profitability inputs'!$AN$6:$AN$205=1))))"),"")</f>
        <v/>
      </c>
      <c r="Q25" s="80" t="str">
        <f>IFERROR(__xludf.DUMMYFUNCTION("IF(A25="""","""",IF(AA25&lt;&gt;3,""n.a."",MEDIAN(FILTER('Profitability inputs'!$AH$6:$AH$205,'Profitability inputs'!$A$6:$A$205=A25,'Profitability inputs'!$AN$6:$AN$205=1))))"),"")</f>
        <v/>
      </c>
      <c r="R25" s="83" t="str">
        <f t="shared" si="6"/>
        <v/>
      </c>
      <c r="S25" s="83" t="str">
        <f t="shared" si="7"/>
        <v/>
      </c>
      <c r="T25" s="80" t="str">
        <f>IFERROR(__xludf.DUMMYFUNCTION("IF(A25="""","""",IFNA(INDEX(FILTER('Profitability inputs'!$AJ$6:$AJ$205,'Profitability inputs'!$A$6:$A$205=A25,'Profitability inputs'!$C$6:$C$205=""TTM"",'Profitability inputs'!$AD$6:$AD$205=1),1),""n.a.""))"),"")</f>
        <v/>
      </c>
      <c r="U25" s="80" t="str">
        <f>IFERROR(__xludf.DUMMYFUNCTION("IF(A25="""","""",IFNA(INDEX(FILTER('Profitability inputs'!$AK$6:$AK$205,'Profitability inputs'!$A$6:$A$205=A25,'Profitability inputs'!$C$6:$C$205=""TTM"",'Profitability inputs'!$AD$6:$AD$205=1),1),""n.a.""))"),"")</f>
        <v/>
      </c>
      <c r="V25" s="14" t="str">
        <f>IF(A25="","",IF(Companies!R16&lt;&gt;1,"Outside cap/scope universe",IF(D25="","Set business cohort",IF(COUNTIFS('Profitability inputs'!$A$6:$A$205,A25,'Profitability inputs'!$C$6:$C$205,"TTM")=0,"Add TTM financials",IF(COUNTIFS('Profitability inputs'!$A$6:$A$205,A25,'Profitability inputs'!$C$6:$C$205,"TTM")&lt;&gt;1,"Duplicate TTM records",IF(X25&lt;&gt;1,"Check financial data/dates/profile",IF($B$9&lt;&gt;"Ready",$B$9,IF(M25&lt;$B$6,"Too few same-cohort companies","Ready"))))))))</f>
        <v/>
      </c>
      <c r="W25" s="14" t="str">
        <f t="shared" si="8"/>
        <v/>
      </c>
      <c r="X25" s="14" t="str">
        <f>IFERROR(__xludf.DUMMYFUNCTION("IF(A25="""","""",IFERROR(IF(AND(Companies!R16=1,ISNUMBER(C25),C25&gt;=$B$5,D25&lt;&gt;"""",COUNTIFS('Profitability inputs'!$A$6:$A$205,A25,'Profitability inputs'!$C$6:$C$205,""TTM"")=1,COUNTIFS('Profitability inputs'!$A$6:$A$205,A25,'Profitability inputs'!$C$6:$C$"&amp;"205,""TTM"",'Profitability inputs'!$AD$6:$AD$205,1)=1,ISNUMBER(F25),F25&lt;=Rules!$B$6,Rules!$B$6-F25&lt;=Rules!$B$11,NOT(REGEXMATCH(LOWER(Companies!D16&amp;"" ""&amp;Companies!E16),""financial|bank|insurance|reit|real estate""))),1,0),0))"),"")</f>
        <v/>
      </c>
      <c r="Y25" s="81" t="str">
        <f t="shared" si="9"/>
        <v/>
      </c>
      <c r="Z25" s="81" t="str">
        <f t="shared" si="10"/>
        <v/>
      </c>
      <c r="AA25" s="14" t="str">
        <f>IF(A25="","",COUNTIFS('Profitability inputs'!$A$6:$A$205,A25,'Profitability inputs'!$AN$6:$AN$205,1))</f>
        <v/>
      </c>
      <c r="AB25" s="14" t="str">
        <f>IFERROR(__xludf.DUMMYFUNCTION("IF(A25="""","""",IFNA(INDEX(FILTER('Profitability inputs'!$AA$6:$AA$205,'Profitability inputs'!$A$6:$A$205=A25,'Profitability inputs'!$C$6:$C$205=""TTM"",'Profitability inputs'!$AD$6:$AD$205=1),1),""n.a.""))"),"")</f>
        <v/>
      </c>
    </row>
    <row r="26" ht="31.5" customHeight="1">
      <c r="A26" s="14" t="str">
        <f>IF(Companies!A17="","",Companies!A17)</f>
        <v/>
      </c>
      <c r="B26" s="14" t="str">
        <f>IF(A26="","",Companies!C17)</f>
        <v/>
      </c>
      <c r="C26" s="14" t="str">
        <f>IF(A26="","",IF(ISNUMBER(Companies!I17),Companies!I17,"n.a."))</f>
        <v/>
      </c>
      <c r="D26" s="79"/>
      <c r="E26" s="14" t="str">
        <f>IFERROR(__xludf.DUMMYFUNCTION("IF(A26="""","""",IFNA(INDEX(FILTER('Profitability inputs'!$G$6:$G$205,'Profitability inputs'!$A$6:$A$205=A26,'Profitability inputs'!$C$6:$C$205=""TTM"",'Profitability inputs'!$AD$6:$AD$205=1),1),""n.a.""))"),"")</f>
        <v/>
      </c>
      <c r="F26" s="20" t="str">
        <f>IFERROR(__xludf.DUMMYFUNCTION("IF(A26="""","""",IFNA(INDEX(FILTER('Profitability inputs'!$D$6:$D$205,'Profitability inputs'!$A$6:$A$205=A26,'Profitability inputs'!$C$6:$C$205=""TTM"",'Profitability inputs'!$AD$6:$AD$205=1),1),""n.a.""))"),"")</f>
        <v/>
      </c>
      <c r="G26" s="80" t="str">
        <f>IFERROR(__xludf.DUMMYFUNCTION("IF(A26="""","""",IFNA(INDEX(FILTER('Profitability inputs'!$AG$6:$AG$205,'Profitability inputs'!$A$6:$A$205=A26,'Profitability inputs'!$C$6:$C$205=""TTM"",'Profitability inputs'!$AD$6:$AD$205=1),1),""n.a.""))"),"")</f>
        <v/>
      </c>
      <c r="H26" s="80" t="str">
        <f>IFERROR(__xludf.DUMMYFUNCTION("IF(A26="""","""",IFNA(INDEX(FILTER('Profitability inputs'!$AH$6:$AH$205,'Profitability inputs'!$A$6:$A$205=A26,'Profitability inputs'!$C$6:$C$205=""TTM"",'Profitability inputs'!$AD$6:$AD$205=1),1),""n.a.""))"),"")</f>
        <v/>
      </c>
      <c r="I26" s="81" t="str">
        <f t="shared" si="1"/>
        <v/>
      </c>
      <c r="J26" s="81" t="str">
        <f t="shared" si="2"/>
        <v/>
      </c>
      <c r="K26" s="81" t="str">
        <f t="shared" si="3"/>
        <v/>
      </c>
      <c r="L26" s="14" t="str">
        <f t="shared" si="4"/>
        <v/>
      </c>
      <c r="M26" s="14" t="str">
        <f t="shared" si="5"/>
        <v/>
      </c>
      <c r="N26" s="80" t="str">
        <f>IFERROR(__xludf.DUMMYFUNCTION("IF(A26="""","""",IFNA(INDEX(FILTER('Profitability inputs'!$AI$6:$AI$205,'Profitability inputs'!$A$6:$A$205=A26,'Profitability inputs'!$C$6:$C$205=""TTM"",'Profitability inputs'!$AD$6:$AD$205=1),1),""n.a.""))"),"")</f>
        <v/>
      </c>
      <c r="O26" s="82" t="str">
        <f>IFERROR(__xludf.DUMMYFUNCTION("IF(A26="""","""",IF(AA26&lt;&gt;3,""n.a."",IF(OR(COUNT(FILTER('Profitability inputs'!$V$6:$V$205,'Profitability inputs'!$A$6:$A$205=A26,'Profitability inputs'!$AN$6:$AN$205=1))&lt;&gt;3,COUNT(FILTER('Profitability inputs'!$W$6:$W$205,'Profitability inputs'!$A$6:$A$20"&amp;"5=A26,'Profitability inputs'!$AN$6:$AN$205=1))&lt;&gt;3,SUMIFS('Profitability inputs'!$W$6:$W$205,'Profitability inputs'!$A$6:$A$205,A26,'Profitability inputs'!$AN$6:$AN$205,1)&lt;=0),""n.a."",SUMIFS('Profitability inputs'!$V$6:$V$205,'Profitability inputs'!$A$6:$"&amp;"A$205,A26,'Profitability inputs'!$AN$6:$AN$205,1)/SUMIFS('Profitability inputs'!$W$6:$W$205,'Profitability inputs'!$A$6:$A$205,A26,'Profitability inputs'!$AN$6:$AN$205,1))))"),"")</f>
        <v/>
      </c>
      <c r="P26" s="80" t="str">
        <f>IFERROR(__xludf.DUMMYFUNCTION("IF(A26="""","""",IF(AA26&lt;&gt;3,""n.a."",MEDIAN(FILTER('Profitability inputs'!$AG$6:$AG$205,'Profitability inputs'!$A$6:$A$205=A26,'Profitability inputs'!$AN$6:$AN$205=1))))"),"")</f>
        <v/>
      </c>
      <c r="Q26" s="80" t="str">
        <f>IFERROR(__xludf.DUMMYFUNCTION("IF(A26="""","""",IF(AA26&lt;&gt;3,""n.a."",MEDIAN(FILTER('Profitability inputs'!$AH$6:$AH$205,'Profitability inputs'!$A$6:$A$205=A26,'Profitability inputs'!$AN$6:$AN$205=1))))"),"")</f>
        <v/>
      </c>
      <c r="R26" s="83" t="str">
        <f t="shared" si="6"/>
        <v/>
      </c>
      <c r="S26" s="83" t="str">
        <f t="shared" si="7"/>
        <v/>
      </c>
      <c r="T26" s="80" t="str">
        <f>IFERROR(__xludf.DUMMYFUNCTION("IF(A26="""","""",IFNA(INDEX(FILTER('Profitability inputs'!$AJ$6:$AJ$205,'Profitability inputs'!$A$6:$A$205=A26,'Profitability inputs'!$C$6:$C$205=""TTM"",'Profitability inputs'!$AD$6:$AD$205=1),1),""n.a.""))"),"")</f>
        <v/>
      </c>
      <c r="U26" s="80" t="str">
        <f>IFERROR(__xludf.DUMMYFUNCTION("IF(A26="""","""",IFNA(INDEX(FILTER('Profitability inputs'!$AK$6:$AK$205,'Profitability inputs'!$A$6:$A$205=A26,'Profitability inputs'!$C$6:$C$205=""TTM"",'Profitability inputs'!$AD$6:$AD$205=1),1),""n.a.""))"),"")</f>
        <v/>
      </c>
      <c r="V26" s="14" t="str">
        <f>IF(A26="","",IF(Companies!R17&lt;&gt;1,"Outside cap/scope universe",IF(D26="","Set business cohort",IF(COUNTIFS('Profitability inputs'!$A$6:$A$205,A26,'Profitability inputs'!$C$6:$C$205,"TTM")=0,"Add TTM financials",IF(COUNTIFS('Profitability inputs'!$A$6:$A$205,A26,'Profitability inputs'!$C$6:$C$205,"TTM")&lt;&gt;1,"Duplicate TTM records",IF(X26&lt;&gt;1,"Check financial data/dates/profile",IF($B$9&lt;&gt;"Ready",$B$9,IF(M26&lt;$B$6,"Too few same-cohort companies","Ready"))))))))</f>
        <v/>
      </c>
      <c r="W26" s="14" t="str">
        <f t="shared" si="8"/>
        <v/>
      </c>
      <c r="X26" s="14" t="str">
        <f>IFERROR(__xludf.DUMMYFUNCTION("IF(A26="""","""",IFERROR(IF(AND(Companies!R17=1,ISNUMBER(C26),C26&gt;=$B$5,D26&lt;&gt;"""",COUNTIFS('Profitability inputs'!$A$6:$A$205,A26,'Profitability inputs'!$C$6:$C$205,""TTM"")=1,COUNTIFS('Profitability inputs'!$A$6:$A$205,A26,'Profitability inputs'!$C$6:$C$"&amp;"205,""TTM"",'Profitability inputs'!$AD$6:$AD$205,1)=1,ISNUMBER(F26),F26&lt;=Rules!$B$6,Rules!$B$6-F26&lt;=Rules!$B$11,NOT(REGEXMATCH(LOWER(Companies!D17&amp;"" ""&amp;Companies!E17),""financial|bank|insurance|reit|real estate""))),1,0),0))"),"")</f>
        <v/>
      </c>
      <c r="Y26" s="81" t="str">
        <f t="shared" si="9"/>
        <v/>
      </c>
      <c r="Z26" s="81" t="str">
        <f t="shared" si="10"/>
        <v/>
      </c>
      <c r="AA26" s="14" t="str">
        <f>IF(A26="","",COUNTIFS('Profitability inputs'!$A$6:$A$205,A26,'Profitability inputs'!$AN$6:$AN$205,1))</f>
        <v/>
      </c>
      <c r="AB26" s="14" t="str">
        <f>IFERROR(__xludf.DUMMYFUNCTION("IF(A26="""","""",IFNA(INDEX(FILTER('Profitability inputs'!$AA$6:$AA$205,'Profitability inputs'!$A$6:$A$205=A26,'Profitability inputs'!$C$6:$C$205=""TTM"",'Profitability inputs'!$AD$6:$AD$205=1),1),""n.a.""))"),"")</f>
        <v/>
      </c>
    </row>
    <row r="27" ht="31.5" customHeight="1">
      <c r="A27" s="14" t="str">
        <f>IF(Companies!A18="","",Companies!A18)</f>
        <v/>
      </c>
      <c r="B27" s="14" t="str">
        <f>IF(A27="","",Companies!C18)</f>
        <v/>
      </c>
      <c r="C27" s="14" t="str">
        <f>IF(A27="","",IF(ISNUMBER(Companies!I18),Companies!I18,"n.a."))</f>
        <v/>
      </c>
      <c r="D27" s="79"/>
      <c r="E27" s="14" t="str">
        <f>IFERROR(__xludf.DUMMYFUNCTION("IF(A27="""","""",IFNA(INDEX(FILTER('Profitability inputs'!$G$6:$G$205,'Profitability inputs'!$A$6:$A$205=A27,'Profitability inputs'!$C$6:$C$205=""TTM"",'Profitability inputs'!$AD$6:$AD$205=1),1),""n.a.""))"),"")</f>
        <v/>
      </c>
      <c r="F27" s="20" t="str">
        <f>IFERROR(__xludf.DUMMYFUNCTION("IF(A27="""","""",IFNA(INDEX(FILTER('Profitability inputs'!$D$6:$D$205,'Profitability inputs'!$A$6:$A$205=A27,'Profitability inputs'!$C$6:$C$205=""TTM"",'Profitability inputs'!$AD$6:$AD$205=1),1),""n.a.""))"),"")</f>
        <v/>
      </c>
      <c r="G27" s="80" t="str">
        <f>IFERROR(__xludf.DUMMYFUNCTION("IF(A27="""","""",IFNA(INDEX(FILTER('Profitability inputs'!$AG$6:$AG$205,'Profitability inputs'!$A$6:$A$205=A27,'Profitability inputs'!$C$6:$C$205=""TTM"",'Profitability inputs'!$AD$6:$AD$205=1),1),""n.a.""))"),"")</f>
        <v/>
      </c>
      <c r="H27" s="80" t="str">
        <f>IFERROR(__xludf.DUMMYFUNCTION("IF(A27="""","""",IFNA(INDEX(FILTER('Profitability inputs'!$AH$6:$AH$205,'Profitability inputs'!$A$6:$A$205=A27,'Profitability inputs'!$C$6:$C$205=""TTM"",'Profitability inputs'!$AD$6:$AD$205=1),1),""n.a.""))"),"")</f>
        <v/>
      </c>
      <c r="I27" s="81" t="str">
        <f t="shared" si="1"/>
        <v/>
      </c>
      <c r="J27" s="81" t="str">
        <f t="shared" si="2"/>
        <v/>
      </c>
      <c r="K27" s="81" t="str">
        <f t="shared" si="3"/>
        <v/>
      </c>
      <c r="L27" s="14" t="str">
        <f t="shared" si="4"/>
        <v/>
      </c>
      <c r="M27" s="14" t="str">
        <f t="shared" si="5"/>
        <v/>
      </c>
      <c r="N27" s="80" t="str">
        <f>IFERROR(__xludf.DUMMYFUNCTION("IF(A27="""","""",IFNA(INDEX(FILTER('Profitability inputs'!$AI$6:$AI$205,'Profitability inputs'!$A$6:$A$205=A27,'Profitability inputs'!$C$6:$C$205=""TTM"",'Profitability inputs'!$AD$6:$AD$205=1),1),""n.a.""))"),"")</f>
        <v/>
      </c>
      <c r="O27" s="82" t="str">
        <f>IFERROR(__xludf.DUMMYFUNCTION("IF(A27="""","""",IF(AA27&lt;&gt;3,""n.a."",IF(OR(COUNT(FILTER('Profitability inputs'!$V$6:$V$205,'Profitability inputs'!$A$6:$A$205=A27,'Profitability inputs'!$AN$6:$AN$205=1))&lt;&gt;3,COUNT(FILTER('Profitability inputs'!$W$6:$W$205,'Profitability inputs'!$A$6:$A$20"&amp;"5=A27,'Profitability inputs'!$AN$6:$AN$205=1))&lt;&gt;3,SUMIFS('Profitability inputs'!$W$6:$W$205,'Profitability inputs'!$A$6:$A$205,A27,'Profitability inputs'!$AN$6:$AN$205,1)&lt;=0),""n.a."",SUMIFS('Profitability inputs'!$V$6:$V$205,'Profitability inputs'!$A$6:$"&amp;"A$205,A27,'Profitability inputs'!$AN$6:$AN$205,1)/SUMIFS('Profitability inputs'!$W$6:$W$205,'Profitability inputs'!$A$6:$A$205,A27,'Profitability inputs'!$AN$6:$AN$205,1))))"),"")</f>
        <v/>
      </c>
      <c r="P27" s="80" t="str">
        <f>IFERROR(__xludf.DUMMYFUNCTION("IF(A27="""","""",IF(AA27&lt;&gt;3,""n.a."",MEDIAN(FILTER('Profitability inputs'!$AG$6:$AG$205,'Profitability inputs'!$A$6:$A$205=A27,'Profitability inputs'!$AN$6:$AN$205=1))))"),"")</f>
        <v/>
      </c>
      <c r="Q27" s="80" t="str">
        <f>IFERROR(__xludf.DUMMYFUNCTION("IF(A27="""","""",IF(AA27&lt;&gt;3,""n.a."",MEDIAN(FILTER('Profitability inputs'!$AH$6:$AH$205,'Profitability inputs'!$A$6:$A$205=A27,'Profitability inputs'!$AN$6:$AN$205=1))))"),"")</f>
        <v/>
      </c>
      <c r="R27" s="83" t="str">
        <f t="shared" si="6"/>
        <v/>
      </c>
      <c r="S27" s="83" t="str">
        <f t="shared" si="7"/>
        <v/>
      </c>
      <c r="T27" s="80" t="str">
        <f>IFERROR(__xludf.DUMMYFUNCTION("IF(A27="""","""",IFNA(INDEX(FILTER('Profitability inputs'!$AJ$6:$AJ$205,'Profitability inputs'!$A$6:$A$205=A27,'Profitability inputs'!$C$6:$C$205=""TTM"",'Profitability inputs'!$AD$6:$AD$205=1),1),""n.a.""))"),"")</f>
        <v/>
      </c>
      <c r="U27" s="80" t="str">
        <f>IFERROR(__xludf.DUMMYFUNCTION("IF(A27="""","""",IFNA(INDEX(FILTER('Profitability inputs'!$AK$6:$AK$205,'Profitability inputs'!$A$6:$A$205=A27,'Profitability inputs'!$C$6:$C$205=""TTM"",'Profitability inputs'!$AD$6:$AD$205=1),1),""n.a.""))"),"")</f>
        <v/>
      </c>
      <c r="V27" s="14" t="str">
        <f>IF(A27="","",IF(Companies!R18&lt;&gt;1,"Outside cap/scope universe",IF(D27="","Set business cohort",IF(COUNTIFS('Profitability inputs'!$A$6:$A$205,A27,'Profitability inputs'!$C$6:$C$205,"TTM")=0,"Add TTM financials",IF(COUNTIFS('Profitability inputs'!$A$6:$A$205,A27,'Profitability inputs'!$C$6:$C$205,"TTM")&lt;&gt;1,"Duplicate TTM records",IF(X27&lt;&gt;1,"Check financial data/dates/profile",IF($B$9&lt;&gt;"Ready",$B$9,IF(M27&lt;$B$6,"Too few same-cohort companies","Ready"))))))))</f>
        <v/>
      </c>
      <c r="W27" s="14" t="str">
        <f t="shared" si="8"/>
        <v/>
      </c>
      <c r="X27" s="14" t="str">
        <f>IFERROR(__xludf.DUMMYFUNCTION("IF(A27="""","""",IFERROR(IF(AND(Companies!R18=1,ISNUMBER(C27),C27&gt;=$B$5,D27&lt;&gt;"""",COUNTIFS('Profitability inputs'!$A$6:$A$205,A27,'Profitability inputs'!$C$6:$C$205,""TTM"")=1,COUNTIFS('Profitability inputs'!$A$6:$A$205,A27,'Profitability inputs'!$C$6:$C$"&amp;"205,""TTM"",'Profitability inputs'!$AD$6:$AD$205,1)=1,ISNUMBER(F27),F27&lt;=Rules!$B$6,Rules!$B$6-F27&lt;=Rules!$B$11,NOT(REGEXMATCH(LOWER(Companies!D18&amp;"" ""&amp;Companies!E18),""financial|bank|insurance|reit|real estate""))),1,0),0))"),"")</f>
        <v/>
      </c>
      <c r="Y27" s="81" t="str">
        <f t="shared" si="9"/>
        <v/>
      </c>
      <c r="Z27" s="81" t="str">
        <f t="shared" si="10"/>
        <v/>
      </c>
      <c r="AA27" s="14" t="str">
        <f>IF(A27="","",COUNTIFS('Profitability inputs'!$A$6:$A$205,A27,'Profitability inputs'!$AN$6:$AN$205,1))</f>
        <v/>
      </c>
      <c r="AB27" s="14" t="str">
        <f>IFERROR(__xludf.DUMMYFUNCTION("IF(A27="""","""",IFNA(INDEX(FILTER('Profitability inputs'!$AA$6:$AA$205,'Profitability inputs'!$A$6:$A$205=A27,'Profitability inputs'!$C$6:$C$205=""TTM"",'Profitability inputs'!$AD$6:$AD$205=1),1),""n.a.""))"),"")</f>
        <v/>
      </c>
    </row>
    <row r="28" ht="31.5" customHeight="1">
      <c r="A28" s="14" t="str">
        <f>IF(Companies!A19="","",Companies!A19)</f>
        <v/>
      </c>
      <c r="B28" s="14" t="str">
        <f>IF(A28="","",Companies!C19)</f>
        <v/>
      </c>
      <c r="C28" s="14" t="str">
        <f>IF(A28="","",IF(ISNUMBER(Companies!I19),Companies!I19,"n.a."))</f>
        <v/>
      </c>
      <c r="D28" s="79"/>
      <c r="E28" s="14" t="str">
        <f>IFERROR(__xludf.DUMMYFUNCTION("IF(A28="""","""",IFNA(INDEX(FILTER('Profitability inputs'!$G$6:$G$205,'Profitability inputs'!$A$6:$A$205=A28,'Profitability inputs'!$C$6:$C$205=""TTM"",'Profitability inputs'!$AD$6:$AD$205=1),1),""n.a.""))"),"")</f>
        <v/>
      </c>
      <c r="F28" s="20" t="str">
        <f>IFERROR(__xludf.DUMMYFUNCTION("IF(A28="""","""",IFNA(INDEX(FILTER('Profitability inputs'!$D$6:$D$205,'Profitability inputs'!$A$6:$A$205=A28,'Profitability inputs'!$C$6:$C$205=""TTM"",'Profitability inputs'!$AD$6:$AD$205=1),1),""n.a.""))"),"")</f>
        <v/>
      </c>
      <c r="G28" s="80" t="str">
        <f>IFERROR(__xludf.DUMMYFUNCTION("IF(A28="""","""",IFNA(INDEX(FILTER('Profitability inputs'!$AG$6:$AG$205,'Profitability inputs'!$A$6:$A$205=A28,'Profitability inputs'!$C$6:$C$205=""TTM"",'Profitability inputs'!$AD$6:$AD$205=1),1),""n.a.""))"),"")</f>
        <v/>
      </c>
      <c r="H28" s="80" t="str">
        <f>IFERROR(__xludf.DUMMYFUNCTION("IF(A28="""","""",IFNA(INDEX(FILTER('Profitability inputs'!$AH$6:$AH$205,'Profitability inputs'!$A$6:$A$205=A28,'Profitability inputs'!$C$6:$C$205=""TTM"",'Profitability inputs'!$AD$6:$AD$205=1),1),""n.a.""))"),"")</f>
        <v/>
      </c>
      <c r="I28" s="81" t="str">
        <f t="shared" si="1"/>
        <v/>
      </c>
      <c r="J28" s="81" t="str">
        <f t="shared" si="2"/>
        <v/>
      </c>
      <c r="K28" s="81" t="str">
        <f t="shared" si="3"/>
        <v/>
      </c>
      <c r="L28" s="14" t="str">
        <f t="shared" si="4"/>
        <v/>
      </c>
      <c r="M28" s="14" t="str">
        <f t="shared" si="5"/>
        <v/>
      </c>
      <c r="N28" s="80" t="str">
        <f>IFERROR(__xludf.DUMMYFUNCTION("IF(A28="""","""",IFNA(INDEX(FILTER('Profitability inputs'!$AI$6:$AI$205,'Profitability inputs'!$A$6:$A$205=A28,'Profitability inputs'!$C$6:$C$205=""TTM"",'Profitability inputs'!$AD$6:$AD$205=1),1),""n.a.""))"),"")</f>
        <v/>
      </c>
      <c r="O28" s="82" t="str">
        <f>IFERROR(__xludf.DUMMYFUNCTION("IF(A28="""","""",IF(AA28&lt;&gt;3,""n.a."",IF(OR(COUNT(FILTER('Profitability inputs'!$V$6:$V$205,'Profitability inputs'!$A$6:$A$205=A28,'Profitability inputs'!$AN$6:$AN$205=1))&lt;&gt;3,COUNT(FILTER('Profitability inputs'!$W$6:$W$205,'Profitability inputs'!$A$6:$A$20"&amp;"5=A28,'Profitability inputs'!$AN$6:$AN$205=1))&lt;&gt;3,SUMIFS('Profitability inputs'!$W$6:$W$205,'Profitability inputs'!$A$6:$A$205,A28,'Profitability inputs'!$AN$6:$AN$205,1)&lt;=0),""n.a."",SUMIFS('Profitability inputs'!$V$6:$V$205,'Profitability inputs'!$A$6:$"&amp;"A$205,A28,'Profitability inputs'!$AN$6:$AN$205,1)/SUMIFS('Profitability inputs'!$W$6:$W$205,'Profitability inputs'!$A$6:$A$205,A28,'Profitability inputs'!$AN$6:$AN$205,1))))"),"")</f>
        <v/>
      </c>
      <c r="P28" s="80" t="str">
        <f>IFERROR(__xludf.DUMMYFUNCTION("IF(A28="""","""",IF(AA28&lt;&gt;3,""n.a."",MEDIAN(FILTER('Profitability inputs'!$AG$6:$AG$205,'Profitability inputs'!$A$6:$A$205=A28,'Profitability inputs'!$AN$6:$AN$205=1))))"),"")</f>
        <v/>
      </c>
      <c r="Q28" s="80" t="str">
        <f>IFERROR(__xludf.DUMMYFUNCTION("IF(A28="""","""",IF(AA28&lt;&gt;3,""n.a."",MEDIAN(FILTER('Profitability inputs'!$AH$6:$AH$205,'Profitability inputs'!$A$6:$A$205=A28,'Profitability inputs'!$AN$6:$AN$205=1))))"),"")</f>
        <v/>
      </c>
      <c r="R28" s="83" t="str">
        <f t="shared" si="6"/>
        <v/>
      </c>
      <c r="S28" s="83" t="str">
        <f t="shared" si="7"/>
        <v/>
      </c>
      <c r="T28" s="80" t="str">
        <f>IFERROR(__xludf.DUMMYFUNCTION("IF(A28="""","""",IFNA(INDEX(FILTER('Profitability inputs'!$AJ$6:$AJ$205,'Profitability inputs'!$A$6:$A$205=A28,'Profitability inputs'!$C$6:$C$205=""TTM"",'Profitability inputs'!$AD$6:$AD$205=1),1),""n.a.""))"),"")</f>
        <v/>
      </c>
      <c r="U28" s="80" t="str">
        <f>IFERROR(__xludf.DUMMYFUNCTION("IF(A28="""","""",IFNA(INDEX(FILTER('Profitability inputs'!$AK$6:$AK$205,'Profitability inputs'!$A$6:$A$205=A28,'Profitability inputs'!$C$6:$C$205=""TTM"",'Profitability inputs'!$AD$6:$AD$205=1),1),""n.a.""))"),"")</f>
        <v/>
      </c>
      <c r="V28" s="14" t="str">
        <f>IF(A28="","",IF(Companies!R19&lt;&gt;1,"Outside cap/scope universe",IF(D28="","Set business cohort",IF(COUNTIFS('Profitability inputs'!$A$6:$A$205,A28,'Profitability inputs'!$C$6:$C$205,"TTM")=0,"Add TTM financials",IF(COUNTIFS('Profitability inputs'!$A$6:$A$205,A28,'Profitability inputs'!$C$6:$C$205,"TTM")&lt;&gt;1,"Duplicate TTM records",IF(X28&lt;&gt;1,"Check financial data/dates/profile",IF($B$9&lt;&gt;"Ready",$B$9,IF(M28&lt;$B$6,"Too few same-cohort companies","Ready"))))))))</f>
        <v/>
      </c>
      <c r="W28" s="14" t="str">
        <f t="shared" si="8"/>
        <v/>
      </c>
      <c r="X28" s="14" t="str">
        <f>IFERROR(__xludf.DUMMYFUNCTION("IF(A28="""","""",IFERROR(IF(AND(Companies!R19=1,ISNUMBER(C28),C28&gt;=$B$5,D28&lt;&gt;"""",COUNTIFS('Profitability inputs'!$A$6:$A$205,A28,'Profitability inputs'!$C$6:$C$205,""TTM"")=1,COUNTIFS('Profitability inputs'!$A$6:$A$205,A28,'Profitability inputs'!$C$6:$C$"&amp;"205,""TTM"",'Profitability inputs'!$AD$6:$AD$205,1)=1,ISNUMBER(F28),F28&lt;=Rules!$B$6,Rules!$B$6-F28&lt;=Rules!$B$11,NOT(REGEXMATCH(LOWER(Companies!D19&amp;"" ""&amp;Companies!E19),""financial|bank|insurance|reit|real estate""))),1,0),0))"),"")</f>
        <v/>
      </c>
      <c r="Y28" s="81" t="str">
        <f t="shared" si="9"/>
        <v/>
      </c>
      <c r="Z28" s="81" t="str">
        <f t="shared" si="10"/>
        <v/>
      </c>
      <c r="AA28" s="14" t="str">
        <f>IF(A28="","",COUNTIFS('Profitability inputs'!$A$6:$A$205,A28,'Profitability inputs'!$AN$6:$AN$205,1))</f>
        <v/>
      </c>
      <c r="AB28" s="14" t="str">
        <f>IFERROR(__xludf.DUMMYFUNCTION("IF(A28="""","""",IFNA(INDEX(FILTER('Profitability inputs'!$AA$6:$AA$205,'Profitability inputs'!$A$6:$A$205=A28,'Profitability inputs'!$C$6:$C$205=""TTM"",'Profitability inputs'!$AD$6:$AD$205=1),1),""n.a.""))"),"")</f>
        <v/>
      </c>
    </row>
    <row r="29" ht="31.5" customHeight="1">
      <c r="A29" s="14" t="str">
        <f>IF(Companies!A20="","",Companies!A20)</f>
        <v/>
      </c>
      <c r="B29" s="14" t="str">
        <f>IF(A29="","",Companies!C20)</f>
        <v/>
      </c>
      <c r="C29" s="14" t="str">
        <f>IF(A29="","",IF(ISNUMBER(Companies!I20),Companies!I20,"n.a."))</f>
        <v/>
      </c>
      <c r="D29" s="79"/>
      <c r="E29" s="14" t="str">
        <f>IFERROR(__xludf.DUMMYFUNCTION("IF(A29="""","""",IFNA(INDEX(FILTER('Profitability inputs'!$G$6:$G$205,'Profitability inputs'!$A$6:$A$205=A29,'Profitability inputs'!$C$6:$C$205=""TTM"",'Profitability inputs'!$AD$6:$AD$205=1),1),""n.a.""))"),"")</f>
        <v/>
      </c>
      <c r="F29" s="20" t="str">
        <f>IFERROR(__xludf.DUMMYFUNCTION("IF(A29="""","""",IFNA(INDEX(FILTER('Profitability inputs'!$D$6:$D$205,'Profitability inputs'!$A$6:$A$205=A29,'Profitability inputs'!$C$6:$C$205=""TTM"",'Profitability inputs'!$AD$6:$AD$205=1),1),""n.a.""))"),"")</f>
        <v/>
      </c>
      <c r="G29" s="80" t="str">
        <f>IFERROR(__xludf.DUMMYFUNCTION("IF(A29="""","""",IFNA(INDEX(FILTER('Profitability inputs'!$AG$6:$AG$205,'Profitability inputs'!$A$6:$A$205=A29,'Profitability inputs'!$C$6:$C$205=""TTM"",'Profitability inputs'!$AD$6:$AD$205=1),1),""n.a.""))"),"")</f>
        <v/>
      </c>
      <c r="H29" s="80" t="str">
        <f>IFERROR(__xludf.DUMMYFUNCTION("IF(A29="""","""",IFNA(INDEX(FILTER('Profitability inputs'!$AH$6:$AH$205,'Profitability inputs'!$A$6:$A$205=A29,'Profitability inputs'!$C$6:$C$205=""TTM"",'Profitability inputs'!$AD$6:$AD$205=1),1),""n.a.""))"),"")</f>
        <v/>
      </c>
      <c r="I29" s="81" t="str">
        <f t="shared" si="1"/>
        <v/>
      </c>
      <c r="J29" s="81" t="str">
        <f t="shared" si="2"/>
        <v/>
      </c>
      <c r="K29" s="81" t="str">
        <f t="shared" si="3"/>
        <v/>
      </c>
      <c r="L29" s="14" t="str">
        <f t="shared" si="4"/>
        <v/>
      </c>
      <c r="M29" s="14" t="str">
        <f t="shared" si="5"/>
        <v/>
      </c>
      <c r="N29" s="80" t="str">
        <f>IFERROR(__xludf.DUMMYFUNCTION("IF(A29="""","""",IFNA(INDEX(FILTER('Profitability inputs'!$AI$6:$AI$205,'Profitability inputs'!$A$6:$A$205=A29,'Profitability inputs'!$C$6:$C$205=""TTM"",'Profitability inputs'!$AD$6:$AD$205=1),1),""n.a.""))"),"")</f>
        <v/>
      </c>
      <c r="O29" s="82" t="str">
        <f>IFERROR(__xludf.DUMMYFUNCTION("IF(A29="""","""",IF(AA29&lt;&gt;3,""n.a."",IF(OR(COUNT(FILTER('Profitability inputs'!$V$6:$V$205,'Profitability inputs'!$A$6:$A$205=A29,'Profitability inputs'!$AN$6:$AN$205=1))&lt;&gt;3,COUNT(FILTER('Profitability inputs'!$W$6:$W$205,'Profitability inputs'!$A$6:$A$20"&amp;"5=A29,'Profitability inputs'!$AN$6:$AN$205=1))&lt;&gt;3,SUMIFS('Profitability inputs'!$W$6:$W$205,'Profitability inputs'!$A$6:$A$205,A29,'Profitability inputs'!$AN$6:$AN$205,1)&lt;=0),""n.a."",SUMIFS('Profitability inputs'!$V$6:$V$205,'Profitability inputs'!$A$6:$"&amp;"A$205,A29,'Profitability inputs'!$AN$6:$AN$205,1)/SUMIFS('Profitability inputs'!$W$6:$W$205,'Profitability inputs'!$A$6:$A$205,A29,'Profitability inputs'!$AN$6:$AN$205,1))))"),"")</f>
        <v/>
      </c>
      <c r="P29" s="80" t="str">
        <f>IFERROR(__xludf.DUMMYFUNCTION("IF(A29="""","""",IF(AA29&lt;&gt;3,""n.a."",MEDIAN(FILTER('Profitability inputs'!$AG$6:$AG$205,'Profitability inputs'!$A$6:$A$205=A29,'Profitability inputs'!$AN$6:$AN$205=1))))"),"")</f>
        <v/>
      </c>
      <c r="Q29" s="80" t="str">
        <f>IFERROR(__xludf.DUMMYFUNCTION("IF(A29="""","""",IF(AA29&lt;&gt;3,""n.a."",MEDIAN(FILTER('Profitability inputs'!$AH$6:$AH$205,'Profitability inputs'!$A$6:$A$205=A29,'Profitability inputs'!$AN$6:$AN$205=1))))"),"")</f>
        <v/>
      </c>
      <c r="R29" s="83" t="str">
        <f t="shared" si="6"/>
        <v/>
      </c>
      <c r="S29" s="83" t="str">
        <f t="shared" si="7"/>
        <v/>
      </c>
      <c r="T29" s="80" t="str">
        <f>IFERROR(__xludf.DUMMYFUNCTION("IF(A29="""","""",IFNA(INDEX(FILTER('Profitability inputs'!$AJ$6:$AJ$205,'Profitability inputs'!$A$6:$A$205=A29,'Profitability inputs'!$C$6:$C$205=""TTM"",'Profitability inputs'!$AD$6:$AD$205=1),1),""n.a.""))"),"")</f>
        <v/>
      </c>
      <c r="U29" s="80" t="str">
        <f>IFERROR(__xludf.DUMMYFUNCTION("IF(A29="""","""",IFNA(INDEX(FILTER('Profitability inputs'!$AK$6:$AK$205,'Profitability inputs'!$A$6:$A$205=A29,'Profitability inputs'!$C$6:$C$205=""TTM"",'Profitability inputs'!$AD$6:$AD$205=1),1),""n.a.""))"),"")</f>
        <v/>
      </c>
      <c r="V29" s="14" t="str">
        <f>IF(A29="","",IF(Companies!R20&lt;&gt;1,"Outside cap/scope universe",IF(D29="","Set business cohort",IF(COUNTIFS('Profitability inputs'!$A$6:$A$205,A29,'Profitability inputs'!$C$6:$C$205,"TTM")=0,"Add TTM financials",IF(COUNTIFS('Profitability inputs'!$A$6:$A$205,A29,'Profitability inputs'!$C$6:$C$205,"TTM")&lt;&gt;1,"Duplicate TTM records",IF(X29&lt;&gt;1,"Check financial data/dates/profile",IF($B$9&lt;&gt;"Ready",$B$9,IF(M29&lt;$B$6,"Too few same-cohort companies","Ready"))))))))</f>
        <v/>
      </c>
      <c r="W29" s="14" t="str">
        <f t="shared" si="8"/>
        <v/>
      </c>
      <c r="X29" s="14" t="str">
        <f>IFERROR(__xludf.DUMMYFUNCTION("IF(A29="""","""",IFERROR(IF(AND(Companies!R20=1,ISNUMBER(C29),C29&gt;=$B$5,D29&lt;&gt;"""",COUNTIFS('Profitability inputs'!$A$6:$A$205,A29,'Profitability inputs'!$C$6:$C$205,""TTM"")=1,COUNTIFS('Profitability inputs'!$A$6:$A$205,A29,'Profitability inputs'!$C$6:$C$"&amp;"205,""TTM"",'Profitability inputs'!$AD$6:$AD$205,1)=1,ISNUMBER(F29),F29&lt;=Rules!$B$6,Rules!$B$6-F29&lt;=Rules!$B$11,NOT(REGEXMATCH(LOWER(Companies!D20&amp;"" ""&amp;Companies!E20),""financial|bank|insurance|reit|real estate""))),1,0),0))"),"")</f>
        <v/>
      </c>
      <c r="Y29" s="81" t="str">
        <f t="shared" si="9"/>
        <v/>
      </c>
      <c r="Z29" s="81" t="str">
        <f t="shared" si="10"/>
        <v/>
      </c>
      <c r="AA29" s="14" t="str">
        <f>IF(A29="","",COUNTIFS('Profitability inputs'!$A$6:$A$205,A29,'Profitability inputs'!$AN$6:$AN$205,1))</f>
        <v/>
      </c>
      <c r="AB29" s="14" t="str">
        <f>IFERROR(__xludf.DUMMYFUNCTION("IF(A29="""","""",IFNA(INDEX(FILTER('Profitability inputs'!$AA$6:$AA$205,'Profitability inputs'!$A$6:$A$205=A29,'Profitability inputs'!$C$6:$C$205=""TTM"",'Profitability inputs'!$AD$6:$AD$205=1),1),""n.a.""))"),"")</f>
        <v/>
      </c>
    </row>
    <row r="30" ht="31.5" customHeight="1">
      <c r="A30" s="14" t="str">
        <f>IF(Companies!A21="","",Companies!A21)</f>
        <v/>
      </c>
      <c r="B30" s="14" t="str">
        <f>IF(A30="","",Companies!C21)</f>
        <v/>
      </c>
      <c r="C30" s="14" t="str">
        <f>IF(A30="","",IF(ISNUMBER(Companies!I21),Companies!I21,"n.a."))</f>
        <v/>
      </c>
      <c r="D30" s="79"/>
      <c r="E30" s="14" t="str">
        <f>IFERROR(__xludf.DUMMYFUNCTION("IF(A30="""","""",IFNA(INDEX(FILTER('Profitability inputs'!$G$6:$G$205,'Profitability inputs'!$A$6:$A$205=A30,'Profitability inputs'!$C$6:$C$205=""TTM"",'Profitability inputs'!$AD$6:$AD$205=1),1),""n.a.""))"),"")</f>
        <v/>
      </c>
      <c r="F30" s="20" t="str">
        <f>IFERROR(__xludf.DUMMYFUNCTION("IF(A30="""","""",IFNA(INDEX(FILTER('Profitability inputs'!$D$6:$D$205,'Profitability inputs'!$A$6:$A$205=A30,'Profitability inputs'!$C$6:$C$205=""TTM"",'Profitability inputs'!$AD$6:$AD$205=1),1),""n.a.""))"),"")</f>
        <v/>
      </c>
      <c r="G30" s="80" t="str">
        <f>IFERROR(__xludf.DUMMYFUNCTION("IF(A30="""","""",IFNA(INDEX(FILTER('Profitability inputs'!$AG$6:$AG$205,'Profitability inputs'!$A$6:$A$205=A30,'Profitability inputs'!$C$6:$C$205=""TTM"",'Profitability inputs'!$AD$6:$AD$205=1),1),""n.a.""))"),"")</f>
        <v/>
      </c>
      <c r="H30" s="80" t="str">
        <f>IFERROR(__xludf.DUMMYFUNCTION("IF(A30="""","""",IFNA(INDEX(FILTER('Profitability inputs'!$AH$6:$AH$205,'Profitability inputs'!$A$6:$A$205=A30,'Profitability inputs'!$C$6:$C$205=""TTM"",'Profitability inputs'!$AD$6:$AD$205=1),1),""n.a.""))"),"")</f>
        <v/>
      </c>
      <c r="I30" s="81" t="str">
        <f t="shared" si="1"/>
        <v/>
      </c>
      <c r="J30" s="81" t="str">
        <f t="shared" si="2"/>
        <v/>
      </c>
      <c r="K30" s="81" t="str">
        <f t="shared" si="3"/>
        <v/>
      </c>
      <c r="L30" s="14" t="str">
        <f t="shared" si="4"/>
        <v/>
      </c>
      <c r="M30" s="14" t="str">
        <f t="shared" si="5"/>
        <v/>
      </c>
      <c r="N30" s="80" t="str">
        <f>IFERROR(__xludf.DUMMYFUNCTION("IF(A30="""","""",IFNA(INDEX(FILTER('Profitability inputs'!$AI$6:$AI$205,'Profitability inputs'!$A$6:$A$205=A30,'Profitability inputs'!$C$6:$C$205=""TTM"",'Profitability inputs'!$AD$6:$AD$205=1),1),""n.a.""))"),"")</f>
        <v/>
      </c>
      <c r="O30" s="82" t="str">
        <f>IFERROR(__xludf.DUMMYFUNCTION("IF(A30="""","""",IF(AA30&lt;&gt;3,""n.a."",IF(OR(COUNT(FILTER('Profitability inputs'!$V$6:$V$205,'Profitability inputs'!$A$6:$A$205=A30,'Profitability inputs'!$AN$6:$AN$205=1))&lt;&gt;3,COUNT(FILTER('Profitability inputs'!$W$6:$W$205,'Profitability inputs'!$A$6:$A$20"&amp;"5=A30,'Profitability inputs'!$AN$6:$AN$205=1))&lt;&gt;3,SUMIFS('Profitability inputs'!$W$6:$W$205,'Profitability inputs'!$A$6:$A$205,A30,'Profitability inputs'!$AN$6:$AN$205,1)&lt;=0),""n.a."",SUMIFS('Profitability inputs'!$V$6:$V$205,'Profitability inputs'!$A$6:$"&amp;"A$205,A30,'Profitability inputs'!$AN$6:$AN$205,1)/SUMIFS('Profitability inputs'!$W$6:$W$205,'Profitability inputs'!$A$6:$A$205,A30,'Profitability inputs'!$AN$6:$AN$205,1))))"),"")</f>
        <v/>
      </c>
      <c r="P30" s="80" t="str">
        <f>IFERROR(__xludf.DUMMYFUNCTION("IF(A30="""","""",IF(AA30&lt;&gt;3,""n.a."",MEDIAN(FILTER('Profitability inputs'!$AG$6:$AG$205,'Profitability inputs'!$A$6:$A$205=A30,'Profitability inputs'!$AN$6:$AN$205=1))))"),"")</f>
        <v/>
      </c>
      <c r="Q30" s="80" t="str">
        <f>IFERROR(__xludf.DUMMYFUNCTION("IF(A30="""","""",IF(AA30&lt;&gt;3,""n.a."",MEDIAN(FILTER('Profitability inputs'!$AH$6:$AH$205,'Profitability inputs'!$A$6:$A$205=A30,'Profitability inputs'!$AN$6:$AN$205=1))))"),"")</f>
        <v/>
      </c>
      <c r="R30" s="83" t="str">
        <f t="shared" si="6"/>
        <v/>
      </c>
      <c r="S30" s="83" t="str">
        <f t="shared" si="7"/>
        <v/>
      </c>
      <c r="T30" s="80" t="str">
        <f>IFERROR(__xludf.DUMMYFUNCTION("IF(A30="""","""",IFNA(INDEX(FILTER('Profitability inputs'!$AJ$6:$AJ$205,'Profitability inputs'!$A$6:$A$205=A30,'Profitability inputs'!$C$6:$C$205=""TTM"",'Profitability inputs'!$AD$6:$AD$205=1),1),""n.a.""))"),"")</f>
        <v/>
      </c>
      <c r="U30" s="80" t="str">
        <f>IFERROR(__xludf.DUMMYFUNCTION("IF(A30="""","""",IFNA(INDEX(FILTER('Profitability inputs'!$AK$6:$AK$205,'Profitability inputs'!$A$6:$A$205=A30,'Profitability inputs'!$C$6:$C$205=""TTM"",'Profitability inputs'!$AD$6:$AD$205=1),1),""n.a.""))"),"")</f>
        <v/>
      </c>
      <c r="V30" s="14" t="str">
        <f>IF(A30="","",IF(Companies!R21&lt;&gt;1,"Outside cap/scope universe",IF(D30="","Set business cohort",IF(COUNTIFS('Profitability inputs'!$A$6:$A$205,A30,'Profitability inputs'!$C$6:$C$205,"TTM")=0,"Add TTM financials",IF(COUNTIFS('Profitability inputs'!$A$6:$A$205,A30,'Profitability inputs'!$C$6:$C$205,"TTM")&lt;&gt;1,"Duplicate TTM records",IF(X30&lt;&gt;1,"Check financial data/dates/profile",IF($B$9&lt;&gt;"Ready",$B$9,IF(M30&lt;$B$6,"Too few same-cohort companies","Ready"))))))))</f>
        <v/>
      </c>
      <c r="W30" s="14" t="str">
        <f t="shared" si="8"/>
        <v/>
      </c>
      <c r="X30" s="14" t="str">
        <f>IFERROR(__xludf.DUMMYFUNCTION("IF(A30="""","""",IFERROR(IF(AND(Companies!R21=1,ISNUMBER(C30),C30&gt;=$B$5,D30&lt;&gt;"""",COUNTIFS('Profitability inputs'!$A$6:$A$205,A30,'Profitability inputs'!$C$6:$C$205,""TTM"")=1,COUNTIFS('Profitability inputs'!$A$6:$A$205,A30,'Profitability inputs'!$C$6:$C$"&amp;"205,""TTM"",'Profitability inputs'!$AD$6:$AD$205,1)=1,ISNUMBER(F30),F30&lt;=Rules!$B$6,Rules!$B$6-F30&lt;=Rules!$B$11,NOT(REGEXMATCH(LOWER(Companies!D21&amp;"" ""&amp;Companies!E21),""financial|bank|insurance|reit|real estate""))),1,0),0))"),"")</f>
        <v/>
      </c>
      <c r="Y30" s="81" t="str">
        <f t="shared" si="9"/>
        <v/>
      </c>
      <c r="Z30" s="81" t="str">
        <f t="shared" si="10"/>
        <v/>
      </c>
      <c r="AA30" s="14" t="str">
        <f>IF(A30="","",COUNTIFS('Profitability inputs'!$A$6:$A$205,A30,'Profitability inputs'!$AN$6:$AN$205,1))</f>
        <v/>
      </c>
      <c r="AB30" s="14" t="str">
        <f>IFERROR(__xludf.DUMMYFUNCTION("IF(A30="""","""",IFNA(INDEX(FILTER('Profitability inputs'!$AA$6:$AA$205,'Profitability inputs'!$A$6:$A$205=A30,'Profitability inputs'!$C$6:$C$205=""TTM"",'Profitability inputs'!$AD$6:$AD$205=1),1),""n.a.""))"),"")</f>
        <v/>
      </c>
    </row>
    <row r="31" ht="31.5" customHeight="1">
      <c r="A31" s="14" t="str">
        <f>IF(Companies!A22="","",Companies!A22)</f>
        <v/>
      </c>
      <c r="B31" s="14" t="str">
        <f>IF(A31="","",Companies!C22)</f>
        <v/>
      </c>
      <c r="C31" s="14" t="str">
        <f>IF(A31="","",IF(ISNUMBER(Companies!I22),Companies!I22,"n.a."))</f>
        <v/>
      </c>
      <c r="D31" s="79"/>
      <c r="E31" s="14" t="str">
        <f>IFERROR(__xludf.DUMMYFUNCTION("IF(A31="""","""",IFNA(INDEX(FILTER('Profitability inputs'!$G$6:$G$205,'Profitability inputs'!$A$6:$A$205=A31,'Profitability inputs'!$C$6:$C$205=""TTM"",'Profitability inputs'!$AD$6:$AD$205=1),1),""n.a.""))"),"")</f>
        <v/>
      </c>
      <c r="F31" s="20" t="str">
        <f>IFERROR(__xludf.DUMMYFUNCTION("IF(A31="""","""",IFNA(INDEX(FILTER('Profitability inputs'!$D$6:$D$205,'Profitability inputs'!$A$6:$A$205=A31,'Profitability inputs'!$C$6:$C$205=""TTM"",'Profitability inputs'!$AD$6:$AD$205=1),1),""n.a.""))"),"")</f>
        <v/>
      </c>
      <c r="G31" s="80" t="str">
        <f>IFERROR(__xludf.DUMMYFUNCTION("IF(A31="""","""",IFNA(INDEX(FILTER('Profitability inputs'!$AG$6:$AG$205,'Profitability inputs'!$A$6:$A$205=A31,'Profitability inputs'!$C$6:$C$205=""TTM"",'Profitability inputs'!$AD$6:$AD$205=1),1),""n.a.""))"),"")</f>
        <v/>
      </c>
      <c r="H31" s="80" t="str">
        <f>IFERROR(__xludf.DUMMYFUNCTION("IF(A31="""","""",IFNA(INDEX(FILTER('Profitability inputs'!$AH$6:$AH$205,'Profitability inputs'!$A$6:$A$205=A31,'Profitability inputs'!$C$6:$C$205=""TTM"",'Profitability inputs'!$AD$6:$AD$205=1),1),""n.a.""))"),"")</f>
        <v/>
      </c>
      <c r="I31" s="81" t="str">
        <f t="shared" si="1"/>
        <v/>
      </c>
      <c r="J31" s="81" t="str">
        <f t="shared" si="2"/>
        <v/>
      </c>
      <c r="K31" s="81" t="str">
        <f t="shared" si="3"/>
        <v/>
      </c>
      <c r="L31" s="14" t="str">
        <f t="shared" si="4"/>
        <v/>
      </c>
      <c r="M31" s="14" t="str">
        <f t="shared" si="5"/>
        <v/>
      </c>
      <c r="N31" s="80" t="str">
        <f>IFERROR(__xludf.DUMMYFUNCTION("IF(A31="""","""",IFNA(INDEX(FILTER('Profitability inputs'!$AI$6:$AI$205,'Profitability inputs'!$A$6:$A$205=A31,'Profitability inputs'!$C$6:$C$205=""TTM"",'Profitability inputs'!$AD$6:$AD$205=1),1),""n.a.""))"),"")</f>
        <v/>
      </c>
      <c r="O31" s="82" t="str">
        <f>IFERROR(__xludf.DUMMYFUNCTION("IF(A31="""","""",IF(AA31&lt;&gt;3,""n.a."",IF(OR(COUNT(FILTER('Profitability inputs'!$V$6:$V$205,'Profitability inputs'!$A$6:$A$205=A31,'Profitability inputs'!$AN$6:$AN$205=1))&lt;&gt;3,COUNT(FILTER('Profitability inputs'!$W$6:$W$205,'Profitability inputs'!$A$6:$A$20"&amp;"5=A31,'Profitability inputs'!$AN$6:$AN$205=1))&lt;&gt;3,SUMIFS('Profitability inputs'!$W$6:$W$205,'Profitability inputs'!$A$6:$A$205,A31,'Profitability inputs'!$AN$6:$AN$205,1)&lt;=0),""n.a."",SUMIFS('Profitability inputs'!$V$6:$V$205,'Profitability inputs'!$A$6:$"&amp;"A$205,A31,'Profitability inputs'!$AN$6:$AN$205,1)/SUMIFS('Profitability inputs'!$W$6:$W$205,'Profitability inputs'!$A$6:$A$205,A31,'Profitability inputs'!$AN$6:$AN$205,1))))"),"")</f>
        <v/>
      </c>
      <c r="P31" s="80" t="str">
        <f>IFERROR(__xludf.DUMMYFUNCTION("IF(A31="""","""",IF(AA31&lt;&gt;3,""n.a."",MEDIAN(FILTER('Profitability inputs'!$AG$6:$AG$205,'Profitability inputs'!$A$6:$A$205=A31,'Profitability inputs'!$AN$6:$AN$205=1))))"),"")</f>
        <v/>
      </c>
      <c r="Q31" s="80" t="str">
        <f>IFERROR(__xludf.DUMMYFUNCTION("IF(A31="""","""",IF(AA31&lt;&gt;3,""n.a."",MEDIAN(FILTER('Profitability inputs'!$AH$6:$AH$205,'Profitability inputs'!$A$6:$A$205=A31,'Profitability inputs'!$AN$6:$AN$205=1))))"),"")</f>
        <v/>
      </c>
      <c r="R31" s="83" t="str">
        <f t="shared" si="6"/>
        <v/>
      </c>
      <c r="S31" s="83" t="str">
        <f t="shared" si="7"/>
        <v/>
      </c>
      <c r="T31" s="80" t="str">
        <f>IFERROR(__xludf.DUMMYFUNCTION("IF(A31="""","""",IFNA(INDEX(FILTER('Profitability inputs'!$AJ$6:$AJ$205,'Profitability inputs'!$A$6:$A$205=A31,'Profitability inputs'!$C$6:$C$205=""TTM"",'Profitability inputs'!$AD$6:$AD$205=1),1),""n.a.""))"),"")</f>
        <v/>
      </c>
      <c r="U31" s="80" t="str">
        <f>IFERROR(__xludf.DUMMYFUNCTION("IF(A31="""","""",IFNA(INDEX(FILTER('Profitability inputs'!$AK$6:$AK$205,'Profitability inputs'!$A$6:$A$205=A31,'Profitability inputs'!$C$6:$C$205=""TTM"",'Profitability inputs'!$AD$6:$AD$205=1),1),""n.a.""))"),"")</f>
        <v/>
      </c>
      <c r="V31" s="14" t="str">
        <f>IF(A31="","",IF(Companies!R22&lt;&gt;1,"Outside cap/scope universe",IF(D31="","Set business cohort",IF(COUNTIFS('Profitability inputs'!$A$6:$A$205,A31,'Profitability inputs'!$C$6:$C$205,"TTM")=0,"Add TTM financials",IF(COUNTIFS('Profitability inputs'!$A$6:$A$205,A31,'Profitability inputs'!$C$6:$C$205,"TTM")&lt;&gt;1,"Duplicate TTM records",IF(X31&lt;&gt;1,"Check financial data/dates/profile",IF($B$9&lt;&gt;"Ready",$B$9,IF(M31&lt;$B$6,"Too few same-cohort companies","Ready"))))))))</f>
        <v/>
      </c>
      <c r="W31" s="14" t="str">
        <f t="shared" si="8"/>
        <v/>
      </c>
      <c r="X31" s="14" t="str">
        <f>IFERROR(__xludf.DUMMYFUNCTION("IF(A31="""","""",IFERROR(IF(AND(Companies!R22=1,ISNUMBER(C31),C31&gt;=$B$5,D31&lt;&gt;"""",COUNTIFS('Profitability inputs'!$A$6:$A$205,A31,'Profitability inputs'!$C$6:$C$205,""TTM"")=1,COUNTIFS('Profitability inputs'!$A$6:$A$205,A31,'Profitability inputs'!$C$6:$C$"&amp;"205,""TTM"",'Profitability inputs'!$AD$6:$AD$205,1)=1,ISNUMBER(F31),F31&lt;=Rules!$B$6,Rules!$B$6-F31&lt;=Rules!$B$11,NOT(REGEXMATCH(LOWER(Companies!D22&amp;"" ""&amp;Companies!E22),""financial|bank|insurance|reit|real estate""))),1,0),0))"),"")</f>
        <v/>
      </c>
      <c r="Y31" s="81" t="str">
        <f t="shared" si="9"/>
        <v/>
      </c>
      <c r="Z31" s="81" t="str">
        <f t="shared" si="10"/>
        <v/>
      </c>
      <c r="AA31" s="14" t="str">
        <f>IF(A31="","",COUNTIFS('Profitability inputs'!$A$6:$A$205,A31,'Profitability inputs'!$AN$6:$AN$205,1))</f>
        <v/>
      </c>
      <c r="AB31" s="14" t="str">
        <f>IFERROR(__xludf.DUMMYFUNCTION("IF(A31="""","""",IFNA(INDEX(FILTER('Profitability inputs'!$AA$6:$AA$205,'Profitability inputs'!$A$6:$A$205=A31,'Profitability inputs'!$C$6:$C$205=""TTM"",'Profitability inputs'!$AD$6:$AD$205=1),1),""n.a.""))"),"")</f>
        <v/>
      </c>
    </row>
    <row r="32" ht="31.5" customHeight="1">
      <c r="A32" s="14" t="str">
        <f>IF(Companies!A23="","",Companies!A23)</f>
        <v/>
      </c>
      <c r="B32" s="14" t="str">
        <f>IF(A32="","",Companies!C23)</f>
        <v/>
      </c>
      <c r="C32" s="14" t="str">
        <f>IF(A32="","",IF(ISNUMBER(Companies!I23),Companies!I23,"n.a."))</f>
        <v/>
      </c>
      <c r="D32" s="79"/>
      <c r="E32" s="14" t="str">
        <f>IFERROR(__xludf.DUMMYFUNCTION("IF(A32="""","""",IFNA(INDEX(FILTER('Profitability inputs'!$G$6:$G$205,'Profitability inputs'!$A$6:$A$205=A32,'Profitability inputs'!$C$6:$C$205=""TTM"",'Profitability inputs'!$AD$6:$AD$205=1),1),""n.a.""))"),"")</f>
        <v/>
      </c>
      <c r="F32" s="20" t="str">
        <f>IFERROR(__xludf.DUMMYFUNCTION("IF(A32="""","""",IFNA(INDEX(FILTER('Profitability inputs'!$D$6:$D$205,'Profitability inputs'!$A$6:$A$205=A32,'Profitability inputs'!$C$6:$C$205=""TTM"",'Profitability inputs'!$AD$6:$AD$205=1),1),""n.a.""))"),"")</f>
        <v/>
      </c>
      <c r="G32" s="80" t="str">
        <f>IFERROR(__xludf.DUMMYFUNCTION("IF(A32="""","""",IFNA(INDEX(FILTER('Profitability inputs'!$AG$6:$AG$205,'Profitability inputs'!$A$6:$A$205=A32,'Profitability inputs'!$C$6:$C$205=""TTM"",'Profitability inputs'!$AD$6:$AD$205=1),1),""n.a.""))"),"")</f>
        <v/>
      </c>
      <c r="H32" s="80" t="str">
        <f>IFERROR(__xludf.DUMMYFUNCTION("IF(A32="""","""",IFNA(INDEX(FILTER('Profitability inputs'!$AH$6:$AH$205,'Profitability inputs'!$A$6:$A$205=A32,'Profitability inputs'!$C$6:$C$205=""TTM"",'Profitability inputs'!$AD$6:$AD$205=1),1),""n.a.""))"),"")</f>
        <v/>
      </c>
      <c r="I32" s="81" t="str">
        <f t="shared" si="1"/>
        <v/>
      </c>
      <c r="J32" s="81" t="str">
        <f t="shared" si="2"/>
        <v/>
      </c>
      <c r="K32" s="81" t="str">
        <f t="shared" si="3"/>
        <v/>
      </c>
      <c r="L32" s="14" t="str">
        <f t="shared" si="4"/>
        <v/>
      </c>
      <c r="M32" s="14" t="str">
        <f t="shared" si="5"/>
        <v/>
      </c>
      <c r="N32" s="80" t="str">
        <f>IFERROR(__xludf.DUMMYFUNCTION("IF(A32="""","""",IFNA(INDEX(FILTER('Profitability inputs'!$AI$6:$AI$205,'Profitability inputs'!$A$6:$A$205=A32,'Profitability inputs'!$C$6:$C$205=""TTM"",'Profitability inputs'!$AD$6:$AD$205=1),1),""n.a.""))"),"")</f>
        <v/>
      </c>
      <c r="O32" s="82" t="str">
        <f>IFERROR(__xludf.DUMMYFUNCTION("IF(A32="""","""",IF(AA32&lt;&gt;3,""n.a."",IF(OR(COUNT(FILTER('Profitability inputs'!$V$6:$V$205,'Profitability inputs'!$A$6:$A$205=A32,'Profitability inputs'!$AN$6:$AN$205=1))&lt;&gt;3,COUNT(FILTER('Profitability inputs'!$W$6:$W$205,'Profitability inputs'!$A$6:$A$20"&amp;"5=A32,'Profitability inputs'!$AN$6:$AN$205=1))&lt;&gt;3,SUMIFS('Profitability inputs'!$W$6:$W$205,'Profitability inputs'!$A$6:$A$205,A32,'Profitability inputs'!$AN$6:$AN$205,1)&lt;=0),""n.a."",SUMIFS('Profitability inputs'!$V$6:$V$205,'Profitability inputs'!$A$6:$"&amp;"A$205,A32,'Profitability inputs'!$AN$6:$AN$205,1)/SUMIFS('Profitability inputs'!$W$6:$W$205,'Profitability inputs'!$A$6:$A$205,A32,'Profitability inputs'!$AN$6:$AN$205,1))))"),"")</f>
        <v/>
      </c>
      <c r="P32" s="80" t="str">
        <f>IFERROR(__xludf.DUMMYFUNCTION("IF(A32="""","""",IF(AA32&lt;&gt;3,""n.a."",MEDIAN(FILTER('Profitability inputs'!$AG$6:$AG$205,'Profitability inputs'!$A$6:$A$205=A32,'Profitability inputs'!$AN$6:$AN$205=1))))"),"")</f>
        <v/>
      </c>
      <c r="Q32" s="80" t="str">
        <f>IFERROR(__xludf.DUMMYFUNCTION("IF(A32="""","""",IF(AA32&lt;&gt;3,""n.a."",MEDIAN(FILTER('Profitability inputs'!$AH$6:$AH$205,'Profitability inputs'!$A$6:$A$205=A32,'Profitability inputs'!$AN$6:$AN$205=1))))"),"")</f>
        <v/>
      </c>
      <c r="R32" s="83" t="str">
        <f t="shared" si="6"/>
        <v/>
      </c>
      <c r="S32" s="83" t="str">
        <f t="shared" si="7"/>
        <v/>
      </c>
      <c r="T32" s="80" t="str">
        <f>IFERROR(__xludf.DUMMYFUNCTION("IF(A32="""","""",IFNA(INDEX(FILTER('Profitability inputs'!$AJ$6:$AJ$205,'Profitability inputs'!$A$6:$A$205=A32,'Profitability inputs'!$C$6:$C$205=""TTM"",'Profitability inputs'!$AD$6:$AD$205=1),1),""n.a.""))"),"")</f>
        <v/>
      </c>
      <c r="U32" s="80" t="str">
        <f>IFERROR(__xludf.DUMMYFUNCTION("IF(A32="""","""",IFNA(INDEX(FILTER('Profitability inputs'!$AK$6:$AK$205,'Profitability inputs'!$A$6:$A$205=A32,'Profitability inputs'!$C$6:$C$205=""TTM"",'Profitability inputs'!$AD$6:$AD$205=1),1),""n.a.""))"),"")</f>
        <v/>
      </c>
      <c r="V32" s="14" t="str">
        <f>IF(A32="","",IF(Companies!R23&lt;&gt;1,"Outside cap/scope universe",IF(D32="","Set business cohort",IF(COUNTIFS('Profitability inputs'!$A$6:$A$205,A32,'Profitability inputs'!$C$6:$C$205,"TTM")=0,"Add TTM financials",IF(COUNTIFS('Profitability inputs'!$A$6:$A$205,A32,'Profitability inputs'!$C$6:$C$205,"TTM")&lt;&gt;1,"Duplicate TTM records",IF(X32&lt;&gt;1,"Check financial data/dates/profile",IF($B$9&lt;&gt;"Ready",$B$9,IF(M32&lt;$B$6,"Too few same-cohort companies","Ready"))))))))</f>
        <v/>
      </c>
      <c r="W32" s="14" t="str">
        <f t="shared" si="8"/>
        <v/>
      </c>
      <c r="X32" s="14" t="str">
        <f>IFERROR(__xludf.DUMMYFUNCTION("IF(A32="""","""",IFERROR(IF(AND(Companies!R23=1,ISNUMBER(C32),C32&gt;=$B$5,D32&lt;&gt;"""",COUNTIFS('Profitability inputs'!$A$6:$A$205,A32,'Profitability inputs'!$C$6:$C$205,""TTM"")=1,COUNTIFS('Profitability inputs'!$A$6:$A$205,A32,'Profitability inputs'!$C$6:$C$"&amp;"205,""TTM"",'Profitability inputs'!$AD$6:$AD$205,1)=1,ISNUMBER(F32),F32&lt;=Rules!$B$6,Rules!$B$6-F32&lt;=Rules!$B$11,NOT(REGEXMATCH(LOWER(Companies!D23&amp;"" ""&amp;Companies!E23),""financial|bank|insurance|reit|real estate""))),1,0),0))"),"")</f>
        <v/>
      </c>
      <c r="Y32" s="81" t="str">
        <f t="shared" si="9"/>
        <v/>
      </c>
      <c r="Z32" s="81" t="str">
        <f t="shared" si="10"/>
        <v/>
      </c>
      <c r="AA32" s="14" t="str">
        <f>IF(A32="","",COUNTIFS('Profitability inputs'!$A$6:$A$205,A32,'Profitability inputs'!$AN$6:$AN$205,1))</f>
        <v/>
      </c>
      <c r="AB32" s="14" t="str">
        <f>IFERROR(__xludf.DUMMYFUNCTION("IF(A32="""","""",IFNA(INDEX(FILTER('Profitability inputs'!$AA$6:$AA$205,'Profitability inputs'!$A$6:$A$205=A32,'Profitability inputs'!$C$6:$C$205=""TTM"",'Profitability inputs'!$AD$6:$AD$205=1),1),""n.a.""))"),"")</f>
        <v/>
      </c>
    </row>
    <row r="33" ht="31.5" customHeight="1">
      <c r="A33" s="14" t="str">
        <f>IF(Companies!A24="","",Companies!A24)</f>
        <v/>
      </c>
      <c r="B33" s="14" t="str">
        <f>IF(A33="","",Companies!C24)</f>
        <v/>
      </c>
      <c r="C33" s="14" t="str">
        <f>IF(A33="","",IF(ISNUMBER(Companies!I24),Companies!I24,"n.a."))</f>
        <v/>
      </c>
      <c r="D33" s="79"/>
      <c r="E33" s="14" t="str">
        <f>IFERROR(__xludf.DUMMYFUNCTION("IF(A33="""","""",IFNA(INDEX(FILTER('Profitability inputs'!$G$6:$G$205,'Profitability inputs'!$A$6:$A$205=A33,'Profitability inputs'!$C$6:$C$205=""TTM"",'Profitability inputs'!$AD$6:$AD$205=1),1),""n.a.""))"),"")</f>
        <v/>
      </c>
      <c r="F33" s="20" t="str">
        <f>IFERROR(__xludf.DUMMYFUNCTION("IF(A33="""","""",IFNA(INDEX(FILTER('Profitability inputs'!$D$6:$D$205,'Profitability inputs'!$A$6:$A$205=A33,'Profitability inputs'!$C$6:$C$205=""TTM"",'Profitability inputs'!$AD$6:$AD$205=1),1),""n.a.""))"),"")</f>
        <v/>
      </c>
      <c r="G33" s="80" t="str">
        <f>IFERROR(__xludf.DUMMYFUNCTION("IF(A33="""","""",IFNA(INDEX(FILTER('Profitability inputs'!$AG$6:$AG$205,'Profitability inputs'!$A$6:$A$205=A33,'Profitability inputs'!$C$6:$C$205=""TTM"",'Profitability inputs'!$AD$6:$AD$205=1),1),""n.a.""))"),"")</f>
        <v/>
      </c>
      <c r="H33" s="80" t="str">
        <f>IFERROR(__xludf.DUMMYFUNCTION("IF(A33="""","""",IFNA(INDEX(FILTER('Profitability inputs'!$AH$6:$AH$205,'Profitability inputs'!$A$6:$A$205=A33,'Profitability inputs'!$C$6:$C$205=""TTM"",'Profitability inputs'!$AD$6:$AD$205=1),1),""n.a.""))"),"")</f>
        <v/>
      </c>
      <c r="I33" s="81" t="str">
        <f t="shared" si="1"/>
        <v/>
      </c>
      <c r="J33" s="81" t="str">
        <f t="shared" si="2"/>
        <v/>
      </c>
      <c r="K33" s="81" t="str">
        <f t="shared" si="3"/>
        <v/>
      </c>
      <c r="L33" s="14" t="str">
        <f t="shared" si="4"/>
        <v/>
      </c>
      <c r="M33" s="14" t="str">
        <f t="shared" si="5"/>
        <v/>
      </c>
      <c r="N33" s="80" t="str">
        <f>IFERROR(__xludf.DUMMYFUNCTION("IF(A33="""","""",IFNA(INDEX(FILTER('Profitability inputs'!$AI$6:$AI$205,'Profitability inputs'!$A$6:$A$205=A33,'Profitability inputs'!$C$6:$C$205=""TTM"",'Profitability inputs'!$AD$6:$AD$205=1),1),""n.a.""))"),"")</f>
        <v/>
      </c>
      <c r="O33" s="82" t="str">
        <f>IFERROR(__xludf.DUMMYFUNCTION("IF(A33="""","""",IF(AA33&lt;&gt;3,""n.a."",IF(OR(COUNT(FILTER('Profitability inputs'!$V$6:$V$205,'Profitability inputs'!$A$6:$A$205=A33,'Profitability inputs'!$AN$6:$AN$205=1))&lt;&gt;3,COUNT(FILTER('Profitability inputs'!$W$6:$W$205,'Profitability inputs'!$A$6:$A$20"&amp;"5=A33,'Profitability inputs'!$AN$6:$AN$205=1))&lt;&gt;3,SUMIFS('Profitability inputs'!$W$6:$W$205,'Profitability inputs'!$A$6:$A$205,A33,'Profitability inputs'!$AN$6:$AN$205,1)&lt;=0),""n.a."",SUMIFS('Profitability inputs'!$V$6:$V$205,'Profitability inputs'!$A$6:$"&amp;"A$205,A33,'Profitability inputs'!$AN$6:$AN$205,1)/SUMIFS('Profitability inputs'!$W$6:$W$205,'Profitability inputs'!$A$6:$A$205,A33,'Profitability inputs'!$AN$6:$AN$205,1))))"),"")</f>
        <v/>
      </c>
      <c r="P33" s="80" t="str">
        <f>IFERROR(__xludf.DUMMYFUNCTION("IF(A33="""","""",IF(AA33&lt;&gt;3,""n.a."",MEDIAN(FILTER('Profitability inputs'!$AG$6:$AG$205,'Profitability inputs'!$A$6:$A$205=A33,'Profitability inputs'!$AN$6:$AN$205=1))))"),"")</f>
        <v/>
      </c>
      <c r="Q33" s="80" t="str">
        <f>IFERROR(__xludf.DUMMYFUNCTION("IF(A33="""","""",IF(AA33&lt;&gt;3,""n.a."",MEDIAN(FILTER('Profitability inputs'!$AH$6:$AH$205,'Profitability inputs'!$A$6:$A$205=A33,'Profitability inputs'!$AN$6:$AN$205=1))))"),"")</f>
        <v/>
      </c>
      <c r="R33" s="83" t="str">
        <f t="shared" si="6"/>
        <v/>
      </c>
      <c r="S33" s="83" t="str">
        <f t="shared" si="7"/>
        <v/>
      </c>
      <c r="T33" s="80" t="str">
        <f>IFERROR(__xludf.DUMMYFUNCTION("IF(A33="""","""",IFNA(INDEX(FILTER('Profitability inputs'!$AJ$6:$AJ$205,'Profitability inputs'!$A$6:$A$205=A33,'Profitability inputs'!$C$6:$C$205=""TTM"",'Profitability inputs'!$AD$6:$AD$205=1),1),""n.a.""))"),"")</f>
        <v/>
      </c>
      <c r="U33" s="80" t="str">
        <f>IFERROR(__xludf.DUMMYFUNCTION("IF(A33="""","""",IFNA(INDEX(FILTER('Profitability inputs'!$AK$6:$AK$205,'Profitability inputs'!$A$6:$A$205=A33,'Profitability inputs'!$C$6:$C$205=""TTM"",'Profitability inputs'!$AD$6:$AD$205=1),1),""n.a.""))"),"")</f>
        <v/>
      </c>
      <c r="V33" s="14" t="str">
        <f>IF(A33="","",IF(Companies!R24&lt;&gt;1,"Outside cap/scope universe",IF(D33="","Set business cohort",IF(COUNTIFS('Profitability inputs'!$A$6:$A$205,A33,'Profitability inputs'!$C$6:$C$205,"TTM")=0,"Add TTM financials",IF(COUNTIFS('Profitability inputs'!$A$6:$A$205,A33,'Profitability inputs'!$C$6:$C$205,"TTM")&lt;&gt;1,"Duplicate TTM records",IF(X33&lt;&gt;1,"Check financial data/dates/profile",IF($B$9&lt;&gt;"Ready",$B$9,IF(M33&lt;$B$6,"Too few same-cohort companies","Ready"))))))))</f>
        <v/>
      </c>
      <c r="W33" s="14" t="str">
        <f t="shared" si="8"/>
        <v/>
      </c>
      <c r="X33" s="14" t="str">
        <f>IFERROR(__xludf.DUMMYFUNCTION("IF(A33="""","""",IFERROR(IF(AND(Companies!R24=1,ISNUMBER(C33),C33&gt;=$B$5,D33&lt;&gt;"""",COUNTIFS('Profitability inputs'!$A$6:$A$205,A33,'Profitability inputs'!$C$6:$C$205,""TTM"")=1,COUNTIFS('Profitability inputs'!$A$6:$A$205,A33,'Profitability inputs'!$C$6:$C$"&amp;"205,""TTM"",'Profitability inputs'!$AD$6:$AD$205,1)=1,ISNUMBER(F33),F33&lt;=Rules!$B$6,Rules!$B$6-F33&lt;=Rules!$B$11,NOT(REGEXMATCH(LOWER(Companies!D24&amp;"" ""&amp;Companies!E24),""financial|bank|insurance|reit|real estate""))),1,0),0))"),"")</f>
        <v/>
      </c>
      <c r="Y33" s="81" t="str">
        <f t="shared" si="9"/>
        <v/>
      </c>
      <c r="Z33" s="81" t="str">
        <f t="shared" si="10"/>
        <v/>
      </c>
      <c r="AA33" s="14" t="str">
        <f>IF(A33="","",COUNTIFS('Profitability inputs'!$A$6:$A$205,A33,'Profitability inputs'!$AN$6:$AN$205,1))</f>
        <v/>
      </c>
      <c r="AB33" s="14" t="str">
        <f>IFERROR(__xludf.DUMMYFUNCTION("IF(A33="""","""",IFNA(INDEX(FILTER('Profitability inputs'!$AA$6:$AA$205,'Profitability inputs'!$A$6:$A$205=A33,'Profitability inputs'!$C$6:$C$205=""TTM"",'Profitability inputs'!$AD$6:$AD$205=1),1),""n.a.""))"),"")</f>
        <v/>
      </c>
    </row>
    <row r="34" ht="31.5" customHeight="1">
      <c r="A34" s="14" t="str">
        <f>IF(Companies!A25="","",Companies!A25)</f>
        <v/>
      </c>
      <c r="B34" s="14" t="str">
        <f>IF(A34="","",Companies!C25)</f>
        <v/>
      </c>
      <c r="C34" s="14" t="str">
        <f>IF(A34="","",IF(ISNUMBER(Companies!I25),Companies!I25,"n.a."))</f>
        <v/>
      </c>
      <c r="D34" s="79"/>
      <c r="E34" s="14" t="str">
        <f>IFERROR(__xludf.DUMMYFUNCTION("IF(A34="""","""",IFNA(INDEX(FILTER('Profitability inputs'!$G$6:$G$205,'Profitability inputs'!$A$6:$A$205=A34,'Profitability inputs'!$C$6:$C$205=""TTM"",'Profitability inputs'!$AD$6:$AD$205=1),1),""n.a.""))"),"")</f>
        <v/>
      </c>
      <c r="F34" s="20" t="str">
        <f>IFERROR(__xludf.DUMMYFUNCTION("IF(A34="""","""",IFNA(INDEX(FILTER('Profitability inputs'!$D$6:$D$205,'Profitability inputs'!$A$6:$A$205=A34,'Profitability inputs'!$C$6:$C$205=""TTM"",'Profitability inputs'!$AD$6:$AD$205=1),1),""n.a.""))"),"")</f>
        <v/>
      </c>
      <c r="G34" s="80" t="str">
        <f>IFERROR(__xludf.DUMMYFUNCTION("IF(A34="""","""",IFNA(INDEX(FILTER('Profitability inputs'!$AG$6:$AG$205,'Profitability inputs'!$A$6:$A$205=A34,'Profitability inputs'!$C$6:$C$205=""TTM"",'Profitability inputs'!$AD$6:$AD$205=1),1),""n.a.""))"),"")</f>
        <v/>
      </c>
      <c r="H34" s="80" t="str">
        <f>IFERROR(__xludf.DUMMYFUNCTION("IF(A34="""","""",IFNA(INDEX(FILTER('Profitability inputs'!$AH$6:$AH$205,'Profitability inputs'!$A$6:$A$205=A34,'Profitability inputs'!$C$6:$C$205=""TTM"",'Profitability inputs'!$AD$6:$AD$205=1),1),""n.a.""))"),"")</f>
        <v/>
      </c>
      <c r="I34" s="81" t="str">
        <f t="shared" si="1"/>
        <v/>
      </c>
      <c r="J34" s="81" t="str">
        <f t="shared" si="2"/>
        <v/>
      </c>
      <c r="K34" s="81" t="str">
        <f t="shared" si="3"/>
        <v/>
      </c>
      <c r="L34" s="14" t="str">
        <f t="shared" si="4"/>
        <v/>
      </c>
      <c r="M34" s="14" t="str">
        <f t="shared" si="5"/>
        <v/>
      </c>
      <c r="N34" s="80" t="str">
        <f>IFERROR(__xludf.DUMMYFUNCTION("IF(A34="""","""",IFNA(INDEX(FILTER('Profitability inputs'!$AI$6:$AI$205,'Profitability inputs'!$A$6:$A$205=A34,'Profitability inputs'!$C$6:$C$205=""TTM"",'Profitability inputs'!$AD$6:$AD$205=1),1),""n.a.""))"),"")</f>
        <v/>
      </c>
      <c r="O34" s="82" t="str">
        <f>IFERROR(__xludf.DUMMYFUNCTION("IF(A34="""","""",IF(AA34&lt;&gt;3,""n.a."",IF(OR(COUNT(FILTER('Profitability inputs'!$V$6:$V$205,'Profitability inputs'!$A$6:$A$205=A34,'Profitability inputs'!$AN$6:$AN$205=1))&lt;&gt;3,COUNT(FILTER('Profitability inputs'!$W$6:$W$205,'Profitability inputs'!$A$6:$A$20"&amp;"5=A34,'Profitability inputs'!$AN$6:$AN$205=1))&lt;&gt;3,SUMIFS('Profitability inputs'!$W$6:$W$205,'Profitability inputs'!$A$6:$A$205,A34,'Profitability inputs'!$AN$6:$AN$205,1)&lt;=0),""n.a."",SUMIFS('Profitability inputs'!$V$6:$V$205,'Profitability inputs'!$A$6:$"&amp;"A$205,A34,'Profitability inputs'!$AN$6:$AN$205,1)/SUMIFS('Profitability inputs'!$W$6:$W$205,'Profitability inputs'!$A$6:$A$205,A34,'Profitability inputs'!$AN$6:$AN$205,1))))"),"")</f>
        <v/>
      </c>
      <c r="P34" s="80" t="str">
        <f>IFERROR(__xludf.DUMMYFUNCTION("IF(A34="""","""",IF(AA34&lt;&gt;3,""n.a."",MEDIAN(FILTER('Profitability inputs'!$AG$6:$AG$205,'Profitability inputs'!$A$6:$A$205=A34,'Profitability inputs'!$AN$6:$AN$205=1))))"),"")</f>
        <v/>
      </c>
      <c r="Q34" s="80" t="str">
        <f>IFERROR(__xludf.DUMMYFUNCTION("IF(A34="""","""",IF(AA34&lt;&gt;3,""n.a."",MEDIAN(FILTER('Profitability inputs'!$AH$6:$AH$205,'Profitability inputs'!$A$6:$A$205=A34,'Profitability inputs'!$AN$6:$AN$205=1))))"),"")</f>
        <v/>
      </c>
      <c r="R34" s="83" t="str">
        <f t="shared" si="6"/>
        <v/>
      </c>
      <c r="S34" s="83" t="str">
        <f t="shared" si="7"/>
        <v/>
      </c>
      <c r="T34" s="80" t="str">
        <f>IFERROR(__xludf.DUMMYFUNCTION("IF(A34="""","""",IFNA(INDEX(FILTER('Profitability inputs'!$AJ$6:$AJ$205,'Profitability inputs'!$A$6:$A$205=A34,'Profitability inputs'!$C$6:$C$205=""TTM"",'Profitability inputs'!$AD$6:$AD$205=1),1),""n.a.""))"),"")</f>
        <v/>
      </c>
      <c r="U34" s="80" t="str">
        <f>IFERROR(__xludf.DUMMYFUNCTION("IF(A34="""","""",IFNA(INDEX(FILTER('Profitability inputs'!$AK$6:$AK$205,'Profitability inputs'!$A$6:$A$205=A34,'Profitability inputs'!$C$6:$C$205=""TTM"",'Profitability inputs'!$AD$6:$AD$205=1),1),""n.a.""))"),"")</f>
        <v/>
      </c>
      <c r="V34" s="14" t="str">
        <f>IF(A34="","",IF(Companies!R25&lt;&gt;1,"Outside cap/scope universe",IF(D34="","Set business cohort",IF(COUNTIFS('Profitability inputs'!$A$6:$A$205,A34,'Profitability inputs'!$C$6:$C$205,"TTM")=0,"Add TTM financials",IF(COUNTIFS('Profitability inputs'!$A$6:$A$205,A34,'Profitability inputs'!$C$6:$C$205,"TTM")&lt;&gt;1,"Duplicate TTM records",IF(X34&lt;&gt;1,"Check financial data/dates/profile",IF($B$9&lt;&gt;"Ready",$B$9,IF(M34&lt;$B$6,"Too few same-cohort companies","Ready"))))))))</f>
        <v/>
      </c>
      <c r="W34" s="14" t="str">
        <f t="shared" si="8"/>
        <v/>
      </c>
      <c r="X34" s="14" t="str">
        <f>IFERROR(__xludf.DUMMYFUNCTION("IF(A34="""","""",IFERROR(IF(AND(Companies!R25=1,ISNUMBER(C34),C34&gt;=$B$5,D34&lt;&gt;"""",COUNTIFS('Profitability inputs'!$A$6:$A$205,A34,'Profitability inputs'!$C$6:$C$205,""TTM"")=1,COUNTIFS('Profitability inputs'!$A$6:$A$205,A34,'Profitability inputs'!$C$6:$C$"&amp;"205,""TTM"",'Profitability inputs'!$AD$6:$AD$205,1)=1,ISNUMBER(F34),F34&lt;=Rules!$B$6,Rules!$B$6-F34&lt;=Rules!$B$11,NOT(REGEXMATCH(LOWER(Companies!D25&amp;"" ""&amp;Companies!E25),""financial|bank|insurance|reit|real estate""))),1,0),0))"),"")</f>
        <v/>
      </c>
      <c r="Y34" s="81" t="str">
        <f t="shared" si="9"/>
        <v/>
      </c>
      <c r="Z34" s="81" t="str">
        <f t="shared" si="10"/>
        <v/>
      </c>
      <c r="AA34" s="14" t="str">
        <f>IF(A34="","",COUNTIFS('Profitability inputs'!$A$6:$A$205,A34,'Profitability inputs'!$AN$6:$AN$205,1))</f>
        <v/>
      </c>
      <c r="AB34" s="14" t="str">
        <f>IFERROR(__xludf.DUMMYFUNCTION("IF(A34="""","""",IFNA(INDEX(FILTER('Profitability inputs'!$AA$6:$AA$205,'Profitability inputs'!$A$6:$A$205=A34,'Profitability inputs'!$C$6:$C$205=""TTM"",'Profitability inputs'!$AD$6:$AD$205=1),1),""n.a.""))"),"")</f>
        <v/>
      </c>
    </row>
    <row r="35" ht="31.5" customHeight="1">
      <c r="A35" s="14" t="str">
        <f>IF(Companies!A26="","",Companies!A26)</f>
        <v/>
      </c>
      <c r="B35" s="14" t="str">
        <f>IF(A35="","",Companies!C26)</f>
        <v/>
      </c>
      <c r="C35" s="14" t="str">
        <f>IF(A35="","",IF(ISNUMBER(Companies!I26),Companies!I26,"n.a."))</f>
        <v/>
      </c>
      <c r="D35" s="79"/>
      <c r="E35" s="14" t="str">
        <f>IFERROR(__xludf.DUMMYFUNCTION("IF(A35="""","""",IFNA(INDEX(FILTER('Profitability inputs'!$G$6:$G$205,'Profitability inputs'!$A$6:$A$205=A35,'Profitability inputs'!$C$6:$C$205=""TTM"",'Profitability inputs'!$AD$6:$AD$205=1),1),""n.a.""))"),"")</f>
        <v/>
      </c>
      <c r="F35" s="20" t="str">
        <f>IFERROR(__xludf.DUMMYFUNCTION("IF(A35="""","""",IFNA(INDEX(FILTER('Profitability inputs'!$D$6:$D$205,'Profitability inputs'!$A$6:$A$205=A35,'Profitability inputs'!$C$6:$C$205=""TTM"",'Profitability inputs'!$AD$6:$AD$205=1),1),""n.a.""))"),"")</f>
        <v/>
      </c>
      <c r="G35" s="80" t="str">
        <f>IFERROR(__xludf.DUMMYFUNCTION("IF(A35="""","""",IFNA(INDEX(FILTER('Profitability inputs'!$AG$6:$AG$205,'Profitability inputs'!$A$6:$A$205=A35,'Profitability inputs'!$C$6:$C$205=""TTM"",'Profitability inputs'!$AD$6:$AD$205=1),1),""n.a.""))"),"")</f>
        <v/>
      </c>
      <c r="H35" s="80" t="str">
        <f>IFERROR(__xludf.DUMMYFUNCTION("IF(A35="""","""",IFNA(INDEX(FILTER('Profitability inputs'!$AH$6:$AH$205,'Profitability inputs'!$A$6:$A$205=A35,'Profitability inputs'!$C$6:$C$205=""TTM"",'Profitability inputs'!$AD$6:$AD$205=1),1),""n.a.""))"),"")</f>
        <v/>
      </c>
      <c r="I35" s="81" t="str">
        <f t="shared" si="1"/>
        <v/>
      </c>
      <c r="J35" s="81" t="str">
        <f t="shared" si="2"/>
        <v/>
      </c>
      <c r="K35" s="81" t="str">
        <f t="shared" si="3"/>
        <v/>
      </c>
      <c r="L35" s="14" t="str">
        <f t="shared" si="4"/>
        <v/>
      </c>
      <c r="M35" s="14" t="str">
        <f t="shared" si="5"/>
        <v/>
      </c>
      <c r="N35" s="80" t="str">
        <f>IFERROR(__xludf.DUMMYFUNCTION("IF(A35="""","""",IFNA(INDEX(FILTER('Profitability inputs'!$AI$6:$AI$205,'Profitability inputs'!$A$6:$A$205=A35,'Profitability inputs'!$C$6:$C$205=""TTM"",'Profitability inputs'!$AD$6:$AD$205=1),1),""n.a.""))"),"")</f>
        <v/>
      </c>
      <c r="O35" s="82" t="str">
        <f>IFERROR(__xludf.DUMMYFUNCTION("IF(A35="""","""",IF(AA35&lt;&gt;3,""n.a."",IF(OR(COUNT(FILTER('Profitability inputs'!$V$6:$V$205,'Profitability inputs'!$A$6:$A$205=A35,'Profitability inputs'!$AN$6:$AN$205=1))&lt;&gt;3,COUNT(FILTER('Profitability inputs'!$W$6:$W$205,'Profitability inputs'!$A$6:$A$20"&amp;"5=A35,'Profitability inputs'!$AN$6:$AN$205=1))&lt;&gt;3,SUMIFS('Profitability inputs'!$W$6:$W$205,'Profitability inputs'!$A$6:$A$205,A35,'Profitability inputs'!$AN$6:$AN$205,1)&lt;=0),""n.a."",SUMIFS('Profitability inputs'!$V$6:$V$205,'Profitability inputs'!$A$6:$"&amp;"A$205,A35,'Profitability inputs'!$AN$6:$AN$205,1)/SUMIFS('Profitability inputs'!$W$6:$W$205,'Profitability inputs'!$A$6:$A$205,A35,'Profitability inputs'!$AN$6:$AN$205,1))))"),"")</f>
        <v/>
      </c>
      <c r="P35" s="80" t="str">
        <f>IFERROR(__xludf.DUMMYFUNCTION("IF(A35="""","""",IF(AA35&lt;&gt;3,""n.a."",MEDIAN(FILTER('Profitability inputs'!$AG$6:$AG$205,'Profitability inputs'!$A$6:$A$205=A35,'Profitability inputs'!$AN$6:$AN$205=1))))"),"")</f>
        <v/>
      </c>
      <c r="Q35" s="80" t="str">
        <f>IFERROR(__xludf.DUMMYFUNCTION("IF(A35="""","""",IF(AA35&lt;&gt;3,""n.a."",MEDIAN(FILTER('Profitability inputs'!$AH$6:$AH$205,'Profitability inputs'!$A$6:$A$205=A35,'Profitability inputs'!$AN$6:$AN$205=1))))"),"")</f>
        <v/>
      </c>
      <c r="R35" s="83" t="str">
        <f t="shared" si="6"/>
        <v/>
      </c>
      <c r="S35" s="83" t="str">
        <f t="shared" si="7"/>
        <v/>
      </c>
      <c r="T35" s="80" t="str">
        <f>IFERROR(__xludf.DUMMYFUNCTION("IF(A35="""","""",IFNA(INDEX(FILTER('Profitability inputs'!$AJ$6:$AJ$205,'Profitability inputs'!$A$6:$A$205=A35,'Profitability inputs'!$C$6:$C$205=""TTM"",'Profitability inputs'!$AD$6:$AD$205=1),1),""n.a.""))"),"")</f>
        <v/>
      </c>
      <c r="U35" s="80" t="str">
        <f>IFERROR(__xludf.DUMMYFUNCTION("IF(A35="""","""",IFNA(INDEX(FILTER('Profitability inputs'!$AK$6:$AK$205,'Profitability inputs'!$A$6:$A$205=A35,'Profitability inputs'!$C$6:$C$205=""TTM"",'Profitability inputs'!$AD$6:$AD$205=1),1),""n.a.""))"),"")</f>
        <v/>
      </c>
      <c r="V35" s="14" t="str">
        <f>IF(A35="","",IF(Companies!R26&lt;&gt;1,"Outside cap/scope universe",IF(D35="","Set business cohort",IF(COUNTIFS('Profitability inputs'!$A$6:$A$205,A35,'Profitability inputs'!$C$6:$C$205,"TTM")=0,"Add TTM financials",IF(COUNTIFS('Profitability inputs'!$A$6:$A$205,A35,'Profitability inputs'!$C$6:$C$205,"TTM")&lt;&gt;1,"Duplicate TTM records",IF(X35&lt;&gt;1,"Check financial data/dates/profile",IF($B$9&lt;&gt;"Ready",$B$9,IF(M35&lt;$B$6,"Too few same-cohort companies","Ready"))))))))</f>
        <v/>
      </c>
      <c r="W35" s="14" t="str">
        <f t="shared" si="8"/>
        <v/>
      </c>
      <c r="X35" s="14" t="str">
        <f>IFERROR(__xludf.DUMMYFUNCTION("IF(A35="""","""",IFERROR(IF(AND(Companies!R26=1,ISNUMBER(C35),C35&gt;=$B$5,D35&lt;&gt;"""",COUNTIFS('Profitability inputs'!$A$6:$A$205,A35,'Profitability inputs'!$C$6:$C$205,""TTM"")=1,COUNTIFS('Profitability inputs'!$A$6:$A$205,A35,'Profitability inputs'!$C$6:$C$"&amp;"205,""TTM"",'Profitability inputs'!$AD$6:$AD$205,1)=1,ISNUMBER(F35),F35&lt;=Rules!$B$6,Rules!$B$6-F35&lt;=Rules!$B$11,NOT(REGEXMATCH(LOWER(Companies!D26&amp;"" ""&amp;Companies!E26),""financial|bank|insurance|reit|real estate""))),1,0),0))"),"")</f>
        <v/>
      </c>
      <c r="Y35" s="81" t="str">
        <f t="shared" si="9"/>
        <v/>
      </c>
      <c r="Z35" s="81" t="str">
        <f t="shared" si="10"/>
        <v/>
      </c>
      <c r="AA35" s="14" t="str">
        <f>IF(A35="","",COUNTIFS('Profitability inputs'!$A$6:$A$205,A35,'Profitability inputs'!$AN$6:$AN$205,1))</f>
        <v/>
      </c>
      <c r="AB35" s="14" t="str">
        <f>IFERROR(__xludf.DUMMYFUNCTION("IF(A35="""","""",IFNA(INDEX(FILTER('Profitability inputs'!$AA$6:$AA$205,'Profitability inputs'!$A$6:$A$205=A35,'Profitability inputs'!$C$6:$C$205=""TTM"",'Profitability inputs'!$AD$6:$AD$205=1),1),""n.a.""))"),"")</f>
        <v/>
      </c>
    </row>
    <row r="36" ht="31.5" customHeight="1">
      <c r="A36" s="14" t="str">
        <f>IF(Companies!A27="","",Companies!A27)</f>
        <v/>
      </c>
      <c r="B36" s="14" t="str">
        <f>IF(A36="","",Companies!C27)</f>
        <v/>
      </c>
      <c r="C36" s="14" t="str">
        <f>IF(A36="","",IF(ISNUMBER(Companies!I27),Companies!I27,"n.a."))</f>
        <v/>
      </c>
      <c r="D36" s="79"/>
      <c r="E36" s="14" t="str">
        <f>IFERROR(__xludf.DUMMYFUNCTION("IF(A36="""","""",IFNA(INDEX(FILTER('Profitability inputs'!$G$6:$G$205,'Profitability inputs'!$A$6:$A$205=A36,'Profitability inputs'!$C$6:$C$205=""TTM"",'Profitability inputs'!$AD$6:$AD$205=1),1),""n.a.""))"),"")</f>
        <v/>
      </c>
      <c r="F36" s="20" t="str">
        <f>IFERROR(__xludf.DUMMYFUNCTION("IF(A36="""","""",IFNA(INDEX(FILTER('Profitability inputs'!$D$6:$D$205,'Profitability inputs'!$A$6:$A$205=A36,'Profitability inputs'!$C$6:$C$205=""TTM"",'Profitability inputs'!$AD$6:$AD$205=1),1),""n.a.""))"),"")</f>
        <v/>
      </c>
      <c r="G36" s="80" t="str">
        <f>IFERROR(__xludf.DUMMYFUNCTION("IF(A36="""","""",IFNA(INDEX(FILTER('Profitability inputs'!$AG$6:$AG$205,'Profitability inputs'!$A$6:$A$205=A36,'Profitability inputs'!$C$6:$C$205=""TTM"",'Profitability inputs'!$AD$6:$AD$205=1),1),""n.a.""))"),"")</f>
        <v/>
      </c>
      <c r="H36" s="80" t="str">
        <f>IFERROR(__xludf.DUMMYFUNCTION("IF(A36="""","""",IFNA(INDEX(FILTER('Profitability inputs'!$AH$6:$AH$205,'Profitability inputs'!$A$6:$A$205=A36,'Profitability inputs'!$C$6:$C$205=""TTM"",'Profitability inputs'!$AD$6:$AD$205=1),1),""n.a.""))"),"")</f>
        <v/>
      </c>
      <c r="I36" s="81" t="str">
        <f t="shared" si="1"/>
        <v/>
      </c>
      <c r="J36" s="81" t="str">
        <f t="shared" si="2"/>
        <v/>
      </c>
      <c r="K36" s="81" t="str">
        <f t="shared" si="3"/>
        <v/>
      </c>
      <c r="L36" s="14" t="str">
        <f t="shared" si="4"/>
        <v/>
      </c>
      <c r="M36" s="14" t="str">
        <f t="shared" si="5"/>
        <v/>
      </c>
      <c r="N36" s="80" t="str">
        <f>IFERROR(__xludf.DUMMYFUNCTION("IF(A36="""","""",IFNA(INDEX(FILTER('Profitability inputs'!$AI$6:$AI$205,'Profitability inputs'!$A$6:$A$205=A36,'Profitability inputs'!$C$6:$C$205=""TTM"",'Profitability inputs'!$AD$6:$AD$205=1),1),""n.a.""))"),"")</f>
        <v/>
      </c>
      <c r="O36" s="82" t="str">
        <f>IFERROR(__xludf.DUMMYFUNCTION("IF(A36="""","""",IF(AA36&lt;&gt;3,""n.a."",IF(OR(COUNT(FILTER('Profitability inputs'!$V$6:$V$205,'Profitability inputs'!$A$6:$A$205=A36,'Profitability inputs'!$AN$6:$AN$205=1))&lt;&gt;3,COUNT(FILTER('Profitability inputs'!$W$6:$W$205,'Profitability inputs'!$A$6:$A$20"&amp;"5=A36,'Profitability inputs'!$AN$6:$AN$205=1))&lt;&gt;3,SUMIFS('Profitability inputs'!$W$6:$W$205,'Profitability inputs'!$A$6:$A$205,A36,'Profitability inputs'!$AN$6:$AN$205,1)&lt;=0),""n.a."",SUMIFS('Profitability inputs'!$V$6:$V$205,'Profitability inputs'!$A$6:$"&amp;"A$205,A36,'Profitability inputs'!$AN$6:$AN$205,1)/SUMIFS('Profitability inputs'!$W$6:$W$205,'Profitability inputs'!$A$6:$A$205,A36,'Profitability inputs'!$AN$6:$AN$205,1))))"),"")</f>
        <v/>
      </c>
      <c r="P36" s="80" t="str">
        <f>IFERROR(__xludf.DUMMYFUNCTION("IF(A36="""","""",IF(AA36&lt;&gt;3,""n.a."",MEDIAN(FILTER('Profitability inputs'!$AG$6:$AG$205,'Profitability inputs'!$A$6:$A$205=A36,'Profitability inputs'!$AN$6:$AN$205=1))))"),"")</f>
        <v/>
      </c>
      <c r="Q36" s="80" t="str">
        <f>IFERROR(__xludf.DUMMYFUNCTION("IF(A36="""","""",IF(AA36&lt;&gt;3,""n.a."",MEDIAN(FILTER('Profitability inputs'!$AH$6:$AH$205,'Profitability inputs'!$A$6:$A$205=A36,'Profitability inputs'!$AN$6:$AN$205=1))))"),"")</f>
        <v/>
      </c>
      <c r="R36" s="83" t="str">
        <f t="shared" si="6"/>
        <v/>
      </c>
      <c r="S36" s="83" t="str">
        <f t="shared" si="7"/>
        <v/>
      </c>
      <c r="T36" s="80" t="str">
        <f>IFERROR(__xludf.DUMMYFUNCTION("IF(A36="""","""",IFNA(INDEX(FILTER('Profitability inputs'!$AJ$6:$AJ$205,'Profitability inputs'!$A$6:$A$205=A36,'Profitability inputs'!$C$6:$C$205=""TTM"",'Profitability inputs'!$AD$6:$AD$205=1),1),""n.a.""))"),"")</f>
        <v/>
      </c>
      <c r="U36" s="80" t="str">
        <f>IFERROR(__xludf.DUMMYFUNCTION("IF(A36="""","""",IFNA(INDEX(FILTER('Profitability inputs'!$AK$6:$AK$205,'Profitability inputs'!$A$6:$A$205=A36,'Profitability inputs'!$C$6:$C$205=""TTM"",'Profitability inputs'!$AD$6:$AD$205=1),1),""n.a.""))"),"")</f>
        <v/>
      </c>
      <c r="V36" s="14" t="str">
        <f>IF(A36="","",IF(Companies!R27&lt;&gt;1,"Outside cap/scope universe",IF(D36="","Set business cohort",IF(COUNTIFS('Profitability inputs'!$A$6:$A$205,A36,'Profitability inputs'!$C$6:$C$205,"TTM")=0,"Add TTM financials",IF(COUNTIFS('Profitability inputs'!$A$6:$A$205,A36,'Profitability inputs'!$C$6:$C$205,"TTM")&lt;&gt;1,"Duplicate TTM records",IF(X36&lt;&gt;1,"Check financial data/dates/profile",IF($B$9&lt;&gt;"Ready",$B$9,IF(M36&lt;$B$6,"Too few same-cohort companies","Ready"))))))))</f>
        <v/>
      </c>
      <c r="W36" s="14" t="str">
        <f t="shared" si="8"/>
        <v/>
      </c>
      <c r="X36" s="14" t="str">
        <f>IFERROR(__xludf.DUMMYFUNCTION("IF(A36="""","""",IFERROR(IF(AND(Companies!R27=1,ISNUMBER(C36),C36&gt;=$B$5,D36&lt;&gt;"""",COUNTIFS('Profitability inputs'!$A$6:$A$205,A36,'Profitability inputs'!$C$6:$C$205,""TTM"")=1,COUNTIFS('Profitability inputs'!$A$6:$A$205,A36,'Profitability inputs'!$C$6:$C$"&amp;"205,""TTM"",'Profitability inputs'!$AD$6:$AD$205,1)=1,ISNUMBER(F36),F36&lt;=Rules!$B$6,Rules!$B$6-F36&lt;=Rules!$B$11,NOT(REGEXMATCH(LOWER(Companies!D27&amp;"" ""&amp;Companies!E27),""financial|bank|insurance|reit|real estate""))),1,0),0))"),"")</f>
        <v/>
      </c>
      <c r="Y36" s="81" t="str">
        <f t="shared" si="9"/>
        <v/>
      </c>
      <c r="Z36" s="81" t="str">
        <f t="shared" si="10"/>
        <v/>
      </c>
      <c r="AA36" s="14" t="str">
        <f>IF(A36="","",COUNTIFS('Profitability inputs'!$A$6:$A$205,A36,'Profitability inputs'!$AN$6:$AN$205,1))</f>
        <v/>
      </c>
      <c r="AB36" s="14" t="str">
        <f>IFERROR(__xludf.DUMMYFUNCTION("IF(A36="""","""",IFNA(INDEX(FILTER('Profitability inputs'!$AA$6:$AA$205,'Profitability inputs'!$A$6:$A$205=A36,'Profitability inputs'!$C$6:$C$205=""TTM"",'Profitability inputs'!$AD$6:$AD$205=1),1),""n.a.""))"),"")</f>
        <v/>
      </c>
    </row>
    <row r="37" ht="31.5" customHeight="1">
      <c r="A37" s="14" t="str">
        <f>IF(Companies!A28="","",Companies!A28)</f>
        <v/>
      </c>
      <c r="B37" s="14" t="str">
        <f>IF(A37="","",Companies!C28)</f>
        <v/>
      </c>
      <c r="C37" s="14" t="str">
        <f>IF(A37="","",IF(ISNUMBER(Companies!I28),Companies!I28,"n.a."))</f>
        <v/>
      </c>
      <c r="D37" s="79"/>
      <c r="E37" s="14" t="str">
        <f>IFERROR(__xludf.DUMMYFUNCTION("IF(A37="""","""",IFNA(INDEX(FILTER('Profitability inputs'!$G$6:$G$205,'Profitability inputs'!$A$6:$A$205=A37,'Profitability inputs'!$C$6:$C$205=""TTM"",'Profitability inputs'!$AD$6:$AD$205=1),1),""n.a.""))"),"")</f>
        <v/>
      </c>
      <c r="F37" s="20" t="str">
        <f>IFERROR(__xludf.DUMMYFUNCTION("IF(A37="""","""",IFNA(INDEX(FILTER('Profitability inputs'!$D$6:$D$205,'Profitability inputs'!$A$6:$A$205=A37,'Profitability inputs'!$C$6:$C$205=""TTM"",'Profitability inputs'!$AD$6:$AD$205=1),1),""n.a.""))"),"")</f>
        <v/>
      </c>
      <c r="G37" s="80" t="str">
        <f>IFERROR(__xludf.DUMMYFUNCTION("IF(A37="""","""",IFNA(INDEX(FILTER('Profitability inputs'!$AG$6:$AG$205,'Profitability inputs'!$A$6:$A$205=A37,'Profitability inputs'!$C$6:$C$205=""TTM"",'Profitability inputs'!$AD$6:$AD$205=1),1),""n.a.""))"),"")</f>
        <v/>
      </c>
      <c r="H37" s="80" t="str">
        <f>IFERROR(__xludf.DUMMYFUNCTION("IF(A37="""","""",IFNA(INDEX(FILTER('Profitability inputs'!$AH$6:$AH$205,'Profitability inputs'!$A$6:$A$205=A37,'Profitability inputs'!$C$6:$C$205=""TTM"",'Profitability inputs'!$AD$6:$AD$205=1),1),""n.a.""))"),"")</f>
        <v/>
      </c>
      <c r="I37" s="81" t="str">
        <f t="shared" si="1"/>
        <v/>
      </c>
      <c r="J37" s="81" t="str">
        <f t="shared" si="2"/>
        <v/>
      </c>
      <c r="K37" s="81" t="str">
        <f t="shared" si="3"/>
        <v/>
      </c>
      <c r="L37" s="14" t="str">
        <f t="shared" si="4"/>
        <v/>
      </c>
      <c r="M37" s="14" t="str">
        <f t="shared" si="5"/>
        <v/>
      </c>
      <c r="N37" s="80" t="str">
        <f>IFERROR(__xludf.DUMMYFUNCTION("IF(A37="""","""",IFNA(INDEX(FILTER('Profitability inputs'!$AI$6:$AI$205,'Profitability inputs'!$A$6:$A$205=A37,'Profitability inputs'!$C$6:$C$205=""TTM"",'Profitability inputs'!$AD$6:$AD$205=1),1),""n.a.""))"),"")</f>
        <v/>
      </c>
      <c r="O37" s="82" t="str">
        <f>IFERROR(__xludf.DUMMYFUNCTION("IF(A37="""","""",IF(AA37&lt;&gt;3,""n.a."",IF(OR(COUNT(FILTER('Profitability inputs'!$V$6:$V$205,'Profitability inputs'!$A$6:$A$205=A37,'Profitability inputs'!$AN$6:$AN$205=1))&lt;&gt;3,COUNT(FILTER('Profitability inputs'!$W$6:$W$205,'Profitability inputs'!$A$6:$A$20"&amp;"5=A37,'Profitability inputs'!$AN$6:$AN$205=1))&lt;&gt;3,SUMIFS('Profitability inputs'!$W$6:$W$205,'Profitability inputs'!$A$6:$A$205,A37,'Profitability inputs'!$AN$6:$AN$205,1)&lt;=0),""n.a."",SUMIFS('Profitability inputs'!$V$6:$V$205,'Profitability inputs'!$A$6:$"&amp;"A$205,A37,'Profitability inputs'!$AN$6:$AN$205,1)/SUMIFS('Profitability inputs'!$W$6:$W$205,'Profitability inputs'!$A$6:$A$205,A37,'Profitability inputs'!$AN$6:$AN$205,1))))"),"")</f>
        <v/>
      </c>
      <c r="P37" s="80" t="str">
        <f>IFERROR(__xludf.DUMMYFUNCTION("IF(A37="""","""",IF(AA37&lt;&gt;3,""n.a."",MEDIAN(FILTER('Profitability inputs'!$AG$6:$AG$205,'Profitability inputs'!$A$6:$A$205=A37,'Profitability inputs'!$AN$6:$AN$205=1))))"),"")</f>
        <v/>
      </c>
      <c r="Q37" s="80" t="str">
        <f>IFERROR(__xludf.DUMMYFUNCTION("IF(A37="""","""",IF(AA37&lt;&gt;3,""n.a."",MEDIAN(FILTER('Profitability inputs'!$AH$6:$AH$205,'Profitability inputs'!$A$6:$A$205=A37,'Profitability inputs'!$AN$6:$AN$205=1))))"),"")</f>
        <v/>
      </c>
      <c r="R37" s="83" t="str">
        <f t="shared" si="6"/>
        <v/>
      </c>
      <c r="S37" s="83" t="str">
        <f t="shared" si="7"/>
        <v/>
      </c>
      <c r="T37" s="80" t="str">
        <f>IFERROR(__xludf.DUMMYFUNCTION("IF(A37="""","""",IFNA(INDEX(FILTER('Profitability inputs'!$AJ$6:$AJ$205,'Profitability inputs'!$A$6:$A$205=A37,'Profitability inputs'!$C$6:$C$205=""TTM"",'Profitability inputs'!$AD$6:$AD$205=1),1),""n.a.""))"),"")</f>
        <v/>
      </c>
      <c r="U37" s="80" t="str">
        <f>IFERROR(__xludf.DUMMYFUNCTION("IF(A37="""","""",IFNA(INDEX(FILTER('Profitability inputs'!$AK$6:$AK$205,'Profitability inputs'!$A$6:$A$205=A37,'Profitability inputs'!$C$6:$C$205=""TTM"",'Profitability inputs'!$AD$6:$AD$205=1),1),""n.a.""))"),"")</f>
        <v/>
      </c>
      <c r="V37" s="14" t="str">
        <f>IF(A37="","",IF(Companies!R28&lt;&gt;1,"Outside cap/scope universe",IF(D37="","Set business cohort",IF(COUNTIFS('Profitability inputs'!$A$6:$A$205,A37,'Profitability inputs'!$C$6:$C$205,"TTM")=0,"Add TTM financials",IF(COUNTIFS('Profitability inputs'!$A$6:$A$205,A37,'Profitability inputs'!$C$6:$C$205,"TTM")&lt;&gt;1,"Duplicate TTM records",IF(X37&lt;&gt;1,"Check financial data/dates/profile",IF($B$9&lt;&gt;"Ready",$B$9,IF(M37&lt;$B$6,"Too few same-cohort companies","Ready"))))))))</f>
        <v/>
      </c>
      <c r="W37" s="14" t="str">
        <f t="shared" si="8"/>
        <v/>
      </c>
      <c r="X37" s="14" t="str">
        <f>IFERROR(__xludf.DUMMYFUNCTION("IF(A37="""","""",IFERROR(IF(AND(Companies!R28=1,ISNUMBER(C37),C37&gt;=$B$5,D37&lt;&gt;"""",COUNTIFS('Profitability inputs'!$A$6:$A$205,A37,'Profitability inputs'!$C$6:$C$205,""TTM"")=1,COUNTIFS('Profitability inputs'!$A$6:$A$205,A37,'Profitability inputs'!$C$6:$C$"&amp;"205,""TTM"",'Profitability inputs'!$AD$6:$AD$205,1)=1,ISNUMBER(F37),F37&lt;=Rules!$B$6,Rules!$B$6-F37&lt;=Rules!$B$11,NOT(REGEXMATCH(LOWER(Companies!D28&amp;"" ""&amp;Companies!E28),""financial|bank|insurance|reit|real estate""))),1,0),0))"),"")</f>
        <v/>
      </c>
      <c r="Y37" s="81" t="str">
        <f t="shared" si="9"/>
        <v/>
      </c>
      <c r="Z37" s="81" t="str">
        <f t="shared" si="10"/>
        <v/>
      </c>
      <c r="AA37" s="14" t="str">
        <f>IF(A37="","",COUNTIFS('Profitability inputs'!$A$6:$A$205,A37,'Profitability inputs'!$AN$6:$AN$205,1))</f>
        <v/>
      </c>
      <c r="AB37" s="14" t="str">
        <f>IFERROR(__xludf.DUMMYFUNCTION("IF(A37="""","""",IFNA(INDEX(FILTER('Profitability inputs'!$AA$6:$AA$205,'Profitability inputs'!$A$6:$A$205=A37,'Profitability inputs'!$C$6:$C$205=""TTM"",'Profitability inputs'!$AD$6:$AD$205=1),1),""n.a.""))"),"")</f>
        <v/>
      </c>
    </row>
    <row r="38" ht="31.5" customHeight="1">
      <c r="A38" s="14" t="str">
        <f>IF(Companies!A29="","",Companies!A29)</f>
        <v/>
      </c>
      <c r="B38" s="14" t="str">
        <f>IF(A38="","",Companies!C29)</f>
        <v/>
      </c>
      <c r="C38" s="14" t="str">
        <f>IF(A38="","",IF(ISNUMBER(Companies!I29),Companies!I29,"n.a."))</f>
        <v/>
      </c>
      <c r="D38" s="79"/>
      <c r="E38" s="14" t="str">
        <f>IFERROR(__xludf.DUMMYFUNCTION("IF(A38="""","""",IFNA(INDEX(FILTER('Profitability inputs'!$G$6:$G$205,'Profitability inputs'!$A$6:$A$205=A38,'Profitability inputs'!$C$6:$C$205=""TTM"",'Profitability inputs'!$AD$6:$AD$205=1),1),""n.a.""))"),"")</f>
        <v/>
      </c>
      <c r="F38" s="20" t="str">
        <f>IFERROR(__xludf.DUMMYFUNCTION("IF(A38="""","""",IFNA(INDEX(FILTER('Profitability inputs'!$D$6:$D$205,'Profitability inputs'!$A$6:$A$205=A38,'Profitability inputs'!$C$6:$C$205=""TTM"",'Profitability inputs'!$AD$6:$AD$205=1),1),""n.a.""))"),"")</f>
        <v/>
      </c>
      <c r="G38" s="80" t="str">
        <f>IFERROR(__xludf.DUMMYFUNCTION("IF(A38="""","""",IFNA(INDEX(FILTER('Profitability inputs'!$AG$6:$AG$205,'Profitability inputs'!$A$6:$A$205=A38,'Profitability inputs'!$C$6:$C$205=""TTM"",'Profitability inputs'!$AD$6:$AD$205=1),1),""n.a.""))"),"")</f>
        <v/>
      </c>
      <c r="H38" s="80" t="str">
        <f>IFERROR(__xludf.DUMMYFUNCTION("IF(A38="""","""",IFNA(INDEX(FILTER('Profitability inputs'!$AH$6:$AH$205,'Profitability inputs'!$A$6:$A$205=A38,'Profitability inputs'!$C$6:$C$205=""TTM"",'Profitability inputs'!$AD$6:$AD$205=1),1),""n.a.""))"),"")</f>
        <v/>
      </c>
      <c r="I38" s="81" t="str">
        <f t="shared" si="1"/>
        <v/>
      </c>
      <c r="J38" s="81" t="str">
        <f t="shared" si="2"/>
        <v/>
      </c>
      <c r="K38" s="81" t="str">
        <f t="shared" si="3"/>
        <v/>
      </c>
      <c r="L38" s="14" t="str">
        <f t="shared" si="4"/>
        <v/>
      </c>
      <c r="M38" s="14" t="str">
        <f t="shared" si="5"/>
        <v/>
      </c>
      <c r="N38" s="80" t="str">
        <f>IFERROR(__xludf.DUMMYFUNCTION("IF(A38="""","""",IFNA(INDEX(FILTER('Profitability inputs'!$AI$6:$AI$205,'Profitability inputs'!$A$6:$A$205=A38,'Profitability inputs'!$C$6:$C$205=""TTM"",'Profitability inputs'!$AD$6:$AD$205=1),1),""n.a.""))"),"")</f>
        <v/>
      </c>
      <c r="O38" s="82" t="str">
        <f>IFERROR(__xludf.DUMMYFUNCTION("IF(A38="""","""",IF(AA38&lt;&gt;3,""n.a."",IF(OR(COUNT(FILTER('Profitability inputs'!$V$6:$V$205,'Profitability inputs'!$A$6:$A$205=A38,'Profitability inputs'!$AN$6:$AN$205=1))&lt;&gt;3,COUNT(FILTER('Profitability inputs'!$W$6:$W$205,'Profitability inputs'!$A$6:$A$20"&amp;"5=A38,'Profitability inputs'!$AN$6:$AN$205=1))&lt;&gt;3,SUMIFS('Profitability inputs'!$W$6:$W$205,'Profitability inputs'!$A$6:$A$205,A38,'Profitability inputs'!$AN$6:$AN$205,1)&lt;=0),""n.a."",SUMIFS('Profitability inputs'!$V$6:$V$205,'Profitability inputs'!$A$6:$"&amp;"A$205,A38,'Profitability inputs'!$AN$6:$AN$205,1)/SUMIFS('Profitability inputs'!$W$6:$W$205,'Profitability inputs'!$A$6:$A$205,A38,'Profitability inputs'!$AN$6:$AN$205,1))))"),"")</f>
        <v/>
      </c>
      <c r="P38" s="80" t="str">
        <f>IFERROR(__xludf.DUMMYFUNCTION("IF(A38="""","""",IF(AA38&lt;&gt;3,""n.a."",MEDIAN(FILTER('Profitability inputs'!$AG$6:$AG$205,'Profitability inputs'!$A$6:$A$205=A38,'Profitability inputs'!$AN$6:$AN$205=1))))"),"")</f>
        <v/>
      </c>
      <c r="Q38" s="80" t="str">
        <f>IFERROR(__xludf.DUMMYFUNCTION("IF(A38="""","""",IF(AA38&lt;&gt;3,""n.a."",MEDIAN(FILTER('Profitability inputs'!$AH$6:$AH$205,'Profitability inputs'!$A$6:$A$205=A38,'Profitability inputs'!$AN$6:$AN$205=1))))"),"")</f>
        <v/>
      </c>
      <c r="R38" s="83" t="str">
        <f t="shared" si="6"/>
        <v/>
      </c>
      <c r="S38" s="83" t="str">
        <f t="shared" si="7"/>
        <v/>
      </c>
      <c r="T38" s="80" t="str">
        <f>IFERROR(__xludf.DUMMYFUNCTION("IF(A38="""","""",IFNA(INDEX(FILTER('Profitability inputs'!$AJ$6:$AJ$205,'Profitability inputs'!$A$6:$A$205=A38,'Profitability inputs'!$C$6:$C$205=""TTM"",'Profitability inputs'!$AD$6:$AD$205=1),1),""n.a.""))"),"")</f>
        <v/>
      </c>
      <c r="U38" s="80" t="str">
        <f>IFERROR(__xludf.DUMMYFUNCTION("IF(A38="""","""",IFNA(INDEX(FILTER('Profitability inputs'!$AK$6:$AK$205,'Profitability inputs'!$A$6:$A$205=A38,'Profitability inputs'!$C$6:$C$205=""TTM"",'Profitability inputs'!$AD$6:$AD$205=1),1),""n.a.""))"),"")</f>
        <v/>
      </c>
      <c r="V38" s="14" t="str">
        <f>IF(A38="","",IF(Companies!R29&lt;&gt;1,"Outside cap/scope universe",IF(D38="","Set business cohort",IF(COUNTIFS('Profitability inputs'!$A$6:$A$205,A38,'Profitability inputs'!$C$6:$C$205,"TTM")=0,"Add TTM financials",IF(COUNTIFS('Profitability inputs'!$A$6:$A$205,A38,'Profitability inputs'!$C$6:$C$205,"TTM")&lt;&gt;1,"Duplicate TTM records",IF(X38&lt;&gt;1,"Check financial data/dates/profile",IF($B$9&lt;&gt;"Ready",$B$9,IF(M38&lt;$B$6,"Too few same-cohort companies","Ready"))))))))</f>
        <v/>
      </c>
      <c r="W38" s="14" t="str">
        <f t="shared" si="8"/>
        <v/>
      </c>
      <c r="X38" s="14" t="str">
        <f>IFERROR(__xludf.DUMMYFUNCTION("IF(A38="""","""",IFERROR(IF(AND(Companies!R29=1,ISNUMBER(C38),C38&gt;=$B$5,D38&lt;&gt;"""",COUNTIFS('Profitability inputs'!$A$6:$A$205,A38,'Profitability inputs'!$C$6:$C$205,""TTM"")=1,COUNTIFS('Profitability inputs'!$A$6:$A$205,A38,'Profitability inputs'!$C$6:$C$"&amp;"205,""TTM"",'Profitability inputs'!$AD$6:$AD$205,1)=1,ISNUMBER(F38),F38&lt;=Rules!$B$6,Rules!$B$6-F38&lt;=Rules!$B$11,NOT(REGEXMATCH(LOWER(Companies!D29&amp;"" ""&amp;Companies!E29),""financial|bank|insurance|reit|real estate""))),1,0),0))"),"")</f>
        <v/>
      </c>
      <c r="Y38" s="81" t="str">
        <f t="shared" si="9"/>
        <v/>
      </c>
      <c r="Z38" s="81" t="str">
        <f t="shared" si="10"/>
        <v/>
      </c>
      <c r="AA38" s="14" t="str">
        <f>IF(A38="","",COUNTIFS('Profitability inputs'!$A$6:$A$205,A38,'Profitability inputs'!$AN$6:$AN$205,1))</f>
        <v/>
      </c>
      <c r="AB38" s="14" t="str">
        <f>IFERROR(__xludf.DUMMYFUNCTION("IF(A38="""","""",IFNA(INDEX(FILTER('Profitability inputs'!$AA$6:$AA$205,'Profitability inputs'!$A$6:$A$205=A38,'Profitability inputs'!$C$6:$C$205=""TTM"",'Profitability inputs'!$AD$6:$AD$205=1),1),""n.a.""))"),"")</f>
        <v/>
      </c>
    </row>
    <row r="39" ht="31.5" customHeight="1">
      <c r="A39" s="14" t="str">
        <f>IF(Companies!A30="","",Companies!A30)</f>
        <v/>
      </c>
      <c r="B39" s="14" t="str">
        <f>IF(A39="","",Companies!C30)</f>
        <v/>
      </c>
      <c r="C39" s="14" t="str">
        <f>IF(A39="","",IF(ISNUMBER(Companies!I30),Companies!I30,"n.a."))</f>
        <v/>
      </c>
      <c r="D39" s="79"/>
      <c r="E39" s="14" t="str">
        <f>IFERROR(__xludf.DUMMYFUNCTION("IF(A39="""","""",IFNA(INDEX(FILTER('Profitability inputs'!$G$6:$G$205,'Profitability inputs'!$A$6:$A$205=A39,'Profitability inputs'!$C$6:$C$205=""TTM"",'Profitability inputs'!$AD$6:$AD$205=1),1),""n.a.""))"),"")</f>
        <v/>
      </c>
      <c r="F39" s="20" t="str">
        <f>IFERROR(__xludf.DUMMYFUNCTION("IF(A39="""","""",IFNA(INDEX(FILTER('Profitability inputs'!$D$6:$D$205,'Profitability inputs'!$A$6:$A$205=A39,'Profitability inputs'!$C$6:$C$205=""TTM"",'Profitability inputs'!$AD$6:$AD$205=1),1),""n.a.""))"),"")</f>
        <v/>
      </c>
      <c r="G39" s="80" t="str">
        <f>IFERROR(__xludf.DUMMYFUNCTION("IF(A39="""","""",IFNA(INDEX(FILTER('Profitability inputs'!$AG$6:$AG$205,'Profitability inputs'!$A$6:$A$205=A39,'Profitability inputs'!$C$6:$C$205=""TTM"",'Profitability inputs'!$AD$6:$AD$205=1),1),""n.a.""))"),"")</f>
        <v/>
      </c>
      <c r="H39" s="80" t="str">
        <f>IFERROR(__xludf.DUMMYFUNCTION("IF(A39="""","""",IFNA(INDEX(FILTER('Profitability inputs'!$AH$6:$AH$205,'Profitability inputs'!$A$6:$A$205=A39,'Profitability inputs'!$C$6:$C$205=""TTM"",'Profitability inputs'!$AD$6:$AD$205=1),1),""n.a.""))"),"")</f>
        <v/>
      </c>
      <c r="I39" s="81" t="str">
        <f t="shared" si="1"/>
        <v/>
      </c>
      <c r="J39" s="81" t="str">
        <f t="shared" si="2"/>
        <v/>
      </c>
      <c r="K39" s="81" t="str">
        <f t="shared" si="3"/>
        <v/>
      </c>
      <c r="L39" s="14" t="str">
        <f t="shared" si="4"/>
        <v/>
      </c>
      <c r="M39" s="14" t="str">
        <f t="shared" si="5"/>
        <v/>
      </c>
      <c r="N39" s="80" t="str">
        <f>IFERROR(__xludf.DUMMYFUNCTION("IF(A39="""","""",IFNA(INDEX(FILTER('Profitability inputs'!$AI$6:$AI$205,'Profitability inputs'!$A$6:$A$205=A39,'Profitability inputs'!$C$6:$C$205=""TTM"",'Profitability inputs'!$AD$6:$AD$205=1),1),""n.a.""))"),"")</f>
        <v/>
      </c>
      <c r="O39" s="82" t="str">
        <f>IFERROR(__xludf.DUMMYFUNCTION("IF(A39="""","""",IF(AA39&lt;&gt;3,""n.a."",IF(OR(COUNT(FILTER('Profitability inputs'!$V$6:$V$205,'Profitability inputs'!$A$6:$A$205=A39,'Profitability inputs'!$AN$6:$AN$205=1))&lt;&gt;3,COUNT(FILTER('Profitability inputs'!$W$6:$W$205,'Profitability inputs'!$A$6:$A$20"&amp;"5=A39,'Profitability inputs'!$AN$6:$AN$205=1))&lt;&gt;3,SUMIFS('Profitability inputs'!$W$6:$W$205,'Profitability inputs'!$A$6:$A$205,A39,'Profitability inputs'!$AN$6:$AN$205,1)&lt;=0),""n.a."",SUMIFS('Profitability inputs'!$V$6:$V$205,'Profitability inputs'!$A$6:$"&amp;"A$205,A39,'Profitability inputs'!$AN$6:$AN$205,1)/SUMIFS('Profitability inputs'!$W$6:$W$205,'Profitability inputs'!$A$6:$A$205,A39,'Profitability inputs'!$AN$6:$AN$205,1))))"),"")</f>
        <v/>
      </c>
      <c r="P39" s="80" t="str">
        <f>IFERROR(__xludf.DUMMYFUNCTION("IF(A39="""","""",IF(AA39&lt;&gt;3,""n.a."",MEDIAN(FILTER('Profitability inputs'!$AG$6:$AG$205,'Profitability inputs'!$A$6:$A$205=A39,'Profitability inputs'!$AN$6:$AN$205=1))))"),"")</f>
        <v/>
      </c>
      <c r="Q39" s="80" t="str">
        <f>IFERROR(__xludf.DUMMYFUNCTION("IF(A39="""","""",IF(AA39&lt;&gt;3,""n.a."",MEDIAN(FILTER('Profitability inputs'!$AH$6:$AH$205,'Profitability inputs'!$A$6:$A$205=A39,'Profitability inputs'!$AN$6:$AN$205=1))))"),"")</f>
        <v/>
      </c>
      <c r="R39" s="83" t="str">
        <f t="shared" si="6"/>
        <v/>
      </c>
      <c r="S39" s="83" t="str">
        <f t="shared" si="7"/>
        <v/>
      </c>
      <c r="T39" s="80" t="str">
        <f>IFERROR(__xludf.DUMMYFUNCTION("IF(A39="""","""",IFNA(INDEX(FILTER('Profitability inputs'!$AJ$6:$AJ$205,'Profitability inputs'!$A$6:$A$205=A39,'Profitability inputs'!$C$6:$C$205=""TTM"",'Profitability inputs'!$AD$6:$AD$205=1),1),""n.a.""))"),"")</f>
        <v/>
      </c>
      <c r="U39" s="80" t="str">
        <f>IFERROR(__xludf.DUMMYFUNCTION("IF(A39="""","""",IFNA(INDEX(FILTER('Profitability inputs'!$AK$6:$AK$205,'Profitability inputs'!$A$6:$A$205=A39,'Profitability inputs'!$C$6:$C$205=""TTM"",'Profitability inputs'!$AD$6:$AD$205=1),1),""n.a.""))"),"")</f>
        <v/>
      </c>
      <c r="V39" s="14" t="str">
        <f>IF(A39="","",IF(Companies!R30&lt;&gt;1,"Outside cap/scope universe",IF(D39="","Set business cohort",IF(COUNTIFS('Profitability inputs'!$A$6:$A$205,A39,'Profitability inputs'!$C$6:$C$205,"TTM")=0,"Add TTM financials",IF(COUNTIFS('Profitability inputs'!$A$6:$A$205,A39,'Profitability inputs'!$C$6:$C$205,"TTM")&lt;&gt;1,"Duplicate TTM records",IF(X39&lt;&gt;1,"Check financial data/dates/profile",IF($B$9&lt;&gt;"Ready",$B$9,IF(M39&lt;$B$6,"Too few same-cohort companies","Ready"))))))))</f>
        <v/>
      </c>
      <c r="W39" s="14" t="str">
        <f t="shared" si="8"/>
        <v/>
      </c>
      <c r="X39" s="14" t="str">
        <f>IFERROR(__xludf.DUMMYFUNCTION("IF(A39="""","""",IFERROR(IF(AND(Companies!R30=1,ISNUMBER(C39),C39&gt;=$B$5,D39&lt;&gt;"""",COUNTIFS('Profitability inputs'!$A$6:$A$205,A39,'Profitability inputs'!$C$6:$C$205,""TTM"")=1,COUNTIFS('Profitability inputs'!$A$6:$A$205,A39,'Profitability inputs'!$C$6:$C$"&amp;"205,""TTM"",'Profitability inputs'!$AD$6:$AD$205,1)=1,ISNUMBER(F39),F39&lt;=Rules!$B$6,Rules!$B$6-F39&lt;=Rules!$B$11,NOT(REGEXMATCH(LOWER(Companies!D30&amp;"" ""&amp;Companies!E30),""financial|bank|insurance|reit|real estate""))),1,0),0))"),"")</f>
        <v/>
      </c>
      <c r="Y39" s="81" t="str">
        <f t="shared" si="9"/>
        <v/>
      </c>
      <c r="Z39" s="81" t="str">
        <f t="shared" si="10"/>
        <v/>
      </c>
      <c r="AA39" s="14" t="str">
        <f>IF(A39="","",COUNTIFS('Profitability inputs'!$A$6:$A$205,A39,'Profitability inputs'!$AN$6:$AN$205,1))</f>
        <v/>
      </c>
      <c r="AB39" s="14" t="str">
        <f>IFERROR(__xludf.DUMMYFUNCTION("IF(A39="""","""",IFNA(INDEX(FILTER('Profitability inputs'!$AA$6:$AA$205,'Profitability inputs'!$A$6:$A$205=A39,'Profitability inputs'!$C$6:$C$205=""TTM"",'Profitability inputs'!$AD$6:$AD$205=1),1),""n.a.""))"),"")</f>
        <v/>
      </c>
    </row>
    <row r="40" ht="31.5" customHeight="1">
      <c r="A40" s="14" t="str">
        <f>IF(Companies!A31="","",Companies!A31)</f>
        <v/>
      </c>
      <c r="B40" s="14" t="str">
        <f>IF(A40="","",Companies!C31)</f>
        <v/>
      </c>
      <c r="C40" s="14" t="str">
        <f>IF(A40="","",IF(ISNUMBER(Companies!I31),Companies!I31,"n.a."))</f>
        <v/>
      </c>
      <c r="D40" s="79"/>
      <c r="E40" s="14" t="str">
        <f>IFERROR(__xludf.DUMMYFUNCTION("IF(A40="""","""",IFNA(INDEX(FILTER('Profitability inputs'!$G$6:$G$205,'Profitability inputs'!$A$6:$A$205=A40,'Profitability inputs'!$C$6:$C$205=""TTM"",'Profitability inputs'!$AD$6:$AD$205=1),1),""n.a.""))"),"")</f>
        <v/>
      </c>
      <c r="F40" s="20" t="str">
        <f>IFERROR(__xludf.DUMMYFUNCTION("IF(A40="""","""",IFNA(INDEX(FILTER('Profitability inputs'!$D$6:$D$205,'Profitability inputs'!$A$6:$A$205=A40,'Profitability inputs'!$C$6:$C$205=""TTM"",'Profitability inputs'!$AD$6:$AD$205=1),1),""n.a.""))"),"")</f>
        <v/>
      </c>
      <c r="G40" s="80" t="str">
        <f>IFERROR(__xludf.DUMMYFUNCTION("IF(A40="""","""",IFNA(INDEX(FILTER('Profitability inputs'!$AG$6:$AG$205,'Profitability inputs'!$A$6:$A$205=A40,'Profitability inputs'!$C$6:$C$205=""TTM"",'Profitability inputs'!$AD$6:$AD$205=1),1),""n.a.""))"),"")</f>
        <v/>
      </c>
      <c r="H40" s="80" t="str">
        <f>IFERROR(__xludf.DUMMYFUNCTION("IF(A40="""","""",IFNA(INDEX(FILTER('Profitability inputs'!$AH$6:$AH$205,'Profitability inputs'!$A$6:$A$205=A40,'Profitability inputs'!$C$6:$C$205=""TTM"",'Profitability inputs'!$AD$6:$AD$205=1),1),""n.a.""))"),"")</f>
        <v/>
      </c>
      <c r="I40" s="81" t="str">
        <f t="shared" si="1"/>
        <v/>
      </c>
      <c r="J40" s="81" t="str">
        <f t="shared" si="2"/>
        <v/>
      </c>
      <c r="K40" s="81" t="str">
        <f t="shared" si="3"/>
        <v/>
      </c>
      <c r="L40" s="14" t="str">
        <f t="shared" si="4"/>
        <v/>
      </c>
      <c r="M40" s="14" t="str">
        <f t="shared" si="5"/>
        <v/>
      </c>
      <c r="N40" s="80" t="str">
        <f>IFERROR(__xludf.DUMMYFUNCTION("IF(A40="""","""",IFNA(INDEX(FILTER('Profitability inputs'!$AI$6:$AI$205,'Profitability inputs'!$A$6:$A$205=A40,'Profitability inputs'!$C$6:$C$205=""TTM"",'Profitability inputs'!$AD$6:$AD$205=1),1),""n.a.""))"),"")</f>
        <v/>
      </c>
      <c r="O40" s="82" t="str">
        <f>IFERROR(__xludf.DUMMYFUNCTION("IF(A40="""","""",IF(AA40&lt;&gt;3,""n.a."",IF(OR(COUNT(FILTER('Profitability inputs'!$V$6:$V$205,'Profitability inputs'!$A$6:$A$205=A40,'Profitability inputs'!$AN$6:$AN$205=1))&lt;&gt;3,COUNT(FILTER('Profitability inputs'!$W$6:$W$205,'Profitability inputs'!$A$6:$A$20"&amp;"5=A40,'Profitability inputs'!$AN$6:$AN$205=1))&lt;&gt;3,SUMIFS('Profitability inputs'!$W$6:$W$205,'Profitability inputs'!$A$6:$A$205,A40,'Profitability inputs'!$AN$6:$AN$205,1)&lt;=0),""n.a."",SUMIFS('Profitability inputs'!$V$6:$V$205,'Profitability inputs'!$A$6:$"&amp;"A$205,A40,'Profitability inputs'!$AN$6:$AN$205,1)/SUMIFS('Profitability inputs'!$W$6:$W$205,'Profitability inputs'!$A$6:$A$205,A40,'Profitability inputs'!$AN$6:$AN$205,1))))"),"")</f>
        <v/>
      </c>
      <c r="P40" s="80" t="str">
        <f>IFERROR(__xludf.DUMMYFUNCTION("IF(A40="""","""",IF(AA40&lt;&gt;3,""n.a."",MEDIAN(FILTER('Profitability inputs'!$AG$6:$AG$205,'Profitability inputs'!$A$6:$A$205=A40,'Profitability inputs'!$AN$6:$AN$205=1))))"),"")</f>
        <v/>
      </c>
      <c r="Q40" s="80" t="str">
        <f>IFERROR(__xludf.DUMMYFUNCTION("IF(A40="""","""",IF(AA40&lt;&gt;3,""n.a."",MEDIAN(FILTER('Profitability inputs'!$AH$6:$AH$205,'Profitability inputs'!$A$6:$A$205=A40,'Profitability inputs'!$AN$6:$AN$205=1))))"),"")</f>
        <v/>
      </c>
      <c r="R40" s="83" t="str">
        <f t="shared" si="6"/>
        <v/>
      </c>
      <c r="S40" s="83" t="str">
        <f t="shared" si="7"/>
        <v/>
      </c>
      <c r="T40" s="80" t="str">
        <f>IFERROR(__xludf.DUMMYFUNCTION("IF(A40="""","""",IFNA(INDEX(FILTER('Profitability inputs'!$AJ$6:$AJ$205,'Profitability inputs'!$A$6:$A$205=A40,'Profitability inputs'!$C$6:$C$205=""TTM"",'Profitability inputs'!$AD$6:$AD$205=1),1),""n.a.""))"),"")</f>
        <v/>
      </c>
      <c r="U40" s="80" t="str">
        <f>IFERROR(__xludf.DUMMYFUNCTION("IF(A40="""","""",IFNA(INDEX(FILTER('Profitability inputs'!$AK$6:$AK$205,'Profitability inputs'!$A$6:$A$205=A40,'Profitability inputs'!$C$6:$C$205=""TTM"",'Profitability inputs'!$AD$6:$AD$205=1),1),""n.a.""))"),"")</f>
        <v/>
      </c>
      <c r="V40" s="14" t="str">
        <f>IF(A40="","",IF(Companies!R31&lt;&gt;1,"Outside cap/scope universe",IF(D40="","Set business cohort",IF(COUNTIFS('Profitability inputs'!$A$6:$A$205,A40,'Profitability inputs'!$C$6:$C$205,"TTM")=0,"Add TTM financials",IF(COUNTIFS('Profitability inputs'!$A$6:$A$205,A40,'Profitability inputs'!$C$6:$C$205,"TTM")&lt;&gt;1,"Duplicate TTM records",IF(X40&lt;&gt;1,"Check financial data/dates/profile",IF($B$9&lt;&gt;"Ready",$B$9,IF(M40&lt;$B$6,"Too few same-cohort companies","Ready"))))))))</f>
        <v/>
      </c>
      <c r="W40" s="14" t="str">
        <f t="shared" si="8"/>
        <v/>
      </c>
      <c r="X40" s="14" t="str">
        <f>IFERROR(__xludf.DUMMYFUNCTION("IF(A40="""","""",IFERROR(IF(AND(Companies!R31=1,ISNUMBER(C40),C40&gt;=$B$5,D40&lt;&gt;"""",COUNTIFS('Profitability inputs'!$A$6:$A$205,A40,'Profitability inputs'!$C$6:$C$205,""TTM"")=1,COUNTIFS('Profitability inputs'!$A$6:$A$205,A40,'Profitability inputs'!$C$6:$C$"&amp;"205,""TTM"",'Profitability inputs'!$AD$6:$AD$205,1)=1,ISNUMBER(F40),F40&lt;=Rules!$B$6,Rules!$B$6-F40&lt;=Rules!$B$11,NOT(REGEXMATCH(LOWER(Companies!D31&amp;"" ""&amp;Companies!E31),""financial|bank|insurance|reit|real estate""))),1,0),0))"),"")</f>
        <v/>
      </c>
      <c r="Y40" s="81" t="str">
        <f t="shared" si="9"/>
        <v/>
      </c>
      <c r="Z40" s="81" t="str">
        <f t="shared" si="10"/>
        <v/>
      </c>
      <c r="AA40" s="14" t="str">
        <f>IF(A40="","",COUNTIFS('Profitability inputs'!$A$6:$A$205,A40,'Profitability inputs'!$AN$6:$AN$205,1))</f>
        <v/>
      </c>
      <c r="AB40" s="14" t="str">
        <f>IFERROR(__xludf.DUMMYFUNCTION("IF(A40="""","""",IFNA(INDEX(FILTER('Profitability inputs'!$AA$6:$AA$205,'Profitability inputs'!$A$6:$A$205=A40,'Profitability inputs'!$C$6:$C$205=""TTM"",'Profitability inputs'!$AD$6:$AD$205=1),1),""n.a.""))"),"")</f>
        <v/>
      </c>
    </row>
    <row r="41" ht="31.5" customHeight="1">
      <c r="A41" s="14" t="str">
        <f>IF(Companies!A32="","",Companies!A32)</f>
        <v/>
      </c>
      <c r="B41" s="14" t="str">
        <f>IF(A41="","",Companies!C32)</f>
        <v/>
      </c>
      <c r="C41" s="14" t="str">
        <f>IF(A41="","",IF(ISNUMBER(Companies!I32),Companies!I32,"n.a."))</f>
        <v/>
      </c>
      <c r="D41" s="79"/>
      <c r="E41" s="14" t="str">
        <f>IFERROR(__xludf.DUMMYFUNCTION("IF(A41="""","""",IFNA(INDEX(FILTER('Profitability inputs'!$G$6:$G$205,'Profitability inputs'!$A$6:$A$205=A41,'Profitability inputs'!$C$6:$C$205=""TTM"",'Profitability inputs'!$AD$6:$AD$205=1),1),""n.a.""))"),"")</f>
        <v/>
      </c>
      <c r="F41" s="20" t="str">
        <f>IFERROR(__xludf.DUMMYFUNCTION("IF(A41="""","""",IFNA(INDEX(FILTER('Profitability inputs'!$D$6:$D$205,'Profitability inputs'!$A$6:$A$205=A41,'Profitability inputs'!$C$6:$C$205=""TTM"",'Profitability inputs'!$AD$6:$AD$205=1),1),""n.a.""))"),"")</f>
        <v/>
      </c>
      <c r="G41" s="80" t="str">
        <f>IFERROR(__xludf.DUMMYFUNCTION("IF(A41="""","""",IFNA(INDEX(FILTER('Profitability inputs'!$AG$6:$AG$205,'Profitability inputs'!$A$6:$A$205=A41,'Profitability inputs'!$C$6:$C$205=""TTM"",'Profitability inputs'!$AD$6:$AD$205=1),1),""n.a.""))"),"")</f>
        <v/>
      </c>
      <c r="H41" s="80" t="str">
        <f>IFERROR(__xludf.DUMMYFUNCTION("IF(A41="""","""",IFNA(INDEX(FILTER('Profitability inputs'!$AH$6:$AH$205,'Profitability inputs'!$A$6:$A$205=A41,'Profitability inputs'!$C$6:$C$205=""TTM"",'Profitability inputs'!$AD$6:$AD$205=1),1),""n.a.""))"),"")</f>
        <v/>
      </c>
      <c r="I41" s="81" t="str">
        <f t="shared" si="1"/>
        <v/>
      </c>
      <c r="J41" s="81" t="str">
        <f t="shared" si="2"/>
        <v/>
      </c>
      <c r="K41" s="81" t="str">
        <f t="shared" si="3"/>
        <v/>
      </c>
      <c r="L41" s="14" t="str">
        <f t="shared" si="4"/>
        <v/>
      </c>
      <c r="M41" s="14" t="str">
        <f t="shared" si="5"/>
        <v/>
      </c>
      <c r="N41" s="80" t="str">
        <f>IFERROR(__xludf.DUMMYFUNCTION("IF(A41="""","""",IFNA(INDEX(FILTER('Profitability inputs'!$AI$6:$AI$205,'Profitability inputs'!$A$6:$A$205=A41,'Profitability inputs'!$C$6:$C$205=""TTM"",'Profitability inputs'!$AD$6:$AD$205=1),1),""n.a.""))"),"")</f>
        <v/>
      </c>
      <c r="O41" s="82" t="str">
        <f>IFERROR(__xludf.DUMMYFUNCTION("IF(A41="""","""",IF(AA41&lt;&gt;3,""n.a."",IF(OR(COUNT(FILTER('Profitability inputs'!$V$6:$V$205,'Profitability inputs'!$A$6:$A$205=A41,'Profitability inputs'!$AN$6:$AN$205=1))&lt;&gt;3,COUNT(FILTER('Profitability inputs'!$W$6:$W$205,'Profitability inputs'!$A$6:$A$20"&amp;"5=A41,'Profitability inputs'!$AN$6:$AN$205=1))&lt;&gt;3,SUMIFS('Profitability inputs'!$W$6:$W$205,'Profitability inputs'!$A$6:$A$205,A41,'Profitability inputs'!$AN$6:$AN$205,1)&lt;=0),""n.a."",SUMIFS('Profitability inputs'!$V$6:$V$205,'Profitability inputs'!$A$6:$"&amp;"A$205,A41,'Profitability inputs'!$AN$6:$AN$205,1)/SUMIFS('Profitability inputs'!$W$6:$W$205,'Profitability inputs'!$A$6:$A$205,A41,'Profitability inputs'!$AN$6:$AN$205,1))))"),"")</f>
        <v/>
      </c>
      <c r="P41" s="80" t="str">
        <f>IFERROR(__xludf.DUMMYFUNCTION("IF(A41="""","""",IF(AA41&lt;&gt;3,""n.a."",MEDIAN(FILTER('Profitability inputs'!$AG$6:$AG$205,'Profitability inputs'!$A$6:$A$205=A41,'Profitability inputs'!$AN$6:$AN$205=1))))"),"")</f>
        <v/>
      </c>
      <c r="Q41" s="80" t="str">
        <f>IFERROR(__xludf.DUMMYFUNCTION("IF(A41="""","""",IF(AA41&lt;&gt;3,""n.a."",MEDIAN(FILTER('Profitability inputs'!$AH$6:$AH$205,'Profitability inputs'!$A$6:$A$205=A41,'Profitability inputs'!$AN$6:$AN$205=1))))"),"")</f>
        <v/>
      </c>
      <c r="R41" s="83" t="str">
        <f t="shared" si="6"/>
        <v/>
      </c>
      <c r="S41" s="83" t="str">
        <f t="shared" si="7"/>
        <v/>
      </c>
      <c r="T41" s="80" t="str">
        <f>IFERROR(__xludf.DUMMYFUNCTION("IF(A41="""","""",IFNA(INDEX(FILTER('Profitability inputs'!$AJ$6:$AJ$205,'Profitability inputs'!$A$6:$A$205=A41,'Profitability inputs'!$C$6:$C$205=""TTM"",'Profitability inputs'!$AD$6:$AD$205=1),1),""n.a.""))"),"")</f>
        <v/>
      </c>
      <c r="U41" s="80" t="str">
        <f>IFERROR(__xludf.DUMMYFUNCTION("IF(A41="""","""",IFNA(INDEX(FILTER('Profitability inputs'!$AK$6:$AK$205,'Profitability inputs'!$A$6:$A$205=A41,'Profitability inputs'!$C$6:$C$205=""TTM"",'Profitability inputs'!$AD$6:$AD$205=1),1),""n.a.""))"),"")</f>
        <v/>
      </c>
      <c r="V41" s="14" t="str">
        <f>IF(A41="","",IF(Companies!R32&lt;&gt;1,"Outside cap/scope universe",IF(D41="","Set business cohort",IF(COUNTIFS('Profitability inputs'!$A$6:$A$205,A41,'Profitability inputs'!$C$6:$C$205,"TTM")=0,"Add TTM financials",IF(COUNTIFS('Profitability inputs'!$A$6:$A$205,A41,'Profitability inputs'!$C$6:$C$205,"TTM")&lt;&gt;1,"Duplicate TTM records",IF(X41&lt;&gt;1,"Check financial data/dates/profile",IF($B$9&lt;&gt;"Ready",$B$9,IF(M41&lt;$B$6,"Too few same-cohort companies","Ready"))))))))</f>
        <v/>
      </c>
      <c r="W41" s="14" t="str">
        <f t="shared" si="8"/>
        <v/>
      </c>
      <c r="X41" s="14" t="str">
        <f>IFERROR(__xludf.DUMMYFUNCTION("IF(A41="""","""",IFERROR(IF(AND(Companies!R32=1,ISNUMBER(C41),C41&gt;=$B$5,D41&lt;&gt;"""",COUNTIFS('Profitability inputs'!$A$6:$A$205,A41,'Profitability inputs'!$C$6:$C$205,""TTM"")=1,COUNTIFS('Profitability inputs'!$A$6:$A$205,A41,'Profitability inputs'!$C$6:$C$"&amp;"205,""TTM"",'Profitability inputs'!$AD$6:$AD$205,1)=1,ISNUMBER(F41),F41&lt;=Rules!$B$6,Rules!$B$6-F41&lt;=Rules!$B$11,NOT(REGEXMATCH(LOWER(Companies!D32&amp;"" ""&amp;Companies!E32),""financial|bank|insurance|reit|real estate""))),1,0),0))"),"")</f>
        <v/>
      </c>
      <c r="Y41" s="81" t="str">
        <f t="shared" si="9"/>
        <v/>
      </c>
      <c r="Z41" s="81" t="str">
        <f t="shared" si="10"/>
        <v/>
      </c>
      <c r="AA41" s="14" t="str">
        <f>IF(A41="","",COUNTIFS('Profitability inputs'!$A$6:$A$205,A41,'Profitability inputs'!$AN$6:$AN$205,1))</f>
        <v/>
      </c>
      <c r="AB41" s="14" t="str">
        <f>IFERROR(__xludf.DUMMYFUNCTION("IF(A41="""","""",IFNA(INDEX(FILTER('Profitability inputs'!$AA$6:$AA$205,'Profitability inputs'!$A$6:$A$205=A41,'Profitability inputs'!$C$6:$C$205=""TTM"",'Profitability inputs'!$AD$6:$AD$205=1),1),""n.a.""))"),"")</f>
        <v/>
      </c>
    </row>
    <row r="42" ht="31.5" customHeight="1">
      <c r="A42" s="14" t="str">
        <f>IF(Companies!A33="","",Companies!A33)</f>
        <v/>
      </c>
      <c r="B42" s="14" t="str">
        <f>IF(A42="","",Companies!C33)</f>
        <v/>
      </c>
      <c r="C42" s="14" t="str">
        <f>IF(A42="","",IF(ISNUMBER(Companies!I33),Companies!I33,"n.a."))</f>
        <v/>
      </c>
      <c r="D42" s="79"/>
      <c r="E42" s="14" t="str">
        <f>IFERROR(__xludf.DUMMYFUNCTION("IF(A42="""","""",IFNA(INDEX(FILTER('Profitability inputs'!$G$6:$G$205,'Profitability inputs'!$A$6:$A$205=A42,'Profitability inputs'!$C$6:$C$205=""TTM"",'Profitability inputs'!$AD$6:$AD$205=1),1),""n.a.""))"),"")</f>
        <v/>
      </c>
      <c r="F42" s="20" t="str">
        <f>IFERROR(__xludf.DUMMYFUNCTION("IF(A42="""","""",IFNA(INDEX(FILTER('Profitability inputs'!$D$6:$D$205,'Profitability inputs'!$A$6:$A$205=A42,'Profitability inputs'!$C$6:$C$205=""TTM"",'Profitability inputs'!$AD$6:$AD$205=1),1),""n.a.""))"),"")</f>
        <v/>
      </c>
      <c r="G42" s="80" t="str">
        <f>IFERROR(__xludf.DUMMYFUNCTION("IF(A42="""","""",IFNA(INDEX(FILTER('Profitability inputs'!$AG$6:$AG$205,'Profitability inputs'!$A$6:$A$205=A42,'Profitability inputs'!$C$6:$C$205=""TTM"",'Profitability inputs'!$AD$6:$AD$205=1),1),""n.a.""))"),"")</f>
        <v/>
      </c>
      <c r="H42" s="80" t="str">
        <f>IFERROR(__xludf.DUMMYFUNCTION("IF(A42="""","""",IFNA(INDEX(FILTER('Profitability inputs'!$AH$6:$AH$205,'Profitability inputs'!$A$6:$A$205=A42,'Profitability inputs'!$C$6:$C$205=""TTM"",'Profitability inputs'!$AD$6:$AD$205=1),1),""n.a.""))"),"")</f>
        <v/>
      </c>
      <c r="I42" s="81" t="str">
        <f t="shared" si="1"/>
        <v/>
      </c>
      <c r="J42" s="81" t="str">
        <f t="shared" si="2"/>
        <v/>
      </c>
      <c r="K42" s="81" t="str">
        <f t="shared" si="3"/>
        <v/>
      </c>
      <c r="L42" s="14" t="str">
        <f t="shared" si="4"/>
        <v/>
      </c>
      <c r="M42" s="14" t="str">
        <f t="shared" si="5"/>
        <v/>
      </c>
      <c r="N42" s="80" t="str">
        <f>IFERROR(__xludf.DUMMYFUNCTION("IF(A42="""","""",IFNA(INDEX(FILTER('Profitability inputs'!$AI$6:$AI$205,'Profitability inputs'!$A$6:$A$205=A42,'Profitability inputs'!$C$6:$C$205=""TTM"",'Profitability inputs'!$AD$6:$AD$205=1),1),""n.a.""))"),"")</f>
        <v/>
      </c>
      <c r="O42" s="82" t="str">
        <f>IFERROR(__xludf.DUMMYFUNCTION("IF(A42="""","""",IF(AA42&lt;&gt;3,""n.a."",IF(OR(COUNT(FILTER('Profitability inputs'!$V$6:$V$205,'Profitability inputs'!$A$6:$A$205=A42,'Profitability inputs'!$AN$6:$AN$205=1))&lt;&gt;3,COUNT(FILTER('Profitability inputs'!$W$6:$W$205,'Profitability inputs'!$A$6:$A$20"&amp;"5=A42,'Profitability inputs'!$AN$6:$AN$205=1))&lt;&gt;3,SUMIFS('Profitability inputs'!$W$6:$W$205,'Profitability inputs'!$A$6:$A$205,A42,'Profitability inputs'!$AN$6:$AN$205,1)&lt;=0),""n.a."",SUMIFS('Profitability inputs'!$V$6:$V$205,'Profitability inputs'!$A$6:$"&amp;"A$205,A42,'Profitability inputs'!$AN$6:$AN$205,1)/SUMIFS('Profitability inputs'!$W$6:$W$205,'Profitability inputs'!$A$6:$A$205,A42,'Profitability inputs'!$AN$6:$AN$205,1))))"),"")</f>
        <v/>
      </c>
      <c r="P42" s="80" t="str">
        <f>IFERROR(__xludf.DUMMYFUNCTION("IF(A42="""","""",IF(AA42&lt;&gt;3,""n.a."",MEDIAN(FILTER('Profitability inputs'!$AG$6:$AG$205,'Profitability inputs'!$A$6:$A$205=A42,'Profitability inputs'!$AN$6:$AN$205=1))))"),"")</f>
        <v/>
      </c>
      <c r="Q42" s="80" t="str">
        <f>IFERROR(__xludf.DUMMYFUNCTION("IF(A42="""","""",IF(AA42&lt;&gt;3,""n.a."",MEDIAN(FILTER('Profitability inputs'!$AH$6:$AH$205,'Profitability inputs'!$A$6:$A$205=A42,'Profitability inputs'!$AN$6:$AN$205=1))))"),"")</f>
        <v/>
      </c>
      <c r="R42" s="83" t="str">
        <f t="shared" si="6"/>
        <v/>
      </c>
      <c r="S42" s="83" t="str">
        <f t="shared" si="7"/>
        <v/>
      </c>
      <c r="T42" s="80" t="str">
        <f>IFERROR(__xludf.DUMMYFUNCTION("IF(A42="""","""",IFNA(INDEX(FILTER('Profitability inputs'!$AJ$6:$AJ$205,'Profitability inputs'!$A$6:$A$205=A42,'Profitability inputs'!$C$6:$C$205=""TTM"",'Profitability inputs'!$AD$6:$AD$205=1),1),""n.a.""))"),"")</f>
        <v/>
      </c>
      <c r="U42" s="80" t="str">
        <f>IFERROR(__xludf.DUMMYFUNCTION("IF(A42="""","""",IFNA(INDEX(FILTER('Profitability inputs'!$AK$6:$AK$205,'Profitability inputs'!$A$6:$A$205=A42,'Profitability inputs'!$C$6:$C$205=""TTM"",'Profitability inputs'!$AD$6:$AD$205=1),1),""n.a.""))"),"")</f>
        <v/>
      </c>
      <c r="V42" s="14" t="str">
        <f>IF(A42="","",IF(Companies!R33&lt;&gt;1,"Outside cap/scope universe",IF(D42="","Set business cohort",IF(COUNTIFS('Profitability inputs'!$A$6:$A$205,A42,'Profitability inputs'!$C$6:$C$205,"TTM")=0,"Add TTM financials",IF(COUNTIFS('Profitability inputs'!$A$6:$A$205,A42,'Profitability inputs'!$C$6:$C$205,"TTM")&lt;&gt;1,"Duplicate TTM records",IF(X42&lt;&gt;1,"Check financial data/dates/profile",IF($B$9&lt;&gt;"Ready",$B$9,IF(M42&lt;$B$6,"Too few same-cohort companies","Ready"))))))))</f>
        <v/>
      </c>
      <c r="W42" s="14" t="str">
        <f t="shared" si="8"/>
        <v/>
      </c>
      <c r="X42" s="14" t="str">
        <f>IFERROR(__xludf.DUMMYFUNCTION("IF(A42="""","""",IFERROR(IF(AND(Companies!R33=1,ISNUMBER(C42),C42&gt;=$B$5,D42&lt;&gt;"""",COUNTIFS('Profitability inputs'!$A$6:$A$205,A42,'Profitability inputs'!$C$6:$C$205,""TTM"")=1,COUNTIFS('Profitability inputs'!$A$6:$A$205,A42,'Profitability inputs'!$C$6:$C$"&amp;"205,""TTM"",'Profitability inputs'!$AD$6:$AD$205,1)=1,ISNUMBER(F42),F42&lt;=Rules!$B$6,Rules!$B$6-F42&lt;=Rules!$B$11,NOT(REGEXMATCH(LOWER(Companies!D33&amp;"" ""&amp;Companies!E33),""financial|bank|insurance|reit|real estate""))),1,0),0))"),"")</f>
        <v/>
      </c>
      <c r="Y42" s="81" t="str">
        <f t="shared" si="9"/>
        <v/>
      </c>
      <c r="Z42" s="81" t="str">
        <f t="shared" si="10"/>
        <v/>
      </c>
      <c r="AA42" s="14" t="str">
        <f>IF(A42="","",COUNTIFS('Profitability inputs'!$A$6:$A$205,A42,'Profitability inputs'!$AN$6:$AN$205,1))</f>
        <v/>
      </c>
      <c r="AB42" s="14" t="str">
        <f>IFERROR(__xludf.DUMMYFUNCTION("IF(A42="""","""",IFNA(INDEX(FILTER('Profitability inputs'!$AA$6:$AA$205,'Profitability inputs'!$A$6:$A$205=A42,'Profitability inputs'!$C$6:$C$205=""TTM"",'Profitability inputs'!$AD$6:$AD$205=1),1),""n.a.""))"),"")</f>
        <v/>
      </c>
    </row>
    <row r="43" ht="31.5" customHeight="1">
      <c r="A43" s="14" t="str">
        <f>IF(Companies!A34="","",Companies!A34)</f>
        <v/>
      </c>
      <c r="B43" s="14" t="str">
        <f>IF(A43="","",Companies!C34)</f>
        <v/>
      </c>
      <c r="C43" s="14" t="str">
        <f>IF(A43="","",IF(ISNUMBER(Companies!I34),Companies!I34,"n.a."))</f>
        <v/>
      </c>
      <c r="D43" s="79"/>
      <c r="E43" s="14" t="str">
        <f>IFERROR(__xludf.DUMMYFUNCTION("IF(A43="""","""",IFNA(INDEX(FILTER('Profitability inputs'!$G$6:$G$205,'Profitability inputs'!$A$6:$A$205=A43,'Profitability inputs'!$C$6:$C$205=""TTM"",'Profitability inputs'!$AD$6:$AD$205=1),1),""n.a.""))"),"")</f>
        <v/>
      </c>
      <c r="F43" s="20" t="str">
        <f>IFERROR(__xludf.DUMMYFUNCTION("IF(A43="""","""",IFNA(INDEX(FILTER('Profitability inputs'!$D$6:$D$205,'Profitability inputs'!$A$6:$A$205=A43,'Profitability inputs'!$C$6:$C$205=""TTM"",'Profitability inputs'!$AD$6:$AD$205=1),1),""n.a.""))"),"")</f>
        <v/>
      </c>
      <c r="G43" s="80" t="str">
        <f>IFERROR(__xludf.DUMMYFUNCTION("IF(A43="""","""",IFNA(INDEX(FILTER('Profitability inputs'!$AG$6:$AG$205,'Profitability inputs'!$A$6:$A$205=A43,'Profitability inputs'!$C$6:$C$205=""TTM"",'Profitability inputs'!$AD$6:$AD$205=1),1),""n.a.""))"),"")</f>
        <v/>
      </c>
      <c r="H43" s="80" t="str">
        <f>IFERROR(__xludf.DUMMYFUNCTION("IF(A43="""","""",IFNA(INDEX(FILTER('Profitability inputs'!$AH$6:$AH$205,'Profitability inputs'!$A$6:$A$205=A43,'Profitability inputs'!$C$6:$C$205=""TTM"",'Profitability inputs'!$AD$6:$AD$205=1),1),""n.a.""))"),"")</f>
        <v/>
      </c>
      <c r="I43" s="81" t="str">
        <f t="shared" si="1"/>
        <v/>
      </c>
      <c r="J43" s="81" t="str">
        <f t="shared" si="2"/>
        <v/>
      </c>
      <c r="K43" s="81" t="str">
        <f t="shared" si="3"/>
        <v/>
      </c>
      <c r="L43" s="14" t="str">
        <f t="shared" si="4"/>
        <v/>
      </c>
      <c r="M43" s="14" t="str">
        <f t="shared" si="5"/>
        <v/>
      </c>
      <c r="N43" s="80" t="str">
        <f>IFERROR(__xludf.DUMMYFUNCTION("IF(A43="""","""",IFNA(INDEX(FILTER('Profitability inputs'!$AI$6:$AI$205,'Profitability inputs'!$A$6:$A$205=A43,'Profitability inputs'!$C$6:$C$205=""TTM"",'Profitability inputs'!$AD$6:$AD$205=1),1),""n.a.""))"),"")</f>
        <v/>
      </c>
      <c r="O43" s="82" t="str">
        <f>IFERROR(__xludf.DUMMYFUNCTION("IF(A43="""","""",IF(AA43&lt;&gt;3,""n.a."",IF(OR(COUNT(FILTER('Profitability inputs'!$V$6:$V$205,'Profitability inputs'!$A$6:$A$205=A43,'Profitability inputs'!$AN$6:$AN$205=1))&lt;&gt;3,COUNT(FILTER('Profitability inputs'!$W$6:$W$205,'Profitability inputs'!$A$6:$A$20"&amp;"5=A43,'Profitability inputs'!$AN$6:$AN$205=1))&lt;&gt;3,SUMIFS('Profitability inputs'!$W$6:$W$205,'Profitability inputs'!$A$6:$A$205,A43,'Profitability inputs'!$AN$6:$AN$205,1)&lt;=0),""n.a."",SUMIFS('Profitability inputs'!$V$6:$V$205,'Profitability inputs'!$A$6:$"&amp;"A$205,A43,'Profitability inputs'!$AN$6:$AN$205,1)/SUMIFS('Profitability inputs'!$W$6:$W$205,'Profitability inputs'!$A$6:$A$205,A43,'Profitability inputs'!$AN$6:$AN$205,1))))"),"")</f>
        <v/>
      </c>
      <c r="P43" s="80" t="str">
        <f>IFERROR(__xludf.DUMMYFUNCTION("IF(A43="""","""",IF(AA43&lt;&gt;3,""n.a."",MEDIAN(FILTER('Profitability inputs'!$AG$6:$AG$205,'Profitability inputs'!$A$6:$A$205=A43,'Profitability inputs'!$AN$6:$AN$205=1))))"),"")</f>
        <v/>
      </c>
      <c r="Q43" s="80" t="str">
        <f>IFERROR(__xludf.DUMMYFUNCTION("IF(A43="""","""",IF(AA43&lt;&gt;3,""n.a."",MEDIAN(FILTER('Profitability inputs'!$AH$6:$AH$205,'Profitability inputs'!$A$6:$A$205=A43,'Profitability inputs'!$AN$6:$AN$205=1))))"),"")</f>
        <v/>
      </c>
      <c r="R43" s="83" t="str">
        <f t="shared" si="6"/>
        <v/>
      </c>
      <c r="S43" s="83" t="str">
        <f t="shared" si="7"/>
        <v/>
      </c>
      <c r="T43" s="80" t="str">
        <f>IFERROR(__xludf.DUMMYFUNCTION("IF(A43="""","""",IFNA(INDEX(FILTER('Profitability inputs'!$AJ$6:$AJ$205,'Profitability inputs'!$A$6:$A$205=A43,'Profitability inputs'!$C$6:$C$205=""TTM"",'Profitability inputs'!$AD$6:$AD$205=1),1),""n.a.""))"),"")</f>
        <v/>
      </c>
      <c r="U43" s="80" t="str">
        <f>IFERROR(__xludf.DUMMYFUNCTION("IF(A43="""","""",IFNA(INDEX(FILTER('Profitability inputs'!$AK$6:$AK$205,'Profitability inputs'!$A$6:$A$205=A43,'Profitability inputs'!$C$6:$C$205=""TTM"",'Profitability inputs'!$AD$6:$AD$205=1),1),""n.a.""))"),"")</f>
        <v/>
      </c>
      <c r="V43" s="14" t="str">
        <f>IF(A43="","",IF(Companies!R34&lt;&gt;1,"Outside cap/scope universe",IF(D43="","Set business cohort",IF(COUNTIFS('Profitability inputs'!$A$6:$A$205,A43,'Profitability inputs'!$C$6:$C$205,"TTM")=0,"Add TTM financials",IF(COUNTIFS('Profitability inputs'!$A$6:$A$205,A43,'Profitability inputs'!$C$6:$C$205,"TTM")&lt;&gt;1,"Duplicate TTM records",IF(X43&lt;&gt;1,"Check financial data/dates/profile",IF($B$9&lt;&gt;"Ready",$B$9,IF(M43&lt;$B$6,"Too few same-cohort companies","Ready"))))))))</f>
        <v/>
      </c>
      <c r="W43" s="14" t="str">
        <f t="shared" si="8"/>
        <v/>
      </c>
      <c r="X43" s="14" t="str">
        <f>IFERROR(__xludf.DUMMYFUNCTION("IF(A43="""","""",IFERROR(IF(AND(Companies!R34=1,ISNUMBER(C43),C43&gt;=$B$5,D43&lt;&gt;"""",COUNTIFS('Profitability inputs'!$A$6:$A$205,A43,'Profitability inputs'!$C$6:$C$205,""TTM"")=1,COUNTIFS('Profitability inputs'!$A$6:$A$205,A43,'Profitability inputs'!$C$6:$C$"&amp;"205,""TTM"",'Profitability inputs'!$AD$6:$AD$205,1)=1,ISNUMBER(F43),F43&lt;=Rules!$B$6,Rules!$B$6-F43&lt;=Rules!$B$11,NOT(REGEXMATCH(LOWER(Companies!D34&amp;"" ""&amp;Companies!E34),""financial|bank|insurance|reit|real estate""))),1,0),0))"),"")</f>
        <v/>
      </c>
      <c r="Y43" s="81" t="str">
        <f t="shared" si="9"/>
        <v/>
      </c>
      <c r="Z43" s="81" t="str">
        <f t="shared" si="10"/>
        <v/>
      </c>
      <c r="AA43" s="14" t="str">
        <f>IF(A43="","",COUNTIFS('Profitability inputs'!$A$6:$A$205,A43,'Profitability inputs'!$AN$6:$AN$205,1))</f>
        <v/>
      </c>
      <c r="AB43" s="14" t="str">
        <f>IFERROR(__xludf.DUMMYFUNCTION("IF(A43="""","""",IFNA(INDEX(FILTER('Profitability inputs'!$AA$6:$AA$205,'Profitability inputs'!$A$6:$A$205=A43,'Profitability inputs'!$C$6:$C$205=""TTM"",'Profitability inputs'!$AD$6:$AD$205=1),1),""n.a.""))"),"")</f>
        <v/>
      </c>
    </row>
    <row r="44" ht="31.5" customHeight="1">
      <c r="A44" s="14" t="str">
        <f>IF(Companies!A35="","",Companies!A35)</f>
        <v/>
      </c>
      <c r="B44" s="14" t="str">
        <f>IF(A44="","",Companies!C35)</f>
        <v/>
      </c>
      <c r="C44" s="14" t="str">
        <f>IF(A44="","",IF(ISNUMBER(Companies!I35),Companies!I35,"n.a."))</f>
        <v/>
      </c>
      <c r="D44" s="79"/>
      <c r="E44" s="14" t="str">
        <f>IFERROR(__xludf.DUMMYFUNCTION("IF(A44="""","""",IFNA(INDEX(FILTER('Profitability inputs'!$G$6:$G$205,'Profitability inputs'!$A$6:$A$205=A44,'Profitability inputs'!$C$6:$C$205=""TTM"",'Profitability inputs'!$AD$6:$AD$205=1),1),""n.a.""))"),"")</f>
        <v/>
      </c>
      <c r="F44" s="20" t="str">
        <f>IFERROR(__xludf.DUMMYFUNCTION("IF(A44="""","""",IFNA(INDEX(FILTER('Profitability inputs'!$D$6:$D$205,'Profitability inputs'!$A$6:$A$205=A44,'Profitability inputs'!$C$6:$C$205=""TTM"",'Profitability inputs'!$AD$6:$AD$205=1),1),""n.a.""))"),"")</f>
        <v/>
      </c>
      <c r="G44" s="80" t="str">
        <f>IFERROR(__xludf.DUMMYFUNCTION("IF(A44="""","""",IFNA(INDEX(FILTER('Profitability inputs'!$AG$6:$AG$205,'Profitability inputs'!$A$6:$A$205=A44,'Profitability inputs'!$C$6:$C$205=""TTM"",'Profitability inputs'!$AD$6:$AD$205=1),1),""n.a.""))"),"")</f>
        <v/>
      </c>
      <c r="H44" s="80" t="str">
        <f>IFERROR(__xludf.DUMMYFUNCTION("IF(A44="""","""",IFNA(INDEX(FILTER('Profitability inputs'!$AH$6:$AH$205,'Profitability inputs'!$A$6:$A$205=A44,'Profitability inputs'!$C$6:$C$205=""TTM"",'Profitability inputs'!$AD$6:$AD$205=1),1),""n.a.""))"),"")</f>
        <v/>
      </c>
      <c r="I44" s="81" t="str">
        <f t="shared" si="1"/>
        <v/>
      </c>
      <c r="J44" s="81" t="str">
        <f t="shared" si="2"/>
        <v/>
      </c>
      <c r="K44" s="81" t="str">
        <f t="shared" si="3"/>
        <v/>
      </c>
      <c r="L44" s="14" t="str">
        <f t="shared" si="4"/>
        <v/>
      </c>
      <c r="M44" s="14" t="str">
        <f t="shared" si="5"/>
        <v/>
      </c>
      <c r="N44" s="80" t="str">
        <f>IFERROR(__xludf.DUMMYFUNCTION("IF(A44="""","""",IFNA(INDEX(FILTER('Profitability inputs'!$AI$6:$AI$205,'Profitability inputs'!$A$6:$A$205=A44,'Profitability inputs'!$C$6:$C$205=""TTM"",'Profitability inputs'!$AD$6:$AD$205=1),1),""n.a.""))"),"")</f>
        <v/>
      </c>
      <c r="O44" s="82" t="str">
        <f>IFERROR(__xludf.DUMMYFUNCTION("IF(A44="""","""",IF(AA44&lt;&gt;3,""n.a."",IF(OR(COUNT(FILTER('Profitability inputs'!$V$6:$V$205,'Profitability inputs'!$A$6:$A$205=A44,'Profitability inputs'!$AN$6:$AN$205=1))&lt;&gt;3,COUNT(FILTER('Profitability inputs'!$W$6:$W$205,'Profitability inputs'!$A$6:$A$20"&amp;"5=A44,'Profitability inputs'!$AN$6:$AN$205=1))&lt;&gt;3,SUMIFS('Profitability inputs'!$W$6:$W$205,'Profitability inputs'!$A$6:$A$205,A44,'Profitability inputs'!$AN$6:$AN$205,1)&lt;=0),""n.a."",SUMIFS('Profitability inputs'!$V$6:$V$205,'Profitability inputs'!$A$6:$"&amp;"A$205,A44,'Profitability inputs'!$AN$6:$AN$205,1)/SUMIFS('Profitability inputs'!$W$6:$W$205,'Profitability inputs'!$A$6:$A$205,A44,'Profitability inputs'!$AN$6:$AN$205,1))))"),"")</f>
        <v/>
      </c>
      <c r="P44" s="80" t="str">
        <f>IFERROR(__xludf.DUMMYFUNCTION("IF(A44="""","""",IF(AA44&lt;&gt;3,""n.a."",MEDIAN(FILTER('Profitability inputs'!$AG$6:$AG$205,'Profitability inputs'!$A$6:$A$205=A44,'Profitability inputs'!$AN$6:$AN$205=1))))"),"")</f>
        <v/>
      </c>
      <c r="Q44" s="80" t="str">
        <f>IFERROR(__xludf.DUMMYFUNCTION("IF(A44="""","""",IF(AA44&lt;&gt;3,""n.a."",MEDIAN(FILTER('Profitability inputs'!$AH$6:$AH$205,'Profitability inputs'!$A$6:$A$205=A44,'Profitability inputs'!$AN$6:$AN$205=1))))"),"")</f>
        <v/>
      </c>
      <c r="R44" s="83" t="str">
        <f t="shared" si="6"/>
        <v/>
      </c>
      <c r="S44" s="83" t="str">
        <f t="shared" si="7"/>
        <v/>
      </c>
      <c r="T44" s="80" t="str">
        <f>IFERROR(__xludf.DUMMYFUNCTION("IF(A44="""","""",IFNA(INDEX(FILTER('Profitability inputs'!$AJ$6:$AJ$205,'Profitability inputs'!$A$6:$A$205=A44,'Profitability inputs'!$C$6:$C$205=""TTM"",'Profitability inputs'!$AD$6:$AD$205=1),1),""n.a.""))"),"")</f>
        <v/>
      </c>
      <c r="U44" s="80" t="str">
        <f>IFERROR(__xludf.DUMMYFUNCTION("IF(A44="""","""",IFNA(INDEX(FILTER('Profitability inputs'!$AK$6:$AK$205,'Profitability inputs'!$A$6:$A$205=A44,'Profitability inputs'!$C$6:$C$205=""TTM"",'Profitability inputs'!$AD$6:$AD$205=1),1),""n.a.""))"),"")</f>
        <v/>
      </c>
      <c r="V44" s="14" t="str">
        <f>IF(A44="","",IF(Companies!R35&lt;&gt;1,"Outside cap/scope universe",IF(D44="","Set business cohort",IF(COUNTIFS('Profitability inputs'!$A$6:$A$205,A44,'Profitability inputs'!$C$6:$C$205,"TTM")=0,"Add TTM financials",IF(COUNTIFS('Profitability inputs'!$A$6:$A$205,A44,'Profitability inputs'!$C$6:$C$205,"TTM")&lt;&gt;1,"Duplicate TTM records",IF(X44&lt;&gt;1,"Check financial data/dates/profile",IF($B$9&lt;&gt;"Ready",$B$9,IF(M44&lt;$B$6,"Too few same-cohort companies","Ready"))))))))</f>
        <v/>
      </c>
      <c r="W44" s="14" t="str">
        <f t="shared" si="8"/>
        <v/>
      </c>
      <c r="X44" s="14" t="str">
        <f>IFERROR(__xludf.DUMMYFUNCTION("IF(A44="""","""",IFERROR(IF(AND(Companies!R35=1,ISNUMBER(C44),C44&gt;=$B$5,D44&lt;&gt;"""",COUNTIFS('Profitability inputs'!$A$6:$A$205,A44,'Profitability inputs'!$C$6:$C$205,""TTM"")=1,COUNTIFS('Profitability inputs'!$A$6:$A$205,A44,'Profitability inputs'!$C$6:$C$"&amp;"205,""TTM"",'Profitability inputs'!$AD$6:$AD$205,1)=1,ISNUMBER(F44),F44&lt;=Rules!$B$6,Rules!$B$6-F44&lt;=Rules!$B$11,NOT(REGEXMATCH(LOWER(Companies!D35&amp;"" ""&amp;Companies!E35),""financial|bank|insurance|reit|real estate""))),1,0),0))"),"")</f>
        <v/>
      </c>
      <c r="Y44" s="81" t="str">
        <f t="shared" si="9"/>
        <v/>
      </c>
      <c r="Z44" s="81" t="str">
        <f t="shared" si="10"/>
        <v/>
      </c>
      <c r="AA44" s="14" t="str">
        <f>IF(A44="","",COUNTIFS('Profitability inputs'!$A$6:$A$205,A44,'Profitability inputs'!$AN$6:$AN$205,1))</f>
        <v/>
      </c>
      <c r="AB44" s="14" t="str">
        <f>IFERROR(__xludf.DUMMYFUNCTION("IF(A44="""","""",IFNA(INDEX(FILTER('Profitability inputs'!$AA$6:$AA$205,'Profitability inputs'!$A$6:$A$205=A44,'Profitability inputs'!$C$6:$C$205=""TTM"",'Profitability inputs'!$AD$6:$AD$205=1),1),""n.a.""))"),"")</f>
        <v/>
      </c>
    </row>
    <row r="45" ht="31.5" customHeight="1">
      <c r="A45" s="14" t="str">
        <f>IF(Companies!A36="","",Companies!A36)</f>
        <v/>
      </c>
      <c r="B45" s="14" t="str">
        <f>IF(A45="","",Companies!C36)</f>
        <v/>
      </c>
      <c r="C45" s="14" t="str">
        <f>IF(A45="","",IF(ISNUMBER(Companies!I36),Companies!I36,"n.a."))</f>
        <v/>
      </c>
      <c r="D45" s="79"/>
      <c r="E45" s="14" t="str">
        <f>IFERROR(__xludf.DUMMYFUNCTION("IF(A45="""","""",IFNA(INDEX(FILTER('Profitability inputs'!$G$6:$G$205,'Profitability inputs'!$A$6:$A$205=A45,'Profitability inputs'!$C$6:$C$205=""TTM"",'Profitability inputs'!$AD$6:$AD$205=1),1),""n.a.""))"),"")</f>
        <v/>
      </c>
      <c r="F45" s="20" t="str">
        <f>IFERROR(__xludf.DUMMYFUNCTION("IF(A45="""","""",IFNA(INDEX(FILTER('Profitability inputs'!$D$6:$D$205,'Profitability inputs'!$A$6:$A$205=A45,'Profitability inputs'!$C$6:$C$205=""TTM"",'Profitability inputs'!$AD$6:$AD$205=1),1),""n.a.""))"),"")</f>
        <v/>
      </c>
      <c r="G45" s="80" t="str">
        <f>IFERROR(__xludf.DUMMYFUNCTION("IF(A45="""","""",IFNA(INDEX(FILTER('Profitability inputs'!$AG$6:$AG$205,'Profitability inputs'!$A$6:$A$205=A45,'Profitability inputs'!$C$6:$C$205=""TTM"",'Profitability inputs'!$AD$6:$AD$205=1),1),""n.a.""))"),"")</f>
        <v/>
      </c>
      <c r="H45" s="80" t="str">
        <f>IFERROR(__xludf.DUMMYFUNCTION("IF(A45="""","""",IFNA(INDEX(FILTER('Profitability inputs'!$AH$6:$AH$205,'Profitability inputs'!$A$6:$A$205=A45,'Profitability inputs'!$C$6:$C$205=""TTM"",'Profitability inputs'!$AD$6:$AD$205=1),1),""n.a.""))"),"")</f>
        <v/>
      </c>
      <c r="I45" s="81" t="str">
        <f t="shared" si="1"/>
        <v/>
      </c>
      <c r="J45" s="81" t="str">
        <f t="shared" si="2"/>
        <v/>
      </c>
      <c r="K45" s="81" t="str">
        <f t="shared" si="3"/>
        <v/>
      </c>
      <c r="L45" s="14" t="str">
        <f t="shared" si="4"/>
        <v/>
      </c>
      <c r="M45" s="14" t="str">
        <f t="shared" si="5"/>
        <v/>
      </c>
      <c r="N45" s="80" t="str">
        <f>IFERROR(__xludf.DUMMYFUNCTION("IF(A45="""","""",IFNA(INDEX(FILTER('Profitability inputs'!$AI$6:$AI$205,'Profitability inputs'!$A$6:$A$205=A45,'Profitability inputs'!$C$6:$C$205=""TTM"",'Profitability inputs'!$AD$6:$AD$205=1),1),""n.a.""))"),"")</f>
        <v/>
      </c>
      <c r="O45" s="82" t="str">
        <f>IFERROR(__xludf.DUMMYFUNCTION("IF(A45="""","""",IF(AA45&lt;&gt;3,""n.a."",IF(OR(COUNT(FILTER('Profitability inputs'!$V$6:$V$205,'Profitability inputs'!$A$6:$A$205=A45,'Profitability inputs'!$AN$6:$AN$205=1))&lt;&gt;3,COUNT(FILTER('Profitability inputs'!$W$6:$W$205,'Profitability inputs'!$A$6:$A$20"&amp;"5=A45,'Profitability inputs'!$AN$6:$AN$205=1))&lt;&gt;3,SUMIFS('Profitability inputs'!$W$6:$W$205,'Profitability inputs'!$A$6:$A$205,A45,'Profitability inputs'!$AN$6:$AN$205,1)&lt;=0),""n.a."",SUMIFS('Profitability inputs'!$V$6:$V$205,'Profitability inputs'!$A$6:$"&amp;"A$205,A45,'Profitability inputs'!$AN$6:$AN$205,1)/SUMIFS('Profitability inputs'!$W$6:$W$205,'Profitability inputs'!$A$6:$A$205,A45,'Profitability inputs'!$AN$6:$AN$205,1))))"),"")</f>
        <v/>
      </c>
      <c r="P45" s="80" t="str">
        <f>IFERROR(__xludf.DUMMYFUNCTION("IF(A45="""","""",IF(AA45&lt;&gt;3,""n.a."",MEDIAN(FILTER('Profitability inputs'!$AG$6:$AG$205,'Profitability inputs'!$A$6:$A$205=A45,'Profitability inputs'!$AN$6:$AN$205=1))))"),"")</f>
        <v/>
      </c>
      <c r="Q45" s="80" t="str">
        <f>IFERROR(__xludf.DUMMYFUNCTION("IF(A45="""","""",IF(AA45&lt;&gt;3,""n.a."",MEDIAN(FILTER('Profitability inputs'!$AH$6:$AH$205,'Profitability inputs'!$A$6:$A$205=A45,'Profitability inputs'!$AN$6:$AN$205=1))))"),"")</f>
        <v/>
      </c>
      <c r="R45" s="83" t="str">
        <f t="shared" si="6"/>
        <v/>
      </c>
      <c r="S45" s="83" t="str">
        <f t="shared" si="7"/>
        <v/>
      </c>
      <c r="T45" s="80" t="str">
        <f>IFERROR(__xludf.DUMMYFUNCTION("IF(A45="""","""",IFNA(INDEX(FILTER('Profitability inputs'!$AJ$6:$AJ$205,'Profitability inputs'!$A$6:$A$205=A45,'Profitability inputs'!$C$6:$C$205=""TTM"",'Profitability inputs'!$AD$6:$AD$205=1),1),""n.a.""))"),"")</f>
        <v/>
      </c>
      <c r="U45" s="80" t="str">
        <f>IFERROR(__xludf.DUMMYFUNCTION("IF(A45="""","""",IFNA(INDEX(FILTER('Profitability inputs'!$AK$6:$AK$205,'Profitability inputs'!$A$6:$A$205=A45,'Profitability inputs'!$C$6:$C$205=""TTM"",'Profitability inputs'!$AD$6:$AD$205=1),1),""n.a.""))"),"")</f>
        <v/>
      </c>
      <c r="V45" s="14" t="str">
        <f>IF(A45="","",IF(Companies!R36&lt;&gt;1,"Outside cap/scope universe",IF(D45="","Set business cohort",IF(COUNTIFS('Profitability inputs'!$A$6:$A$205,A45,'Profitability inputs'!$C$6:$C$205,"TTM")=0,"Add TTM financials",IF(COUNTIFS('Profitability inputs'!$A$6:$A$205,A45,'Profitability inputs'!$C$6:$C$205,"TTM")&lt;&gt;1,"Duplicate TTM records",IF(X45&lt;&gt;1,"Check financial data/dates/profile",IF($B$9&lt;&gt;"Ready",$B$9,IF(M45&lt;$B$6,"Too few same-cohort companies","Ready"))))))))</f>
        <v/>
      </c>
      <c r="W45" s="14" t="str">
        <f t="shared" si="8"/>
        <v/>
      </c>
      <c r="X45" s="14" t="str">
        <f>IFERROR(__xludf.DUMMYFUNCTION("IF(A45="""","""",IFERROR(IF(AND(Companies!R36=1,ISNUMBER(C45),C45&gt;=$B$5,D45&lt;&gt;"""",COUNTIFS('Profitability inputs'!$A$6:$A$205,A45,'Profitability inputs'!$C$6:$C$205,""TTM"")=1,COUNTIFS('Profitability inputs'!$A$6:$A$205,A45,'Profitability inputs'!$C$6:$C$"&amp;"205,""TTM"",'Profitability inputs'!$AD$6:$AD$205,1)=1,ISNUMBER(F45),F45&lt;=Rules!$B$6,Rules!$B$6-F45&lt;=Rules!$B$11,NOT(REGEXMATCH(LOWER(Companies!D36&amp;"" ""&amp;Companies!E36),""financial|bank|insurance|reit|real estate""))),1,0),0))"),"")</f>
        <v/>
      </c>
      <c r="Y45" s="81" t="str">
        <f t="shared" si="9"/>
        <v/>
      </c>
      <c r="Z45" s="81" t="str">
        <f t="shared" si="10"/>
        <v/>
      </c>
      <c r="AA45" s="14" t="str">
        <f>IF(A45="","",COUNTIFS('Profitability inputs'!$A$6:$A$205,A45,'Profitability inputs'!$AN$6:$AN$205,1))</f>
        <v/>
      </c>
      <c r="AB45" s="14" t="str">
        <f>IFERROR(__xludf.DUMMYFUNCTION("IF(A45="""","""",IFNA(INDEX(FILTER('Profitability inputs'!$AA$6:$AA$205,'Profitability inputs'!$A$6:$A$205=A45,'Profitability inputs'!$C$6:$C$205=""TTM"",'Profitability inputs'!$AD$6:$AD$205=1),1),""n.a.""))"),"")</f>
        <v/>
      </c>
    </row>
    <row r="46" ht="31.5" customHeight="1">
      <c r="A46" s="14" t="str">
        <f>IF(Companies!A37="","",Companies!A37)</f>
        <v/>
      </c>
      <c r="B46" s="14" t="str">
        <f>IF(A46="","",Companies!C37)</f>
        <v/>
      </c>
      <c r="C46" s="14" t="str">
        <f>IF(A46="","",IF(ISNUMBER(Companies!I37),Companies!I37,"n.a."))</f>
        <v/>
      </c>
      <c r="D46" s="79"/>
      <c r="E46" s="14" t="str">
        <f>IFERROR(__xludf.DUMMYFUNCTION("IF(A46="""","""",IFNA(INDEX(FILTER('Profitability inputs'!$G$6:$G$205,'Profitability inputs'!$A$6:$A$205=A46,'Profitability inputs'!$C$6:$C$205=""TTM"",'Profitability inputs'!$AD$6:$AD$205=1),1),""n.a.""))"),"")</f>
        <v/>
      </c>
      <c r="F46" s="20" t="str">
        <f>IFERROR(__xludf.DUMMYFUNCTION("IF(A46="""","""",IFNA(INDEX(FILTER('Profitability inputs'!$D$6:$D$205,'Profitability inputs'!$A$6:$A$205=A46,'Profitability inputs'!$C$6:$C$205=""TTM"",'Profitability inputs'!$AD$6:$AD$205=1),1),""n.a.""))"),"")</f>
        <v/>
      </c>
      <c r="G46" s="80" t="str">
        <f>IFERROR(__xludf.DUMMYFUNCTION("IF(A46="""","""",IFNA(INDEX(FILTER('Profitability inputs'!$AG$6:$AG$205,'Profitability inputs'!$A$6:$A$205=A46,'Profitability inputs'!$C$6:$C$205=""TTM"",'Profitability inputs'!$AD$6:$AD$205=1),1),""n.a.""))"),"")</f>
        <v/>
      </c>
      <c r="H46" s="80" t="str">
        <f>IFERROR(__xludf.DUMMYFUNCTION("IF(A46="""","""",IFNA(INDEX(FILTER('Profitability inputs'!$AH$6:$AH$205,'Profitability inputs'!$A$6:$A$205=A46,'Profitability inputs'!$C$6:$C$205=""TTM"",'Profitability inputs'!$AD$6:$AD$205=1),1),""n.a.""))"),"")</f>
        <v/>
      </c>
      <c r="I46" s="81" t="str">
        <f t="shared" si="1"/>
        <v/>
      </c>
      <c r="J46" s="81" t="str">
        <f t="shared" si="2"/>
        <v/>
      </c>
      <c r="K46" s="81" t="str">
        <f t="shared" si="3"/>
        <v/>
      </c>
      <c r="L46" s="14" t="str">
        <f t="shared" si="4"/>
        <v/>
      </c>
      <c r="M46" s="14" t="str">
        <f t="shared" si="5"/>
        <v/>
      </c>
      <c r="N46" s="80" t="str">
        <f>IFERROR(__xludf.DUMMYFUNCTION("IF(A46="""","""",IFNA(INDEX(FILTER('Profitability inputs'!$AI$6:$AI$205,'Profitability inputs'!$A$6:$A$205=A46,'Profitability inputs'!$C$6:$C$205=""TTM"",'Profitability inputs'!$AD$6:$AD$205=1),1),""n.a.""))"),"")</f>
        <v/>
      </c>
      <c r="O46" s="82" t="str">
        <f>IFERROR(__xludf.DUMMYFUNCTION("IF(A46="""","""",IF(AA46&lt;&gt;3,""n.a."",IF(OR(COUNT(FILTER('Profitability inputs'!$V$6:$V$205,'Profitability inputs'!$A$6:$A$205=A46,'Profitability inputs'!$AN$6:$AN$205=1))&lt;&gt;3,COUNT(FILTER('Profitability inputs'!$W$6:$W$205,'Profitability inputs'!$A$6:$A$20"&amp;"5=A46,'Profitability inputs'!$AN$6:$AN$205=1))&lt;&gt;3,SUMIFS('Profitability inputs'!$W$6:$W$205,'Profitability inputs'!$A$6:$A$205,A46,'Profitability inputs'!$AN$6:$AN$205,1)&lt;=0),""n.a."",SUMIFS('Profitability inputs'!$V$6:$V$205,'Profitability inputs'!$A$6:$"&amp;"A$205,A46,'Profitability inputs'!$AN$6:$AN$205,1)/SUMIFS('Profitability inputs'!$W$6:$W$205,'Profitability inputs'!$A$6:$A$205,A46,'Profitability inputs'!$AN$6:$AN$205,1))))"),"")</f>
        <v/>
      </c>
      <c r="P46" s="80" t="str">
        <f>IFERROR(__xludf.DUMMYFUNCTION("IF(A46="""","""",IF(AA46&lt;&gt;3,""n.a."",MEDIAN(FILTER('Profitability inputs'!$AG$6:$AG$205,'Profitability inputs'!$A$6:$A$205=A46,'Profitability inputs'!$AN$6:$AN$205=1))))"),"")</f>
        <v/>
      </c>
      <c r="Q46" s="80" t="str">
        <f>IFERROR(__xludf.DUMMYFUNCTION("IF(A46="""","""",IF(AA46&lt;&gt;3,""n.a."",MEDIAN(FILTER('Profitability inputs'!$AH$6:$AH$205,'Profitability inputs'!$A$6:$A$205=A46,'Profitability inputs'!$AN$6:$AN$205=1))))"),"")</f>
        <v/>
      </c>
      <c r="R46" s="83" t="str">
        <f t="shared" si="6"/>
        <v/>
      </c>
      <c r="S46" s="83" t="str">
        <f t="shared" si="7"/>
        <v/>
      </c>
      <c r="T46" s="80" t="str">
        <f>IFERROR(__xludf.DUMMYFUNCTION("IF(A46="""","""",IFNA(INDEX(FILTER('Profitability inputs'!$AJ$6:$AJ$205,'Profitability inputs'!$A$6:$A$205=A46,'Profitability inputs'!$C$6:$C$205=""TTM"",'Profitability inputs'!$AD$6:$AD$205=1),1),""n.a.""))"),"")</f>
        <v/>
      </c>
      <c r="U46" s="80" t="str">
        <f>IFERROR(__xludf.DUMMYFUNCTION("IF(A46="""","""",IFNA(INDEX(FILTER('Profitability inputs'!$AK$6:$AK$205,'Profitability inputs'!$A$6:$A$205=A46,'Profitability inputs'!$C$6:$C$205=""TTM"",'Profitability inputs'!$AD$6:$AD$205=1),1),""n.a.""))"),"")</f>
        <v/>
      </c>
      <c r="V46" s="14" t="str">
        <f>IF(A46="","",IF(Companies!R37&lt;&gt;1,"Outside cap/scope universe",IF(D46="","Set business cohort",IF(COUNTIFS('Profitability inputs'!$A$6:$A$205,A46,'Profitability inputs'!$C$6:$C$205,"TTM")=0,"Add TTM financials",IF(COUNTIFS('Profitability inputs'!$A$6:$A$205,A46,'Profitability inputs'!$C$6:$C$205,"TTM")&lt;&gt;1,"Duplicate TTM records",IF(X46&lt;&gt;1,"Check financial data/dates/profile",IF($B$9&lt;&gt;"Ready",$B$9,IF(M46&lt;$B$6,"Too few same-cohort companies","Ready"))))))))</f>
        <v/>
      </c>
      <c r="W46" s="14" t="str">
        <f t="shared" si="8"/>
        <v/>
      </c>
      <c r="X46" s="14" t="str">
        <f>IFERROR(__xludf.DUMMYFUNCTION("IF(A46="""","""",IFERROR(IF(AND(Companies!R37=1,ISNUMBER(C46),C46&gt;=$B$5,D46&lt;&gt;"""",COUNTIFS('Profitability inputs'!$A$6:$A$205,A46,'Profitability inputs'!$C$6:$C$205,""TTM"")=1,COUNTIFS('Profitability inputs'!$A$6:$A$205,A46,'Profitability inputs'!$C$6:$C$"&amp;"205,""TTM"",'Profitability inputs'!$AD$6:$AD$205,1)=1,ISNUMBER(F46),F46&lt;=Rules!$B$6,Rules!$B$6-F46&lt;=Rules!$B$11,NOT(REGEXMATCH(LOWER(Companies!D37&amp;"" ""&amp;Companies!E37),""financial|bank|insurance|reit|real estate""))),1,0),0))"),"")</f>
        <v/>
      </c>
      <c r="Y46" s="81" t="str">
        <f t="shared" si="9"/>
        <v/>
      </c>
      <c r="Z46" s="81" t="str">
        <f t="shared" si="10"/>
        <v/>
      </c>
      <c r="AA46" s="14" t="str">
        <f>IF(A46="","",COUNTIFS('Profitability inputs'!$A$6:$A$205,A46,'Profitability inputs'!$AN$6:$AN$205,1))</f>
        <v/>
      </c>
      <c r="AB46" s="14" t="str">
        <f>IFERROR(__xludf.DUMMYFUNCTION("IF(A46="""","""",IFNA(INDEX(FILTER('Profitability inputs'!$AA$6:$AA$205,'Profitability inputs'!$A$6:$A$205=A46,'Profitability inputs'!$C$6:$C$205=""TTM"",'Profitability inputs'!$AD$6:$AD$205=1),1),""n.a.""))"),"")</f>
        <v/>
      </c>
    </row>
    <row r="47" ht="31.5" customHeight="1">
      <c r="A47" s="14" t="str">
        <f>IF(Companies!A38="","",Companies!A38)</f>
        <v/>
      </c>
      <c r="B47" s="14" t="str">
        <f>IF(A47="","",Companies!C38)</f>
        <v/>
      </c>
      <c r="C47" s="14" t="str">
        <f>IF(A47="","",IF(ISNUMBER(Companies!I38),Companies!I38,"n.a."))</f>
        <v/>
      </c>
      <c r="D47" s="79"/>
      <c r="E47" s="14" t="str">
        <f>IFERROR(__xludf.DUMMYFUNCTION("IF(A47="""","""",IFNA(INDEX(FILTER('Profitability inputs'!$G$6:$G$205,'Profitability inputs'!$A$6:$A$205=A47,'Profitability inputs'!$C$6:$C$205=""TTM"",'Profitability inputs'!$AD$6:$AD$205=1),1),""n.a.""))"),"")</f>
        <v/>
      </c>
      <c r="F47" s="20" t="str">
        <f>IFERROR(__xludf.DUMMYFUNCTION("IF(A47="""","""",IFNA(INDEX(FILTER('Profitability inputs'!$D$6:$D$205,'Profitability inputs'!$A$6:$A$205=A47,'Profitability inputs'!$C$6:$C$205=""TTM"",'Profitability inputs'!$AD$6:$AD$205=1),1),""n.a.""))"),"")</f>
        <v/>
      </c>
      <c r="G47" s="80" t="str">
        <f>IFERROR(__xludf.DUMMYFUNCTION("IF(A47="""","""",IFNA(INDEX(FILTER('Profitability inputs'!$AG$6:$AG$205,'Profitability inputs'!$A$6:$A$205=A47,'Profitability inputs'!$C$6:$C$205=""TTM"",'Profitability inputs'!$AD$6:$AD$205=1),1),""n.a.""))"),"")</f>
        <v/>
      </c>
      <c r="H47" s="80" t="str">
        <f>IFERROR(__xludf.DUMMYFUNCTION("IF(A47="""","""",IFNA(INDEX(FILTER('Profitability inputs'!$AH$6:$AH$205,'Profitability inputs'!$A$6:$A$205=A47,'Profitability inputs'!$C$6:$C$205=""TTM"",'Profitability inputs'!$AD$6:$AD$205=1),1),""n.a.""))"),"")</f>
        <v/>
      </c>
      <c r="I47" s="81" t="str">
        <f t="shared" si="1"/>
        <v/>
      </c>
      <c r="J47" s="81" t="str">
        <f t="shared" si="2"/>
        <v/>
      </c>
      <c r="K47" s="81" t="str">
        <f t="shared" si="3"/>
        <v/>
      </c>
      <c r="L47" s="14" t="str">
        <f t="shared" si="4"/>
        <v/>
      </c>
      <c r="M47" s="14" t="str">
        <f t="shared" si="5"/>
        <v/>
      </c>
      <c r="N47" s="80" t="str">
        <f>IFERROR(__xludf.DUMMYFUNCTION("IF(A47="""","""",IFNA(INDEX(FILTER('Profitability inputs'!$AI$6:$AI$205,'Profitability inputs'!$A$6:$A$205=A47,'Profitability inputs'!$C$6:$C$205=""TTM"",'Profitability inputs'!$AD$6:$AD$205=1),1),""n.a.""))"),"")</f>
        <v/>
      </c>
      <c r="O47" s="82" t="str">
        <f>IFERROR(__xludf.DUMMYFUNCTION("IF(A47="""","""",IF(AA47&lt;&gt;3,""n.a."",IF(OR(COUNT(FILTER('Profitability inputs'!$V$6:$V$205,'Profitability inputs'!$A$6:$A$205=A47,'Profitability inputs'!$AN$6:$AN$205=1))&lt;&gt;3,COUNT(FILTER('Profitability inputs'!$W$6:$W$205,'Profitability inputs'!$A$6:$A$20"&amp;"5=A47,'Profitability inputs'!$AN$6:$AN$205=1))&lt;&gt;3,SUMIFS('Profitability inputs'!$W$6:$W$205,'Profitability inputs'!$A$6:$A$205,A47,'Profitability inputs'!$AN$6:$AN$205,1)&lt;=0),""n.a."",SUMIFS('Profitability inputs'!$V$6:$V$205,'Profitability inputs'!$A$6:$"&amp;"A$205,A47,'Profitability inputs'!$AN$6:$AN$205,1)/SUMIFS('Profitability inputs'!$W$6:$W$205,'Profitability inputs'!$A$6:$A$205,A47,'Profitability inputs'!$AN$6:$AN$205,1))))"),"")</f>
        <v/>
      </c>
      <c r="P47" s="80" t="str">
        <f>IFERROR(__xludf.DUMMYFUNCTION("IF(A47="""","""",IF(AA47&lt;&gt;3,""n.a."",MEDIAN(FILTER('Profitability inputs'!$AG$6:$AG$205,'Profitability inputs'!$A$6:$A$205=A47,'Profitability inputs'!$AN$6:$AN$205=1))))"),"")</f>
        <v/>
      </c>
      <c r="Q47" s="80" t="str">
        <f>IFERROR(__xludf.DUMMYFUNCTION("IF(A47="""","""",IF(AA47&lt;&gt;3,""n.a."",MEDIAN(FILTER('Profitability inputs'!$AH$6:$AH$205,'Profitability inputs'!$A$6:$A$205=A47,'Profitability inputs'!$AN$6:$AN$205=1))))"),"")</f>
        <v/>
      </c>
      <c r="R47" s="83" t="str">
        <f t="shared" si="6"/>
        <v/>
      </c>
      <c r="S47" s="83" t="str">
        <f t="shared" si="7"/>
        <v/>
      </c>
      <c r="T47" s="80" t="str">
        <f>IFERROR(__xludf.DUMMYFUNCTION("IF(A47="""","""",IFNA(INDEX(FILTER('Profitability inputs'!$AJ$6:$AJ$205,'Profitability inputs'!$A$6:$A$205=A47,'Profitability inputs'!$C$6:$C$205=""TTM"",'Profitability inputs'!$AD$6:$AD$205=1),1),""n.a.""))"),"")</f>
        <v/>
      </c>
      <c r="U47" s="80" t="str">
        <f>IFERROR(__xludf.DUMMYFUNCTION("IF(A47="""","""",IFNA(INDEX(FILTER('Profitability inputs'!$AK$6:$AK$205,'Profitability inputs'!$A$6:$A$205=A47,'Profitability inputs'!$C$6:$C$205=""TTM"",'Profitability inputs'!$AD$6:$AD$205=1),1),""n.a.""))"),"")</f>
        <v/>
      </c>
      <c r="V47" s="14" t="str">
        <f>IF(A47="","",IF(Companies!R38&lt;&gt;1,"Outside cap/scope universe",IF(D47="","Set business cohort",IF(COUNTIFS('Profitability inputs'!$A$6:$A$205,A47,'Profitability inputs'!$C$6:$C$205,"TTM")=0,"Add TTM financials",IF(COUNTIFS('Profitability inputs'!$A$6:$A$205,A47,'Profitability inputs'!$C$6:$C$205,"TTM")&lt;&gt;1,"Duplicate TTM records",IF(X47&lt;&gt;1,"Check financial data/dates/profile",IF($B$9&lt;&gt;"Ready",$B$9,IF(M47&lt;$B$6,"Too few same-cohort companies","Ready"))))))))</f>
        <v/>
      </c>
      <c r="W47" s="14" t="str">
        <f t="shared" si="8"/>
        <v/>
      </c>
      <c r="X47" s="14" t="str">
        <f>IFERROR(__xludf.DUMMYFUNCTION("IF(A47="""","""",IFERROR(IF(AND(Companies!R38=1,ISNUMBER(C47),C47&gt;=$B$5,D47&lt;&gt;"""",COUNTIFS('Profitability inputs'!$A$6:$A$205,A47,'Profitability inputs'!$C$6:$C$205,""TTM"")=1,COUNTIFS('Profitability inputs'!$A$6:$A$205,A47,'Profitability inputs'!$C$6:$C$"&amp;"205,""TTM"",'Profitability inputs'!$AD$6:$AD$205,1)=1,ISNUMBER(F47),F47&lt;=Rules!$B$6,Rules!$B$6-F47&lt;=Rules!$B$11,NOT(REGEXMATCH(LOWER(Companies!D38&amp;"" ""&amp;Companies!E38),""financial|bank|insurance|reit|real estate""))),1,0),0))"),"")</f>
        <v/>
      </c>
      <c r="Y47" s="81" t="str">
        <f t="shared" si="9"/>
        <v/>
      </c>
      <c r="Z47" s="81" t="str">
        <f t="shared" si="10"/>
        <v/>
      </c>
      <c r="AA47" s="14" t="str">
        <f>IF(A47="","",COUNTIFS('Profitability inputs'!$A$6:$A$205,A47,'Profitability inputs'!$AN$6:$AN$205,1))</f>
        <v/>
      </c>
      <c r="AB47" s="14" t="str">
        <f>IFERROR(__xludf.DUMMYFUNCTION("IF(A47="""","""",IFNA(INDEX(FILTER('Profitability inputs'!$AA$6:$AA$205,'Profitability inputs'!$A$6:$A$205=A47,'Profitability inputs'!$C$6:$C$205=""TTM"",'Profitability inputs'!$AD$6:$AD$205=1),1),""n.a.""))"),"")</f>
        <v/>
      </c>
    </row>
    <row r="48" ht="31.5" customHeight="1">
      <c r="A48" s="14" t="str">
        <f>IF(Companies!A39="","",Companies!A39)</f>
        <v/>
      </c>
      <c r="B48" s="14" t="str">
        <f>IF(A48="","",Companies!C39)</f>
        <v/>
      </c>
      <c r="C48" s="14" t="str">
        <f>IF(A48="","",IF(ISNUMBER(Companies!I39),Companies!I39,"n.a."))</f>
        <v/>
      </c>
      <c r="D48" s="79"/>
      <c r="E48" s="14" t="str">
        <f>IFERROR(__xludf.DUMMYFUNCTION("IF(A48="""","""",IFNA(INDEX(FILTER('Profitability inputs'!$G$6:$G$205,'Profitability inputs'!$A$6:$A$205=A48,'Profitability inputs'!$C$6:$C$205=""TTM"",'Profitability inputs'!$AD$6:$AD$205=1),1),""n.a.""))"),"")</f>
        <v/>
      </c>
      <c r="F48" s="20" t="str">
        <f>IFERROR(__xludf.DUMMYFUNCTION("IF(A48="""","""",IFNA(INDEX(FILTER('Profitability inputs'!$D$6:$D$205,'Profitability inputs'!$A$6:$A$205=A48,'Profitability inputs'!$C$6:$C$205=""TTM"",'Profitability inputs'!$AD$6:$AD$205=1),1),""n.a.""))"),"")</f>
        <v/>
      </c>
      <c r="G48" s="80" t="str">
        <f>IFERROR(__xludf.DUMMYFUNCTION("IF(A48="""","""",IFNA(INDEX(FILTER('Profitability inputs'!$AG$6:$AG$205,'Profitability inputs'!$A$6:$A$205=A48,'Profitability inputs'!$C$6:$C$205=""TTM"",'Profitability inputs'!$AD$6:$AD$205=1),1),""n.a.""))"),"")</f>
        <v/>
      </c>
      <c r="H48" s="80" t="str">
        <f>IFERROR(__xludf.DUMMYFUNCTION("IF(A48="""","""",IFNA(INDEX(FILTER('Profitability inputs'!$AH$6:$AH$205,'Profitability inputs'!$A$6:$A$205=A48,'Profitability inputs'!$C$6:$C$205=""TTM"",'Profitability inputs'!$AD$6:$AD$205=1),1),""n.a.""))"),"")</f>
        <v/>
      </c>
      <c r="I48" s="81" t="str">
        <f t="shared" si="1"/>
        <v/>
      </c>
      <c r="J48" s="81" t="str">
        <f t="shared" si="2"/>
        <v/>
      </c>
      <c r="K48" s="81" t="str">
        <f t="shared" si="3"/>
        <v/>
      </c>
      <c r="L48" s="14" t="str">
        <f t="shared" si="4"/>
        <v/>
      </c>
      <c r="M48" s="14" t="str">
        <f t="shared" si="5"/>
        <v/>
      </c>
      <c r="N48" s="80" t="str">
        <f>IFERROR(__xludf.DUMMYFUNCTION("IF(A48="""","""",IFNA(INDEX(FILTER('Profitability inputs'!$AI$6:$AI$205,'Profitability inputs'!$A$6:$A$205=A48,'Profitability inputs'!$C$6:$C$205=""TTM"",'Profitability inputs'!$AD$6:$AD$205=1),1),""n.a.""))"),"")</f>
        <v/>
      </c>
      <c r="O48" s="82" t="str">
        <f>IFERROR(__xludf.DUMMYFUNCTION("IF(A48="""","""",IF(AA48&lt;&gt;3,""n.a."",IF(OR(COUNT(FILTER('Profitability inputs'!$V$6:$V$205,'Profitability inputs'!$A$6:$A$205=A48,'Profitability inputs'!$AN$6:$AN$205=1))&lt;&gt;3,COUNT(FILTER('Profitability inputs'!$W$6:$W$205,'Profitability inputs'!$A$6:$A$20"&amp;"5=A48,'Profitability inputs'!$AN$6:$AN$205=1))&lt;&gt;3,SUMIFS('Profitability inputs'!$W$6:$W$205,'Profitability inputs'!$A$6:$A$205,A48,'Profitability inputs'!$AN$6:$AN$205,1)&lt;=0),""n.a."",SUMIFS('Profitability inputs'!$V$6:$V$205,'Profitability inputs'!$A$6:$"&amp;"A$205,A48,'Profitability inputs'!$AN$6:$AN$205,1)/SUMIFS('Profitability inputs'!$W$6:$W$205,'Profitability inputs'!$A$6:$A$205,A48,'Profitability inputs'!$AN$6:$AN$205,1))))"),"")</f>
        <v/>
      </c>
      <c r="P48" s="80" t="str">
        <f>IFERROR(__xludf.DUMMYFUNCTION("IF(A48="""","""",IF(AA48&lt;&gt;3,""n.a."",MEDIAN(FILTER('Profitability inputs'!$AG$6:$AG$205,'Profitability inputs'!$A$6:$A$205=A48,'Profitability inputs'!$AN$6:$AN$205=1))))"),"")</f>
        <v/>
      </c>
      <c r="Q48" s="80" t="str">
        <f>IFERROR(__xludf.DUMMYFUNCTION("IF(A48="""","""",IF(AA48&lt;&gt;3,""n.a."",MEDIAN(FILTER('Profitability inputs'!$AH$6:$AH$205,'Profitability inputs'!$A$6:$A$205=A48,'Profitability inputs'!$AN$6:$AN$205=1))))"),"")</f>
        <v/>
      </c>
      <c r="R48" s="83" t="str">
        <f t="shared" si="6"/>
        <v/>
      </c>
      <c r="S48" s="83" t="str">
        <f t="shared" si="7"/>
        <v/>
      </c>
      <c r="T48" s="80" t="str">
        <f>IFERROR(__xludf.DUMMYFUNCTION("IF(A48="""","""",IFNA(INDEX(FILTER('Profitability inputs'!$AJ$6:$AJ$205,'Profitability inputs'!$A$6:$A$205=A48,'Profitability inputs'!$C$6:$C$205=""TTM"",'Profitability inputs'!$AD$6:$AD$205=1),1),""n.a.""))"),"")</f>
        <v/>
      </c>
      <c r="U48" s="80" t="str">
        <f>IFERROR(__xludf.DUMMYFUNCTION("IF(A48="""","""",IFNA(INDEX(FILTER('Profitability inputs'!$AK$6:$AK$205,'Profitability inputs'!$A$6:$A$205=A48,'Profitability inputs'!$C$6:$C$205=""TTM"",'Profitability inputs'!$AD$6:$AD$205=1),1),""n.a.""))"),"")</f>
        <v/>
      </c>
      <c r="V48" s="14" t="str">
        <f>IF(A48="","",IF(Companies!R39&lt;&gt;1,"Outside cap/scope universe",IF(D48="","Set business cohort",IF(COUNTIFS('Profitability inputs'!$A$6:$A$205,A48,'Profitability inputs'!$C$6:$C$205,"TTM")=0,"Add TTM financials",IF(COUNTIFS('Profitability inputs'!$A$6:$A$205,A48,'Profitability inputs'!$C$6:$C$205,"TTM")&lt;&gt;1,"Duplicate TTM records",IF(X48&lt;&gt;1,"Check financial data/dates/profile",IF($B$9&lt;&gt;"Ready",$B$9,IF(M48&lt;$B$6,"Too few same-cohort companies","Ready"))))))))</f>
        <v/>
      </c>
      <c r="W48" s="14" t="str">
        <f t="shared" si="8"/>
        <v/>
      </c>
      <c r="X48" s="14" t="str">
        <f>IFERROR(__xludf.DUMMYFUNCTION("IF(A48="""","""",IFERROR(IF(AND(Companies!R39=1,ISNUMBER(C48),C48&gt;=$B$5,D48&lt;&gt;"""",COUNTIFS('Profitability inputs'!$A$6:$A$205,A48,'Profitability inputs'!$C$6:$C$205,""TTM"")=1,COUNTIFS('Profitability inputs'!$A$6:$A$205,A48,'Profitability inputs'!$C$6:$C$"&amp;"205,""TTM"",'Profitability inputs'!$AD$6:$AD$205,1)=1,ISNUMBER(F48),F48&lt;=Rules!$B$6,Rules!$B$6-F48&lt;=Rules!$B$11,NOT(REGEXMATCH(LOWER(Companies!D39&amp;"" ""&amp;Companies!E39),""financial|bank|insurance|reit|real estate""))),1,0),0))"),"")</f>
        <v/>
      </c>
      <c r="Y48" s="81" t="str">
        <f t="shared" si="9"/>
        <v/>
      </c>
      <c r="Z48" s="81" t="str">
        <f t="shared" si="10"/>
        <v/>
      </c>
      <c r="AA48" s="14" t="str">
        <f>IF(A48="","",COUNTIFS('Profitability inputs'!$A$6:$A$205,A48,'Profitability inputs'!$AN$6:$AN$205,1))</f>
        <v/>
      </c>
      <c r="AB48" s="14" t="str">
        <f>IFERROR(__xludf.DUMMYFUNCTION("IF(A48="""","""",IFNA(INDEX(FILTER('Profitability inputs'!$AA$6:$AA$205,'Profitability inputs'!$A$6:$A$205=A48,'Profitability inputs'!$C$6:$C$205=""TTM"",'Profitability inputs'!$AD$6:$AD$205=1),1),""n.a.""))"),"")</f>
        <v/>
      </c>
    </row>
    <row r="49" ht="31.5" customHeight="1">
      <c r="A49" s="14" t="str">
        <f>IF(Companies!A40="","",Companies!A40)</f>
        <v/>
      </c>
      <c r="B49" s="14" t="str">
        <f>IF(A49="","",Companies!C40)</f>
        <v/>
      </c>
      <c r="C49" s="14" t="str">
        <f>IF(A49="","",IF(ISNUMBER(Companies!I40),Companies!I40,"n.a."))</f>
        <v/>
      </c>
      <c r="D49" s="79"/>
      <c r="E49" s="14" t="str">
        <f>IFERROR(__xludf.DUMMYFUNCTION("IF(A49="""","""",IFNA(INDEX(FILTER('Profitability inputs'!$G$6:$G$205,'Profitability inputs'!$A$6:$A$205=A49,'Profitability inputs'!$C$6:$C$205=""TTM"",'Profitability inputs'!$AD$6:$AD$205=1),1),""n.a.""))"),"")</f>
        <v/>
      </c>
      <c r="F49" s="20" t="str">
        <f>IFERROR(__xludf.DUMMYFUNCTION("IF(A49="""","""",IFNA(INDEX(FILTER('Profitability inputs'!$D$6:$D$205,'Profitability inputs'!$A$6:$A$205=A49,'Profitability inputs'!$C$6:$C$205=""TTM"",'Profitability inputs'!$AD$6:$AD$205=1),1),""n.a.""))"),"")</f>
        <v/>
      </c>
      <c r="G49" s="80" t="str">
        <f>IFERROR(__xludf.DUMMYFUNCTION("IF(A49="""","""",IFNA(INDEX(FILTER('Profitability inputs'!$AG$6:$AG$205,'Profitability inputs'!$A$6:$A$205=A49,'Profitability inputs'!$C$6:$C$205=""TTM"",'Profitability inputs'!$AD$6:$AD$205=1),1),""n.a.""))"),"")</f>
        <v/>
      </c>
      <c r="H49" s="80" t="str">
        <f>IFERROR(__xludf.DUMMYFUNCTION("IF(A49="""","""",IFNA(INDEX(FILTER('Profitability inputs'!$AH$6:$AH$205,'Profitability inputs'!$A$6:$A$205=A49,'Profitability inputs'!$C$6:$C$205=""TTM"",'Profitability inputs'!$AD$6:$AD$205=1),1),""n.a.""))"),"")</f>
        <v/>
      </c>
      <c r="I49" s="81" t="str">
        <f t="shared" si="1"/>
        <v/>
      </c>
      <c r="J49" s="81" t="str">
        <f t="shared" si="2"/>
        <v/>
      </c>
      <c r="K49" s="81" t="str">
        <f t="shared" si="3"/>
        <v/>
      </c>
      <c r="L49" s="14" t="str">
        <f t="shared" si="4"/>
        <v/>
      </c>
      <c r="M49" s="14" t="str">
        <f t="shared" si="5"/>
        <v/>
      </c>
      <c r="N49" s="80" t="str">
        <f>IFERROR(__xludf.DUMMYFUNCTION("IF(A49="""","""",IFNA(INDEX(FILTER('Profitability inputs'!$AI$6:$AI$205,'Profitability inputs'!$A$6:$A$205=A49,'Profitability inputs'!$C$6:$C$205=""TTM"",'Profitability inputs'!$AD$6:$AD$205=1),1),""n.a.""))"),"")</f>
        <v/>
      </c>
      <c r="O49" s="82" t="str">
        <f>IFERROR(__xludf.DUMMYFUNCTION("IF(A49="""","""",IF(AA49&lt;&gt;3,""n.a."",IF(OR(COUNT(FILTER('Profitability inputs'!$V$6:$V$205,'Profitability inputs'!$A$6:$A$205=A49,'Profitability inputs'!$AN$6:$AN$205=1))&lt;&gt;3,COUNT(FILTER('Profitability inputs'!$W$6:$W$205,'Profitability inputs'!$A$6:$A$20"&amp;"5=A49,'Profitability inputs'!$AN$6:$AN$205=1))&lt;&gt;3,SUMIFS('Profitability inputs'!$W$6:$W$205,'Profitability inputs'!$A$6:$A$205,A49,'Profitability inputs'!$AN$6:$AN$205,1)&lt;=0),""n.a."",SUMIFS('Profitability inputs'!$V$6:$V$205,'Profitability inputs'!$A$6:$"&amp;"A$205,A49,'Profitability inputs'!$AN$6:$AN$205,1)/SUMIFS('Profitability inputs'!$W$6:$W$205,'Profitability inputs'!$A$6:$A$205,A49,'Profitability inputs'!$AN$6:$AN$205,1))))"),"")</f>
        <v/>
      </c>
      <c r="P49" s="80" t="str">
        <f>IFERROR(__xludf.DUMMYFUNCTION("IF(A49="""","""",IF(AA49&lt;&gt;3,""n.a."",MEDIAN(FILTER('Profitability inputs'!$AG$6:$AG$205,'Profitability inputs'!$A$6:$A$205=A49,'Profitability inputs'!$AN$6:$AN$205=1))))"),"")</f>
        <v/>
      </c>
      <c r="Q49" s="80" t="str">
        <f>IFERROR(__xludf.DUMMYFUNCTION("IF(A49="""","""",IF(AA49&lt;&gt;3,""n.a."",MEDIAN(FILTER('Profitability inputs'!$AH$6:$AH$205,'Profitability inputs'!$A$6:$A$205=A49,'Profitability inputs'!$AN$6:$AN$205=1))))"),"")</f>
        <v/>
      </c>
      <c r="R49" s="83" t="str">
        <f t="shared" si="6"/>
        <v/>
      </c>
      <c r="S49" s="83" t="str">
        <f t="shared" si="7"/>
        <v/>
      </c>
      <c r="T49" s="80" t="str">
        <f>IFERROR(__xludf.DUMMYFUNCTION("IF(A49="""","""",IFNA(INDEX(FILTER('Profitability inputs'!$AJ$6:$AJ$205,'Profitability inputs'!$A$6:$A$205=A49,'Profitability inputs'!$C$6:$C$205=""TTM"",'Profitability inputs'!$AD$6:$AD$205=1),1),""n.a.""))"),"")</f>
        <v/>
      </c>
      <c r="U49" s="80" t="str">
        <f>IFERROR(__xludf.DUMMYFUNCTION("IF(A49="""","""",IFNA(INDEX(FILTER('Profitability inputs'!$AK$6:$AK$205,'Profitability inputs'!$A$6:$A$205=A49,'Profitability inputs'!$C$6:$C$205=""TTM"",'Profitability inputs'!$AD$6:$AD$205=1),1),""n.a.""))"),"")</f>
        <v/>
      </c>
      <c r="V49" s="14" t="str">
        <f>IF(A49="","",IF(Companies!R40&lt;&gt;1,"Outside cap/scope universe",IF(D49="","Set business cohort",IF(COUNTIFS('Profitability inputs'!$A$6:$A$205,A49,'Profitability inputs'!$C$6:$C$205,"TTM")=0,"Add TTM financials",IF(COUNTIFS('Profitability inputs'!$A$6:$A$205,A49,'Profitability inputs'!$C$6:$C$205,"TTM")&lt;&gt;1,"Duplicate TTM records",IF(X49&lt;&gt;1,"Check financial data/dates/profile",IF($B$9&lt;&gt;"Ready",$B$9,IF(M49&lt;$B$6,"Too few same-cohort companies","Ready"))))))))</f>
        <v/>
      </c>
      <c r="W49" s="14" t="str">
        <f t="shared" si="8"/>
        <v/>
      </c>
      <c r="X49" s="14" t="str">
        <f>IFERROR(__xludf.DUMMYFUNCTION("IF(A49="""","""",IFERROR(IF(AND(Companies!R40=1,ISNUMBER(C49),C49&gt;=$B$5,D49&lt;&gt;"""",COUNTIFS('Profitability inputs'!$A$6:$A$205,A49,'Profitability inputs'!$C$6:$C$205,""TTM"")=1,COUNTIFS('Profitability inputs'!$A$6:$A$205,A49,'Profitability inputs'!$C$6:$C$"&amp;"205,""TTM"",'Profitability inputs'!$AD$6:$AD$205,1)=1,ISNUMBER(F49),F49&lt;=Rules!$B$6,Rules!$B$6-F49&lt;=Rules!$B$11,NOT(REGEXMATCH(LOWER(Companies!D40&amp;"" ""&amp;Companies!E40),""financial|bank|insurance|reit|real estate""))),1,0),0))"),"")</f>
        <v/>
      </c>
      <c r="Y49" s="81" t="str">
        <f t="shared" si="9"/>
        <v/>
      </c>
      <c r="Z49" s="81" t="str">
        <f t="shared" si="10"/>
        <v/>
      </c>
      <c r="AA49" s="14" t="str">
        <f>IF(A49="","",COUNTIFS('Profitability inputs'!$A$6:$A$205,A49,'Profitability inputs'!$AN$6:$AN$205,1))</f>
        <v/>
      </c>
      <c r="AB49" s="14" t="str">
        <f>IFERROR(__xludf.DUMMYFUNCTION("IF(A49="""","""",IFNA(INDEX(FILTER('Profitability inputs'!$AA$6:$AA$205,'Profitability inputs'!$A$6:$A$205=A49,'Profitability inputs'!$C$6:$C$205=""TTM"",'Profitability inputs'!$AD$6:$AD$205=1),1),""n.a.""))"),"")</f>
        <v/>
      </c>
    </row>
    <row r="50" ht="31.5" customHeight="1">
      <c r="A50" s="14" t="str">
        <f>IF(Companies!A41="","",Companies!A41)</f>
        <v/>
      </c>
      <c r="B50" s="14" t="str">
        <f>IF(A50="","",Companies!C41)</f>
        <v/>
      </c>
      <c r="C50" s="14" t="str">
        <f>IF(A50="","",IF(ISNUMBER(Companies!I41),Companies!I41,"n.a."))</f>
        <v/>
      </c>
      <c r="D50" s="79"/>
      <c r="E50" s="14" t="str">
        <f>IFERROR(__xludf.DUMMYFUNCTION("IF(A50="""","""",IFNA(INDEX(FILTER('Profitability inputs'!$G$6:$G$205,'Profitability inputs'!$A$6:$A$205=A50,'Profitability inputs'!$C$6:$C$205=""TTM"",'Profitability inputs'!$AD$6:$AD$205=1),1),""n.a.""))"),"")</f>
        <v/>
      </c>
      <c r="F50" s="20" t="str">
        <f>IFERROR(__xludf.DUMMYFUNCTION("IF(A50="""","""",IFNA(INDEX(FILTER('Profitability inputs'!$D$6:$D$205,'Profitability inputs'!$A$6:$A$205=A50,'Profitability inputs'!$C$6:$C$205=""TTM"",'Profitability inputs'!$AD$6:$AD$205=1),1),""n.a.""))"),"")</f>
        <v/>
      </c>
      <c r="G50" s="80" t="str">
        <f>IFERROR(__xludf.DUMMYFUNCTION("IF(A50="""","""",IFNA(INDEX(FILTER('Profitability inputs'!$AG$6:$AG$205,'Profitability inputs'!$A$6:$A$205=A50,'Profitability inputs'!$C$6:$C$205=""TTM"",'Profitability inputs'!$AD$6:$AD$205=1),1),""n.a.""))"),"")</f>
        <v/>
      </c>
      <c r="H50" s="80" t="str">
        <f>IFERROR(__xludf.DUMMYFUNCTION("IF(A50="""","""",IFNA(INDEX(FILTER('Profitability inputs'!$AH$6:$AH$205,'Profitability inputs'!$A$6:$A$205=A50,'Profitability inputs'!$C$6:$C$205=""TTM"",'Profitability inputs'!$AD$6:$AD$205=1),1),""n.a.""))"),"")</f>
        <v/>
      </c>
      <c r="I50" s="81" t="str">
        <f t="shared" si="1"/>
        <v/>
      </c>
      <c r="J50" s="81" t="str">
        <f t="shared" si="2"/>
        <v/>
      </c>
      <c r="K50" s="81" t="str">
        <f t="shared" si="3"/>
        <v/>
      </c>
      <c r="L50" s="14" t="str">
        <f t="shared" si="4"/>
        <v/>
      </c>
      <c r="M50" s="14" t="str">
        <f t="shared" si="5"/>
        <v/>
      </c>
      <c r="N50" s="80" t="str">
        <f>IFERROR(__xludf.DUMMYFUNCTION("IF(A50="""","""",IFNA(INDEX(FILTER('Profitability inputs'!$AI$6:$AI$205,'Profitability inputs'!$A$6:$A$205=A50,'Profitability inputs'!$C$6:$C$205=""TTM"",'Profitability inputs'!$AD$6:$AD$205=1),1),""n.a.""))"),"")</f>
        <v/>
      </c>
      <c r="O50" s="82" t="str">
        <f>IFERROR(__xludf.DUMMYFUNCTION("IF(A50="""","""",IF(AA50&lt;&gt;3,""n.a."",IF(OR(COUNT(FILTER('Profitability inputs'!$V$6:$V$205,'Profitability inputs'!$A$6:$A$205=A50,'Profitability inputs'!$AN$6:$AN$205=1))&lt;&gt;3,COUNT(FILTER('Profitability inputs'!$W$6:$W$205,'Profitability inputs'!$A$6:$A$20"&amp;"5=A50,'Profitability inputs'!$AN$6:$AN$205=1))&lt;&gt;3,SUMIFS('Profitability inputs'!$W$6:$W$205,'Profitability inputs'!$A$6:$A$205,A50,'Profitability inputs'!$AN$6:$AN$205,1)&lt;=0),""n.a."",SUMIFS('Profitability inputs'!$V$6:$V$205,'Profitability inputs'!$A$6:$"&amp;"A$205,A50,'Profitability inputs'!$AN$6:$AN$205,1)/SUMIFS('Profitability inputs'!$W$6:$W$205,'Profitability inputs'!$A$6:$A$205,A50,'Profitability inputs'!$AN$6:$AN$205,1))))"),"")</f>
        <v/>
      </c>
      <c r="P50" s="80" t="str">
        <f>IFERROR(__xludf.DUMMYFUNCTION("IF(A50="""","""",IF(AA50&lt;&gt;3,""n.a."",MEDIAN(FILTER('Profitability inputs'!$AG$6:$AG$205,'Profitability inputs'!$A$6:$A$205=A50,'Profitability inputs'!$AN$6:$AN$205=1))))"),"")</f>
        <v/>
      </c>
      <c r="Q50" s="80" t="str">
        <f>IFERROR(__xludf.DUMMYFUNCTION("IF(A50="""","""",IF(AA50&lt;&gt;3,""n.a."",MEDIAN(FILTER('Profitability inputs'!$AH$6:$AH$205,'Profitability inputs'!$A$6:$A$205=A50,'Profitability inputs'!$AN$6:$AN$205=1))))"),"")</f>
        <v/>
      </c>
      <c r="R50" s="83" t="str">
        <f t="shared" si="6"/>
        <v/>
      </c>
      <c r="S50" s="83" t="str">
        <f t="shared" si="7"/>
        <v/>
      </c>
      <c r="T50" s="80" t="str">
        <f>IFERROR(__xludf.DUMMYFUNCTION("IF(A50="""","""",IFNA(INDEX(FILTER('Profitability inputs'!$AJ$6:$AJ$205,'Profitability inputs'!$A$6:$A$205=A50,'Profitability inputs'!$C$6:$C$205=""TTM"",'Profitability inputs'!$AD$6:$AD$205=1),1),""n.a.""))"),"")</f>
        <v/>
      </c>
      <c r="U50" s="80" t="str">
        <f>IFERROR(__xludf.DUMMYFUNCTION("IF(A50="""","""",IFNA(INDEX(FILTER('Profitability inputs'!$AK$6:$AK$205,'Profitability inputs'!$A$6:$A$205=A50,'Profitability inputs'!$C$6:$C$205=""TTM"",'Profitability inputs'!$AD$6:$AD$205=1),1),""n.a.""))"),"")</f>
        <v/>
      </c>
      <c r="V50" s="14" t="str">
        <f>IF(A50="","",IF(Companies!R41&lt;&gt;1,"Outside cap/scope universe",IF(D50="","Set business cohort",IF(COUNTIFS('Profitability inputs'!$A$6:$A$205,A50,'Profitability inputs'!$C$6:$C$205,"TTM")=0,"Add TTM financials",IF(COUNTIFS('Profitability inputs'!$A$6:$A$205,A50,'Profitability inputs'!$C$6:$C$205,"TTM")&lt;&gt;1,"Duplicate TTM records",IF(X50&lt;&gt;1,"Check financial data/dates/profile",IF($B$9&lt;&gt;"Ready",$B$9,IF(M50&lt;$B$6,"Too few same-cohort companies","Ready"))))))))</f>
        <v/>
      </c>
      <c r="W50" s="14" t="str">
        <f t="shared" si="8"/>
        <v/>
      </c>
      <c r="X50" s="14" t="str">
        <f>IFERROR(__xludf.DUMMYFUNCTION("IF(A50="""","""",IFERROR(IF(AND(Companies!R41=1,ISNUMBER(C50),C50&gt;=$B$5,D50&lt;&gt;"""",COUNTIFS('Profitability inputs'!$A$6:$A$205,A50,'Profitability inputs'!$C$6:$C$205,""TTM"")=1,COUNTIFS('Profitability inputs'!$A$6:$A$205,A50,'Profitability inputs'!$C$6:$C$"&amp;"205,""TTM"",'Profitability inputs'!$AD$6:$AD$205,1)=1,ISNUMBER(F50),F50&lt;=Rules!$B$6,Rules!$B$6-F50&lt;=Rules!$B$11,NOT(REGEXMATCH(LOWER(Companies!D41&amp;"" ""&amp;Companies!E41),""financial|bank|insurance|reit|real estate""))),1,0),0))"),"")</f>
        <v/>
      </c>
      <c r="Y50" s="81" t="str">
        <f t="shared" si="9"/>
        <v/>
      </c>
      <c r="Z50" s="81" t="str">
        <f t="shared" si="10"/>
        <v/>
      </c>
      <c r="AA50" s="14" t="str">
        <f>IF(A50="","",COUNTIFS('Profitability inputs'!$A$6:$A$205,A50,'Profitability inputs'!$AN$6:$AN$205,1))</f>
        <v/>
      </c>
      <c r="AB50" s="14" t="str">
        <f>IFERROR(__xludf.DUMMYFUNCTION("IF(A50="""","""",IFNA(INDEX(FILTER('Profitability inputs'!$AA$6:$AA$205,'Profitability inputs'!$A$6:$A$205=A50,'Profitability inputs'!$C$6:$C$205=""TTM"",'Profitability inputs'!$AD$6:$AD$205=1),1),""n.a.""))"),"")</f>
        <v/>
      </c>
    </row>
    <row r="51" ht="31.5" customHeight="1">
      <c r="A51" s="14" t="str">
        <f>IF(Companies!A42="","",Companies!A42)</f>
        <v/>
      </c>
      <c r="B51" s="14" t="str">
        <f>IF(A51="","",Companies!C42)</f>
        <v/>
      </c>
      <c r="C51" s="14" t="str">
        <f>IF(A51="","",IF(ISNUMBER(Companies!I42),Companies!I42,"n.a."))</f>
        <v/>
      </c>
      <c r="D51" s="79"/>
      <c r="E51" s="14" t="str">
        <f>IFERROR(__xludf.DUMMYFUNCTION("IF(A51="""","""",IFNA(INDEX(FILTER('Profitability inputs'!$G$6:$G$205,'Profitability inputs'!$A$6:$A$205=A51,'Profitability inputs'!$C$6:$C$205=""TTM"",'Profitability inputs'!$AD$6:$AD$205=1),1),""n.a.""))"),"")</f>
        <v/>
      </c>
      <c r="F51" s="20" t="str">
        <f>IFERROR(__xludf.DUMMYFUNCTION("IF(A51="""","""",IFNA(INDEX(FILTER('Profitability inputs'!$D$6:$D$205,'Profitability inputs'!$A$6:$A$205=A51,'Profitability inputs'!$C$6:$C$205=""TTM"",'Profitability inputs'!$AD$6:$AD$205=1),1),""n.a.""))"),"")</f>
        <v/>
      </c>
      <c r="G51" s="80" t="str">
        <f>IFERROR(__xludf.DUMMYFUNCTION("IF(A51="""","""",IFNA(INDEX(FILTER('Profitability inputs'!$AG$6:$AG$205,'Profitability inputs'!$A$6:$A$205=A51,'Profitability inputs'!$C$6:$C$205=""TTM"",'Profitability inputs'!$AD$6:$AD$205=1),1),""n.a.""))"),"")</f>
        <v/>
      </c>
      <c r="H51" s="80" t="str">
        <f>IFERROR(__xludf.DUMMYFUNCTION("IF(A51="""","""",IFNA(INDEX(FILTER('Profitability inputs'!$AH$6:$AH$205,'Profitability inputs'!$A$6:$A$205=A51,'Profitability inputs'!$C$6:$C$205=""TTM"",'Profitability inputs'!$AD$6:$AD$205=1),1),""n.a.""))"),"")</f>
        <v/>
      </c>
      <c r="I51" s="81" t="str">
        <f t="shared" si="1"/>
        <v/>
      </c>
      <c r="J51" s="81" t="str">
        <f t="shared" si="2"/>
        <v/>
      </c>
      <c r="K51" s="81" t="str">
        <f t="shared" si="3"/>
        <v/>
      </c>
      <c r="L51" s="14" t="str">
        <f t="shared" si="4"/>
        <v/>
      </c>
      <c r="M51" s="14" t="str">
        <f t="shared" si="5"/>
        <v/>
      </c>
      <c r="N51" s="80" t="str">
        <f>IFERROR(__xludf.DUMMYFUNCTION("IF(A51="""","""",IFNA(INDEX(FILTER('Profitability inputs'!$AI$6:$AI$205,'Profitability inputs'!$A$6:$A$205=A51,'Profitability inputs'!$C$6:$C$205=""TTM"",'Profitability inputs'!$AD$6:$AD$205=1),1),""n.a.""))"),"")</f>
        <v/>
      </c>
      <c r="O51" s="82" t="str">
        <f>IFERROR(__xludf.DUMMYFUNCTION("IF(A51="""","""",IF(AA51&lt;&gt;3,""n.a."",IF(OR(COUNT(FILTER('Profitability inputs'!$V$6:$V$205,'Profitability inputs'!$A$6:$A$205=A51,'Profitability inputs'!$AN$6:$AN$205=1))&lt;&gt;3,COUNT(FILTER('Profitability inputs'!$W$6:$W$205,'Profitability inputs'!$A$6:$A$20"&amp;"5=A51,'Profitability inputs'!$AN$6:$AN$205=1))&lt;&gt;3,SUMIFS('Profitability inputs'!$W$6:$W$205,'Profitability inputs'!$A$6:$A$205,A51,'Profitability inputs'!$AN$6:$AN$205,1)&lt;=0),""n.a."",SUMIFS('Profitability inputs'!$V$6:$V$205,'Profitability inputs'!$A$6:$"&amp;"A$205,A51,'Profitability inputs'!$AN$6:$AN$205,1)/SUMIFS('Profitability inputs'!$W$6:$W$205,'Profitability inputs'!$A$6:$A$205,A51,'Profitability inputs'!$AN$6:$AN$205,1))))"),"")</f>
        <v/>
      </c>
      <c r="P51" s="80" t="str">
        <f>IFERROR(__xludf.DUMMYFUNCTION("IF(A51="""","""",IF(AA51&lt;&gt;3,""n.a."",MEDIAN(FILTER('Profitability inputs'!$AG$6:$AG$205,'Profitability inputs'!$A$6:$A$205=A51,'Profitability inputs'!$AN$6:$AN$205=1))))"),"")</f>
        <v/>
      </c>
      <c r="Q51" s="80" t="str">
        <f>IFERROR(__xludf.DUMMYFUNCTION("IF(A51="""","""",IF(AA51&lt;&gt;3,""n.a."",MEDIAN(FILTER('Profitability inputs'!$AH$6:$AH$205,'Profitability inputs'!$A$6:$A$205=A51,'Profitability inputs'!$AN$6:$AN$205=1))))"),"")</f>
        <v/>
      </c>
      <c r="R51" s="83" t="str">
        <f t="shared" si="6"/>
        <v/>
      </c>
      <c r="S51" s="83" t="str">
        <f t="shared" si="7"/>
        <v/>
      </c>
      <c r="T51" s="80" t="str">
        <f>IFERROR(__xludf.DUMMYFUNCTION("IF(A51="""","""",IFNA(INDEX(FILTER('Profitability inputs'!$AJ$6:$AJ$205,'Profitability inputs'!$A$6:$A$205=A51,'Profitability inputs'!$C$6:$C$205=""TTM"",'Profitability inputs'!$AD$6:$AD$205=1),1),""n.a.""))"),"")</f>
        <v/>
      </c>
      <c r="U51" s="80" t="str">
        <f>IFERROR(__xludf.DUMMYFUNCTION("IF(A51="""","""",IFNA(INDEX(FILTER('Profitability inputs'!$AK$6:$AK$205,'Profitability inputs'!$A$6:$A$205=A51,'Profitability inputs'!$C$6:$C$205=""TTM"",'Profitability inputs'!$AD$6:$AD$205=1),1),""n.a.""))"),"")</f>
        <v/>
      </c>
      <c r="V51" s="14" t="str">
        <f>IF(A51="","",IF(Companies!R42&lt;&gt;1,"Outside cap/scope universe",IF(D51="","Set business cohort",IF(COUNTIFS('Profitability inputs'!$A$6:$A$205,A51,'Profitability inputs'!$C$6:$C$205,"TTM")=0,"Add TTM financials",IF(COUNTIFS('Profitability inputs'!$A$6:$A$205,A51,'Profitability inputs'!$C$6:$C$205,"TTM")&lt;&gt;1,"Duplicate TTM records",IF(X51&lt;&gt;1,"Check financial data/dates/profile",IF($B$9&lt;&gt;"Ready",$B$9,IF(M51&lt;$B$6,"Too few same-cohort companies","Ready"))))))))</f>
        <v/>
      </c>
      <c r="W51" s="14" t="str">
        <f t="shared" si="8"/>
        <v/>
      </c>
      <c r="X51" s="14" t="str">
        <f>IFERROR(__xludf.DUMMYFUNCTION("IF(A51="""","""",IFERROR(IF(AND(Companies!R42=1,ISNUMBER(C51),C51&gt;=$B$5,D51&lt;&gt;"""",COUNTIFS('Profitability inputs'!$A$6:$A$205,A51,'Profitability inputs'!$C$6:$C$205,""TTM"")=1,COUNTIFS('Profitability inputs'!$A$6:$A$205,A51,'Profitability inputs'!$C$6:$C$"&amp;"205,""TTM"",'Profitability inputs'!$AD$6:$AD$205,1)=1,ISNUMBER(F51),F51&lt;=Rules!$B$6,Rules!$B$6-F51&lt;=Rules!$B$11,NOT(REGEXMATCH(LOWER(Companies!D42&amp;"" ""&amp;Companies!E42),""financial|bank|insurance|reit|real estate""))),1,0),0))"),"")</f>
        <v/>
      </c>
      <c r="Y51" s="81" t="str">
        <f t="shared" si="9"/>
        <v/>
      </c>
      <c r="Z51" s="81" t="str">
        <f t="shared" si="10"/>
        <v/>
      </c>
      <c r="AA51" s="14" t="str">
        <f>IF(A51="","",COUNTIFS('Profitability inputs'!$A$6:$A$205,A51,'Profitability inputs'!$AN$6:$AN$205,1))</f>
        <v/>
      </c>
      <c r="AB51" s="14" t="str">
        <f>IFERROR(__xludf.DUMMYFUNCTION("IF(A51="""","""",IFNA(INDEX(FILTER('Profitability inputs'!$AA$6:$AA$205,'Profitability inputs'!$A$6:$A$205=A51,'Profitability inputs'!$C$6:$C$205=""TTM"",'Profitability inputs'!$AD$6:$AD$205=1),1),""n.a.""))"),"")</f>
        <v/>
      </c>
    </row>
    <row r="52" ht="31.5" customHeight="1">
      <c r="A52" s="14" t="str">
        <f>IF(Companies!A43="","",Companies!A43)</f>
        <v/>
      </c>
      <c r="B52" s="14" t="str">
        <f>IF(A52="","",Companies!C43)</f>
        <v/>
      </c>
      <c r="C52" s="14" t="str">
        <f>IF(A52="","",IF(ISNUMBER(Companies!I43),Companies!I43,"n.a."))</f>
        <v/>
      </c>
      <c r="D52" s="79"/>
      <c r="E52" s="14" t="str">
        <f>IFERROR(__xludf.DUMMYFUNCTION("IF(A52="""","""",IFNA(INDEX(FILTER('Profitability inputs'!$G$6:$G$205,'Profitability inputs'!$A$6:$A$205=A52,'Profitability inputs'!$C$6:$C$205=""TTM"",'Profitability inputs'!$AD$6:$AD$205=1),1),""n.a.""))"),"")</f>
        <v/>
      </c>
      <c r="F52" s="20" t="str">
        <f>IFERROR(__xludf.DUMMYFUNCTION("IF(A52="""","""",IFNA(INDEX(FILTER('Profitability inputs'!$D$6:$D$205,'Profitability inputs'!$A$6:$A$205=A52,'Profitability inputs'!$C$6:$C$205=""TTM"",'Profitability inputs'!$AD$6:$AD$205=1),1),""n.a.""))"),"")</f>
        <v/>
      </c>
      <c r="G52" s="80" t="str">
        <f>IFERROR(__xludf.DUMMYFUNCTION("IF(A52="""","""",IFNA(INDEX(FILTER('Profitability inputs'!$AG$6:$AG$205,'Profitability inputs'!$A$6:$A$205=A52,'Profitability inputs'!$C$6:$C$205=""TTM"",'Profitability inputs'!$AD$6:$AD$205=1),1),""n.a.""))"),"")</f>
        <v/>
      </c>
      <c r="H52" s="80" t="str">
        <f>IFERROR(__xludf.DUMMYFUNCTION("IF(A52="""","""",IFNA(INDEX(FILTER('Profitability inputs'!$AH$6:$AH$205,'Profitability inputs'!$A$6:$A$205=A52,'Profitability inputs'!$C$6:$C$205=""TTM"",'Profitability inputs'!$AD$6:$AD$205=1),1),""n.a.""))"),"")</f>
        <v/>
      </c>
      <c r="I52" s="81" t="str">
        <f t="shared" si="1"/>
        <v/>
      </c>
      <c r="J52" s="81" t="str">
        <f t="shared" si="2"/>
        <v/>
      </c>
      <c r="K52" s="81" t="str">
        <f t="shared" si="3"/>
        <v/>
      </c>
      <c r="L52" s="14" t="str">
        <f t="shared" si="4"/>
        <v/>
      </c>
      <c r="M52" s="14" t="str">
        <f t="shared" si="5"/>
        <v/>
      </c>
      <c r="N52" s="80" t="str">
        <f>IFERROR(__xludf.DUMMYFUNCTION("IF(A52="""","""",IFNA(INDEX(FILTER('Profitability inputs'!$AI$6:$AI$205,'Profitability inputs'!$A$6:$A$205=A52,'Profitability inputs'!$C$6:$C$205=""TTM"",'Profitability inputs'!$AD$6:$AD$205=1),1),""n.a.""))"),"")</f>
        <v/>
      </c>
      <c r="O52" s="82" t="str">
        <f>IFERROR(__xludf.DUMMYFUNCTION("IF(A52="""","""",IF(AA52&lt;&gt;3,""n.a."",IF(OR(COUNT(FILTER('Profitability inputs'!$V$6:$V$205,'Profitability inputs'!$A$6:$A$205=A52,'Profitability inputs'!$AN$6:$AN$205=1))&lt;&gt;3,COUNT(FILTER('Profitability inputs'!$W$6:$W$205,'Profitability inputs'!$A$6:$A$20"&amp;"5=A52,'Profitability inputs'!$AN$6:$AN$205=1))&lt;&gt;3,SUMIFS('Profitability inputs'!$W$6:$W$205,'Profitability inputs'!$A$6:$A$205,A52,'Profitability inputs'!$AN$6:$AN$205,1)&lt;=0),""n.a."",SUMIFS('Profitability inputs'!$V$6:$V$205,'Profitability inputs'!$A$6:$"&amp;"A$205,A52,'Profitability inputs'!$AN$6:$AN$205,1)/SUMIFS('Profitability inputs'!$W$6:$W$205,'Profitability inputs'!$A$6:$A$205,A52,'Profitability inputs'!$AN$6:$AN$205,1))))"),"")</f>
        <v/>
      </c>
      <c r="P52" s="80" t="str">
        <f>IFERROR(__xludf.DUMMYFUNCTION("IF(A52="""","""",IF(AA52&lt;&gt;3,""n.a."",MEDIAN(FILTER('Profitability inputs'!$AG$6:$AG$205,'Profitability inputs'!$A$6:$A$205=A52,'Profitability inputs'!$AN$6:$AN$205=1))))"),"")</f>
        <v/>
      </c>
      <c r="Q52" s="80" t="str">
        <f>IFERROR(__xludf.DUMMYFUNCTION("IF(A52="""","""",IF(AA52&lt;&gt;3,""n.a."",MEDIAN(FILTER('Profitability inputs'!$AH$6:$AH$205,'Profitability inputs'!$A$6:$A$205=A52,'Profitability inputs'!$AN$6:$AN$205=1))))"),"")</f>
        <v/>
      </c>
      <c r="R52" s="83" t="str">
        <f t="shared" si="6"/>
        <v/>
      </c>
      <c r="S52" s="83" t="str">
        <f t="shared" si="7"/>
        <v/>
      </c>
      <c r="T52" s="80" t="str">
        <f>IFERROR(__xludf.DUMMYFUNCTION("IF(A52="""","""",IFNA(INDEX(FILTER('Profitability inputs'!$AJ$6:$AJ$205,'Profitability inputs'!$A$6:$A$205=A52,'Profitability inputs'!$C$6:$C$205=""TTM"",'Profitability inputs'!$AD$6:$AD$205=1),1),""n.a.""))"),"")</f>
        <v/>
      </c>
      <c r="U52" s="80" t="str">
        <f>IFERROR(__xludf.DUMMYFUNCTION("IF(A52="""","""",IFNA(INDEX(FILTER('Profitability inputs'!$AK$6:$AK$205,'Profitability inputs'!$A$6:$A$205=A52,'Profitability inputs'!$C$6:$C$205=""TTM"",'Profitability inputs'!$AD$6:$AD$205=1),1),""n.a.""))"),"")</f>
        <v/>
      </c>
      <c r="V52" s="14" t="str">
        <f>IF(A52="","",IF(Companies!R43&lt;&gt;1,"Outside cap/scope universe",IF(D52="","Set business cohort",IF(COUNTIFS('Profitability inputs'!$A$6:$A$205,A52,'Profitability inputs'!$C$6:$C$205,"TTM")=0,"Add TTM financials",IF(COUNTIFS('Profitability inputs'!$A$6:$A$205,A52,'Profitability inputs'!$C$6:$C$205,"TTM")&lt;&gt;1,"Duplicate TTM records",IF(X52&lt;&gt;1,"Check financial data/dates/profile",IF($B$9&lt;&gt;"Ready",$B$9,IF(M52&lt;$B$6,"Too few same-cohort companies","Ready"))))))))</f>
        <v/>
      </c>
      <c r="W52" s="14" t="str">
        <f t="shared" si="8"/>
        <v/>
      </c>
      <c r="X52" s="14" t="str">
        <f>IFERROR(__xludf.DUMMYFUNCTION("IF(A52="""","""",IFERROR(IF(AND(Companies!R43=1,ISNUMBER(C52),C52&gt;=$B$5,D52&lt;&gt;"""",COUNTIFS('Profitability inputs'!$A$6:$A$205,A52,'Profitability inputs'!$C$6:$C$205,""TTM"")=1,COUNTIFS('Profitability inputs'!$A$6:$A$205,A52,'Profitability inputs'!$C$6:$C$"&amp;"205,""TTM"",'Profitability inputs'!$AD$6:$AD$205,1)=1,ISNUMBER(F52),F52&lt;=Rules!$B$6,Rules!$B$6-F52&lt;=Rules!$B$11,NOT(REGEXMATCH(LOWER(Companies!D43&amp;"" ""&amp;Companies!E43),""financial|bank|insurance|reit|real estate""))),1,0),0))"),"")</f>
        <v/>
      </c>
      <c r="Y52" s="81" t="str">
        <f t="shared" si="9"/>
        <v/>
      </c>
      <c r="Z52" s="81" t="str">
        <f t="shared" si="10"/>
        <v/>
      </c>
      <c r="AA52" s="14" t="str">
        <f>IF(A52="","",COUNTIFS('Profitability inputs'!$A$6:$A$205,A52,'Profitability inputs'!$AN$6:$AN$205,1))</f>
        <v/>
      </c>
      <c r="AB52" s="14" t="str">
        <f>IFERROR(__xludf.DUMMYFUNCTION("IF(A52="""","""",IFNA(INDEX(FILTER('Profitability inputs'!$AA$6:$AA$205,'Profitability inputs'!$A$6:$A$205=A52,'Profitability inputs'!$C$6:$C$205=""TTM"",'Profitability inputs'!$AD$6:$AD$205=1),1),""n.a.""))"),"")</f>
        <v/>
      </c>
    </row>
    <row r="53" ht="31.5" customHeight="1">
      <c r="A53" s="14" t="str">
        <f>IF(Companies!A44="","",Companies!A44)</f>
        <v/>
      </c>
      <c r="B53" s="14" t="str">
        <f>IF(A53="","",Companies!C44)</f>
        <v/>
      </c>
      <c r="C53" s="14" t="str">
        <f>IF(A53="","",IF(ISNUMBER(Companies!I44),Companies!I44,"n.a."))</f>
        <v/>
      </c>
      <c r="D53" s="79"/>
      <c r="E53" s="14" t="str">
        <f>IFERROR(__xludf.DUMMYFUNCTION("IF(A53="""","""",IFNA(INDEX(FILTER('Profitability inputs'!$G$6:$G$205,'Profitability inputs'!$A$6:$A$205=A53,'Profitability inputs'!$C$6:$C$205=""TTM"",'Profitability inputs'!$AD$6:$AD$205=1),1),""n.a.""))"),"")</f>
        <v/>
      </c>
      <c r="F53" s="20" t="str">
        <f>IFERROR(__xludf.DUMMYFUNCTION("IF(A53="""","""",IFNA(INDEX(FILTER('Profitability inputs'!$D$6:$D$205,'Profitability inputs'!$A$6:$A$205=A53,'Profitability inputs'!$C$6:$C$205=""TTM"",'Profitability inputs'!$AD$6:$AD$205=1),1),""n.a.""))"),"")</f>
        <v/>
      </c>
      <c r="G53" s="80" t="str">
        <f>IFERROR(__xludf.DUMMYFUNCTION("IF(A53="""","""",IFNA(INDEX(FILTER('Profitability inputs'!$AG$6:$AG$205,'Profitability inputs'!$A$6:$A$205=A53,'Profitability inputs'!$C$6:$C$205=""TTM"",'Profitability inputs'!$AD$6:$AD$205=1),1),""n.a.""))"),"")</f>
        <v/>
      </c>
      <c r="H53" s="80" t="str">
        <f>IFERROR(__xludf.DUMMYFUNCTION("IF(A53="""","""",IFNA(INDEX(FILTER('Profitability inputs'!$AH$6:$AH$205,'Profitability inputs'!$A$6:$A$205=A53,'Profitability inputs'!$C$6:$C$205=""TTM"",'Profitability inputs'!$AD$6:$AD$205=1),1),""n.a.""))"),"")</f>
        <v/>
      </c>
      <c r="I53" s="81" t="str">
        <f t="shared" si="1"/>
        <v/>
      </c>
      <c r="J53" s="81" t="str">
        <f t="shared" si="2"/>
        <v/>
      </c>
      <c r="K53" s="81" t="str">
        <f t="shared" si="3"/>
        <v/>
      </c>
      <c r="L53" s="14" t="str">
        <f t="shared" si="4"/>
        <v/>
      </c>
      <c r="M53" s="14" t="str">
        <f t="shared" si="5"/>
        <v/>
      </c>
      <c r="N53" s="80" t="str">
        <f>IFERROR(__xludf.DUMMYFUNCTION("IF(A53="""","""",IFNA(INDEX(FILTER('Profitability inputs'!$AI$6:$AI$205,'Profitability inputs'!$A$6:$A$205=A53,'Profitability inputs'!$C$6:$C$205=""TTM"",'Profitability inputs'!$AD$6:$AD$205=1),1),""n.a.""))"),"")</f>
        <v/>
      </c>
      <c r="O53" s="82" t="str">
        <f>IFERROR(__xludf.DUMMYFUNCTION("IF(A53="""","""",IF(AA53&lt;&gt;3,""n.a."",IF(OR(COUNT(FILTER('Profitability inputs'!$V$6:$V$205,'Profitability inputs'!$A$6:$A$205=A53,'Profitability inputs'!$AN$6:$AN$205=1))&lt;&gt;3,COUNT(FILTER('Profitability inputs'!$W$6:$W$205,'Profitability inputs'!$A$6:$A$20"&amp;"5=A53,'Profitability inputs'!$AN$6:$AN$205=1))&lt;&gt;3,SUMIFS('Profitability inputs'!$W$6:$W$205,'Profitability inputs'!$A$6:$A$205,A53,'Profitability inputs'!$AN$6:$AN$205,1)&lt;=0),""n.a."",SUMIFS('Profitability inputs'!$V$6:$V$205,'Profitability inputs'!$A$6:$"&amp;"A$205,A53,'Profitability inputs'!$AN$6:$AN$205,1)/SUMIFS('Profitability inputs'!$W$6:$W$205,'Profitability inputs'!$A$6:$A$205,A53,'Profitability inputs'!$AN$6:$AN$205,1))))"),"")</f>
        <v/>
      </c>
      <c r="P53" s="80" t="str">
        <f>IFERROR(__xludf.DUMMYFUNCTION("IF(A53="""","""",IF(AA53&lt;&gt;3,""n.a."",MEDIAN(FILTER('Profitability inputs'!$AG$6:$AG$205,'Profitability inputs'!$A$6:$A$205=A53,'Profitability inputs'!$AN$6:$AN$205=1))))"),"")</f>
        <v/>
      </c>
      <c r="Q53" s="80" t="str">
        <f>IFERROR(__xludf.DUMMYFUNCTION("IF(A53="""","""",IF(AA53&lt;&gt;3,""n.a."",MEDIAN(FILTER('Profitability inputs'!$AH$6:$AH$205,'Profitability inputs'!$A$6:$A$205=A53,'Profitability inputs'!$AN$6:$AN$205=1))))"),"")</f>
        <v/>
      </c>
      <c r="R53" s="83" t="str">
        <f t="shared" si="6"/>
        <v/>
      </c>
      <c r="S53" s="83" t="str">
        <f t="shared" si="7"/>
        <v/>
      </c>
      <c r="T53" s="80" t="str">
        <f>IFERROR(__xludf.DUMMYFUNCTION("IF(A53="""","""",IFNA(INDEX(FILTER('Profitability inputs'!$AJ$6:$AJ$205,'Profitability inputs'!$A$6:$A$205=A53,'Profitability inputs'!$C$6:$C$205=""TTM"",'Profitability inputs'!$AD$6:$AD$205=1),1),""n.a.""))"),"")</f>
        <v/>
      </c>
      <c r="U53" s="80" t="str">
        <f>IFERROR(__xludf.DUMMYFUNCTION("IF(A53="""","""",IFNA(INDEX(FILTER('Profitability inputs'!$AK$6:$AK$205,'Profitability inputs'!$A$6:$A$205=A53,'Profitability inputs'!$C$6:$C$205=""TTM"",'Profitability inputs'!$AD$6:$AD$205=1),1),""n.a.""))"),"")</f>
        <v/>
      </c>
      <c r="V53" s="14" t="str">
        <f>IF(A53="","",IF(Companies!R44&lt;&gt;1,"Outside cap/scope universe",IF(D53="","Set business cohort",IF(COUNTIFS('Profitability inputs'!$A$6:$A$205,A53,'Profitability inputs'!$C$6:$C$205,"TTM")=0,"Add TTM financials",IF(COUNTIFS('Profitability inputs'!$A$6:$A$205,A53,'Profitability inputs'!$C$6:$C$205,"TTM")&lt;&gt;1,"Duplicate TTM records",IF(X53&lt;&gt;1,"Check financial data/dates/profile",IF($B$9&lt;&gt;"Ready",$B$9,IF(M53&lt;$B$6,"Too few same-cohort companies","Ready"))))))))</f>
        <v/>
      </c>
      <c r="W53" s="14" t="str">
        <f t="shared" si="8"/>
        <v/>
      </c>
      <c r="X53" s="14" t="str">
        <f>IFERROR(__xludf.DUMMYFUNCTION("IF(A53="""","""",IFERROR(IF(AND(Companies!R44=1,ISNUMBER(C53),C53&gt;=$B$5,D53&lt;&gt;"""",COUNTIFS('Profitability inputs'!$A$6:$A$205,A53,'Profitability inputs'!$C$6:$C$205,""TTM"")=1,COUNTIFS('Profitability inputs'!$A$6:$A$205,A53,'Profitability inputs'!$C$6:$C$"&amp;"205,""TTM"",'Profitability inputs'!$AD$6:$AD$205,1)=1,ISNUMBER(F53),F53&lt;=Rules!$B$6,Rules!$B$6-F53&lt;=Rules!$B$11,NOT(REGEXMATCH(LOWER(Companies!D44&amp;"" ""&amp;Companies!E44),""financial|bank|insurance|reit|real estate""))),1,0),0))"),"")</f>
        <v/>
      </c>
      <c r="Y53" s="81" t="str">
        <f t="shared" si="9"/>
        <v/>
      </c>
      <c r="Z53" s="81" t="str">
        <f t="shared" si="10"/>
        <v/>
      </c>
      <c r="AA53" s="14" t="str">
        <f>IF(A53="","",COUNTIFS('Profitability inputs'!$A$6:$A$205,A53,'Profitability inputs'!$AN$6:$AN$205,1))</f>
        <v/>
      </c>
      <c r="AB53" s="14" t="str">
        <f>IFERROR(__xludf.DUMMYFUNCTION("IF(A53="""","""",IFNA(INDEX(FILTER('Profitability inputs'!$AA$6:$AA$205,'Profitability inputs'!$A$6:$A$205=A53,'Profitability inputs'!$C$6:$C$205=""TTM"",'Profitability inputs'!$AD$6:$AD$205=1),1),""n.a.""))"),"")</f>
        <v/>
      </c>
    </row>
    <row r="54" ht="31.5" customHeight="1">
      <c r="A54" s="14" t="str">
        <f>IF(Companies!A45="","",Companies!A45)</f>
        <v/>
      </c>
      <c r="B54" s="14" t="str">
        <f>IF(A54="","",Companies!C45)</f>
        <v/>
      </c>
      <c r="C54" s="14" t="str">
        <f>IF(A54="","",IF(ISNUMBER(Companies!I45),Companies!I45,"n.a."))</f>
        <v/>
      </c>
      <c r="D54" s="79"/>
      <c r="E54" s="14" t="str">
        <f>IFERROR(__xludf.DUMMYFUNCTION("IF(A54="""","""",IFNA(INDEX(FILTER('Profitability inputs'!$G$6:$G$205,'Profitability inputs'!$A$6:$A$205=A54,'Profitability inputs'!$C$6:$C$205=""TTM"",'Profitability inputs'!$AD$6:$AD$205=1),1),""n.a.""))"),"")</f>
        <v/>
      </c>
      <c r="F54" s="20" t="str">
        <f>IFERROR(__xludf.DUMMYFUNCTION("IF(A54="""","""",IFNA(INDEX(FILTER('Profitability inputs'!$D$6:$D$205,'Profitability inputs'!$A$6:$A$205=A54,'Profitability inputs'!$C$6:$C$205=""TTM"",'Profitability inputs'!$AD$6:$AD$205=1),1),""n.a.""))"),"")</f>
        <v/>
      </c>
      <c r="G54" s="80" t="str">
        <f>IFERROR(__xludf.DUMMYFUNCTION("IF(A54="""","""",IFNA(INDEX(FILTER('Profitability inputs'!$AG$6:$AG$205,'Profitability inputs'!$A$6:$A$205=A54,'Profitability inputs'!$C$6:$C$205=""TTM"",'Profitability inputs'!$AD$6:$AD$205=1),1),""n.a.""))"),"")</f>
        <v/>
      </c>
      <c r="H54" s="80" t="str">
        <f>IFERROR(__xludf.DUMMYFUNCTION("IF(A54="""","""",IFNA(INDEX(FILTER('Profitability inputs'!$AH$6:$AH$205,'Profitability inputs'!$A$6:$A$205=A54,'Profitability inputs'!$C$6:$C$205=""TTM"",'Profitability inputs'!$AD$6:$AD$205=1),1),""n.a.""))"),"")</f>
        <v/>
      </c>
      <c r="I54" s="81" t="str">
        <f t="shared" si="1"/>
        <v/>
      </c>
      <c r="J54" s="81" t="str">
        <f t="shared" si="2"/>
        <v/>
      </c>
      <c r="K54" s="81" t="str">
        <f t="shared" si="3"/>
        <v/>
      </c>
      <c r="L54" s="14" t="str">
        <f t="shared" si="4"/>
        <v/>
      </c>
      <c r="M54" s="14" t="str">
        <f t="shared" si="5"/>
        <v/>
      </c>
      <c r="N54" s="80" t="str">
        <f>IFERROR(__xludf.DUMMYFUNCTION("IF(A54="""","""",IFNA(INDEX(FILTER('Profitability inputs'!$AI$6:$AI$205,'Profitability inputs'!$A$6:$A$205=A54,'Profitability inputs'!$C$6:$C$205=""TTM"",'Profitability inputs'!$AD$6:$AD$205=1),1),""n.a.""))"),"")</f>
        <v/>
      </c>
      <c r="O54" s="82" t="str">
        <f>IFERROR(__xludf.DUMMYFUNCTION("IF(A54="""","""",IF(AA54&lt;&gt;3,""n.a."",IF(OR(COUNT(FILTER('Profitability inputs'!$V$6:$V$205,'Profitability inputs'!$A$6:$A$205=A54,'Profitability inputs'!$AN$6:$AN$205=1))&lt;&gt;3,COUNT(FILTER('Profitability inputs'!$W$6:$W$205,'Profitability inputs'!$A$6:$A$20"&amp;"5=A54,'Profitability inputs'!$AN$6:$AN$205=1))&lt;&gt;3,SUMIFS('Profitability inputs'!$W$6:$W$205,'Profitability inputs'!$A$6:$A$205,A54,'Profitability inputs'!$AN$6:$AN$205,1)&lt;=0),""n.a."",SUMIFS('Profitability inputs'!$V$6:$V$205,'Profitability inputs'!$A$6:$"&amp;"A$205,A54,'Profitability inputs'!$AN$6:$AN$205,1)/SUMIFS('Profitability inputs'!$W$6:$W$205,'Profitability inputs'!$A$6:$A$205,A54,'Profitability inputs'!$AN$6:$AN$205,1))))"),"")</f>
        <v/>
      </c>
      <c r="P54" s="80" t="str">
        <f>IFERROR(__xludf.DUMMYFUNCTION("IF(A54="""","""",IF(AA54&lt;&gt;3,""n.a."",MEDIAN(FILTER('Profitability inputs'!$AG$6:$AG$205,'Profitability inputs'!$A$6:$A$205=A54,'Profitability inputs'!$AN$6:$AN$205=1))))"),"")</f>
        <v/>
      </c>
      <c r="Q54" s="80" t="str">
        <f>IFERROR(__xludf.DUMMYFUNCTION("IF(A54="""","""",IF(AA54&lt;&gt;3,""n.a."",MEDIAN(FILTER('Profitability inputs'!$AH$6:$AH$205,'Profitability inputs'!$A$6:$A$205=A54,'Profitability inputs'!$AN$6:$AN$205=1))))"),"")</f>
        <v/>
      </c>
      <c r="R54" s="83" t="str">
        <f t="shared" si="6"/>
        <v/>
      </c>
      <c r="S54" s="83" t="str">
        <f t="shared" si="7"/>
        <v/>
      </c>
      <c r="T54" s="80" t="str">
        <f>IFERROR(__xludf.DUMMYFUNCTION("IF(A54="""","""",IFNA(INDEX(FILTER('Profitability inputs'!$AJ$6:$AJ$205,'Profitability inputs'!$A$6:$A$205=A54,'Profitability inputs'!$C$6:$C$205=""TTM"",'Profitability inputs'!$AD$6:$AD$205=1),1),""n.a.""))"),"")</f>
        <v/>
      </c>
      <c r="U54" s="80" t="str">
        <f>IFERROR(__xludf.DUMMYFUNCTION("IF(A54="""","""",IFNA(INDEX(FILTER('Profitability inputs'!$AK$6:$AK$205,'Profitability inputs'!$A$6:$A$205=A54,'Profitability inputs'!$C$6:$C$205=""TTM"",'Profitability inputs'!$AD$6:$AD$205=1),1),""n.a.""))"),"")</f>
        <v/>
      </c>
      <c r="V54" s="14" t="str">
        <f>IF(A54="","",IF(Companies!R45&lt;&gt;1,"Outside cap/scope universe",IF(D54="","Set business cohort",IF(COUNTIFS('Profitability inputs'!$A$6:$A$205,A54,'Profitability inputs'!$C$6:$C$205,"TTM")=0,"Add TTM financials",IF(COUNTIFS('Profitability inputs'!$A$6:$A$205,A54,'Profitability inputs'!$C$6:$C$205,"TTM")&lt;&gt;1,"Duplicate TTM records",IF(X54&lt;&gt;1,"Check financial data/dates/profile",IF($B$9&lt;&gt;"Ready",$B$9,IF(M54&lt;$B$6,"Too few same-cohort companies","Ready"))))))))</f>
        <v/>
      </c>
      <c r="W54" s="14" t="str">
        <f t="shared" si="8"/>
        <v/>
      </c>
      <c r="X54" s="14" t="str">
        <f>IFERROR(__xludf.DUMMYFUNCTION("IF(A54="""","""",IFERROR(IF(AND(Companies!R45=1,ISNUMBER(C54),C54&gt;=$B$5,D54&lt;&gt;"""",COUNTIFS('Profitability inputs'!$A$6:$A$205,A54,'Profitability inputs'!$C$6:$C$205,""TTM"")=1,COUNTIFS('Profitability inputs'!$A$6:$A$205,A54,'Profitability inputs'!$C$6:$C$"&amp;"205,""TTM"",'Profitability inputs'!$AD$6:$AD$205,1)=1,ISNUMBER(F54),F54&lt;=Rules!$B$6,Rules!$B$6-F54&lt;=Rules!$B$11,NOT(REGEXMATCH(LOWER(Companies!D45&amp;"" ""&amp;Companies!E45),""financial|bank|insurance|reit|real estate""))),1,0),0))"),"")</f>
        <v/>
      </c>
      <c r="Y54" s="81" t="str">
        <f t="shared" si="9"/>
        <v/>
      </c>
      <c r="Z54" s="81" t="str">
        <f t="shared" si="10"/>
        <v/>
      </c>
      <c r="AA54" s="14" t="str">
        <f>IF(A54="","",COUNTIFS('Profitability inputs'!$A$6:$A$205,A54,'Profitability inputs'!$AN$6:$AN$205,1))</f>
        <v/>
      </c>
      <c r="AB54" s="14" t="str">
        <f>IFERROR(__xludf.DUMMYFUNCTION("IF(A54="""","""",IFNA(INDEX(FILTER('Profitability inputs'!$AA$6:$AA$205,'Profitability inputs'!$A$6:$A$205=A54,'Profitability inputs'!$C$6:$C$205=""TTM"",'Profitability inputs'!$AD$6:$AD$205=1),1),""n.a.""))"),"")</f>
        <v/>
      </c>
    </row>
    <row r="55" ht="31.5" customHeight="1">
      <c r="A55" s="14" t="str">
        <f>IF(Companies!A46="","",Companies!A46)</f>
        <v/>
      </c>
      <c r="B55" s="14" t="str">
        <f>IF(A55="","",Companies!C46)</f>
        <v/>
      </c>
      <c r="C55" s="14" t="str">
        <f>IF(A55="","",IF(ISNUMBER(Companies!I46),Companies!I46,"n.a."))</f>
        <v/>
      </c>
      <c r="D55" s="79"/>
      <c r="E55" s="14" t="str">
        <f>IFERROR(__xludf.DUMMYFUNCTION("IF(A55="""","""",IFNA(INDEX(FILTER('Profitability inputs'!$G$6:$G$205,'Profitability inputs'!$A$6:$A$205=A55,'Profitability inputs'!$C$6:$C$205=""TTM"",'Profitability inputs'!$AD$6:$AD$205=1),1),""n.a.""))"),"")</f>
        <v/>
      </c>
      <c r="F55" s="20" t="str">
        <f>IFERROR(__xludf.DUMMYFUNCTION("IF(A55="""","""",IFNA(INDEX(FILTER('Profitability inputs'!$D$6:$D$205,'Profitability inputs'!$A$6:$A$205=A55,'Profitability inputs'!$C$6:$C$205=""TTM"",'Profitability inputs'!$AD$6:$AD$205=1),1),""n.a.""))"),"")</f>
        <v/>
      </c>
      <c r="G55" s="80" t="str">
        <f>IFERROR(__xludf.DUMMYFUNCTION("IF(A55="""","""",IFNA(INDEX(FILTER('Profitability inputs'!$AG$6:$AG$205,'Profitability inputs'!$A$6:$A$205=A55,'Profitability inputs'!$C$6:$C$205=""TTM"",'Profitability inputs'!$AD$6:$AD$205=1),1),""n.a.""))"),"")</f>
        <v/>
      </c>
      <c r="H55" s="80" t="str">
        <f>IFERROR(__xludf.DUMMYFUNCTION("IF(A55="""","""",IFNA(INDEX(FILTER('Profitability inputs'!$AH$6:$AH$205,'Profitability inputs'!$A$6:$A$205=A55,'Profitability inputs'!$C$6:$C$205=""TTM"",'Profitability inputs'!$AD$6:$AD$205=1),1),""n.a.""))"),"")</f>
        <v/>
      </c>
      <c r="I55" s="81" t="str">
        <f t="shared" si="1"/>
        <v/>
      </c>
      <c r="J55" s="81" t="str">
        <f t="shared" si="2"/>
        <v/>
      </c>
      <c r="K55" s="81" t="str">
        <f t="shared" si="3"/>
        <v/>
      </c>
      <c r="L55" s="14" t="str">
        <f t="shared" si="4"/>
        <v/>
      </c>
      <c r="M55" s="14" t="str">
        <f t="shared" si="5"/>
        <v/>
      </c>
      <c r="N55" s="80" t="str">
        <f>IFERROR(__xludf.DUMMYFUNCTION("IF(A55="""","""",IFNA(INDEX(FILTER('Profitability inputs'!$AI$6:$AI$205,'Profitability inputs'!$A$6:$A$205=A55,'Profitability inputs'!$C$6:$C$205=""TTM"",'Profitability inputs'!$AD$6:$AD$205=1),1),""n.a.""))"),"")</f>
        <v/>
      </c>
      <c r="O55" s="82" t="str">
        <f>IFERROR(__xludf.DUMMYFUNCTION("IF(A55="""","""",IF(AA55&lt;&gt;3,""n.a."",IF(OR(COUNT(FILTER('Profitability inputs'!$V$6:$V$205,'Profitability inputs'!$A$6:$A$205=A55,'Profitability inputs'!$AN$6:$AN$205=1))&lt;&gt;3,COUNT(FILTER('Profitability inputs'!$W$6:$W$205,'Profitability inputs'!$A$6:$A$20"&amp;"5=A55,'Profitability inputs'!$AN$6:$AN$205=1))&lt;&gt;3,SUMIFS('Profitability inputs'!$W$6:$W$205,'Profitability inputs'!$A$6:$A$205,A55,'Profitability inputs'!$AN$6:$AN$205,1)&lt;=0),""n.a."",SUMIFS('Profitability inputs'!$V$6:$V$205,'Profitability inputs'!$A$6:$"&amp;"A$205,A55,'Profitability inputs'!$AN$6:$AN$205,1)/SUMIFS('Profitability inputs'!$W$6:$W$205,'Profitability inputs'!$A$6:$A$205,A55,'Profitability inputs'!$AN$6:$AN$205,1))))"),"")</f>
        <v/>
      </c>
      <c r="P55" s="80" t="str">
        <f>IFERROR(__xludf.DUMMYFUNCTION("IF(A55="""","""",IF(AA55&lt;&gt;3,""n.a."",MEDIAN(FILTER('Profitability inputs'!$AG$6:$AG$205,'Profitability inputs'!$A$6:$A$205=A55,'Profitability inputs'!$AN$6:$AN$205=1))))"),"")</f>
        <v/>
      </c>
      <c r="Q55" s="80" t="str">
        <f>IFERROR(__xludf.DUMMYFUNCTION("IF(A55="""","""",IF(AA55&lt;&gt;3,""n.a."",MEDIAN(FILTER('Profitability inputs'!$AH$6:$AH$205,'Profitability inputs'!$A$6:$A$205=A55,'Profitability inputs'!$AN$6:$AN$205=1))))"),"")</f>
        <v/>
      </c>
      <c r="R55" s="83" t="str">
        <f t="shared" si="6"/>
        <v/>
      </c>
      <c r="S55" s="83" t="str">
        <f t="shared" si="7"/>
        <v/>
      </c>
      <c r="T55" s="80" t="str">
        <f>IFERROR(__xludf.DUMMYFUNCTION("IF(A55="""","""",IFNA(INDEX(FILTER('Profitability inputs'!$AJ$6:$AJ$205,'Profitability inputs'!$A$6:$A$205=A55,'Profitability inputs'!$C$6:$C$205=""TTM"",'Profitability inputs'!$AD$6:$AD$205=1),1),""n.a.""))"),"")</f>
        <v/>
      </c>
      <c r="U55" s="80" t="str">
        <f>IFERROR(__xludf.DUMMYFUNCTION("IF(A55="""","""",IFNA(INDEX(FILTER('Profitability inputs'!$AK$6:$AK$205,'Profitability inputs'!$A$6:$A$205=A55,'Profitability inputs'!$C$6:$C$205=""TTM"",'Profitability inputs'!$AD$6:$AD$205=1),1),""n.a.""))"),"")</f>
        <v/>
      </c>
      <c r="V55" s="14" t="str">
        <f>IF(A55="","",IF(Companies!R46&lt;&gt;1,"Outside cap/scope universe",IF(D55="","Set business cohort",IF(COUNTIFS('Profitability inputs'!$A$6:$A$205,A55,'Profitability inputs'!$C$6:$C$205,"TTM")=0,"Add TTM financials",IF(COUNTIFS('Profitability inputs'!$A$6:$A$205,A55,'Profitability inputs'!$C$6:$C$205,"TTM")&lt;&gt;1,"Duplicate TTM records",IF(X55&lt;&gt;1,"Check financial data/dates/profile",IF($B$9&lt;&gt;"Ready",$B$9,IF(M55&lt;$B$6,"Too few same-cohort companies","Ready"))))))))</f>
        <v/>
      </c>
      <c r="W55" s="14" t="str">
        <f t="shared" si="8"/>
        <v/>
      </c>
      <c r="X55" s="14" t="str">
        <f>IFERROR(__xludf.DUMMYFUNCTION("IF(A55="""","""",IFERROR(IF(AND(Companies!R46=1,ISNUMBER(C55),C55&gt;=$B$5,D55&lt;&gt;"""",COUNTIFS('Profitability inputs'!$A$6:$A$205,A55,'Profitability inputs'!$C$6:$C$205,""TTM"")=1,COUNTIFS('Profitability inputs'!$A$6:$A$205,A55,'Profitability inputs'!$C$6:$C$"&amp;"205,""TTM"",'Profitability inputs'!$AD$6:$AD$205,1)=1,ISNUMBER(F55),F55&lt;=Rules!$B$6,Rules!$B$6-F55&lt;=Rules!$B$11,NOT(REGEXMATCH(LOWER(Companies!D46&amp;"" ""&amp;Companies!E46),""financial|bank|insurance|reit|real estate""))),1,0),0))"),"")</f>
        <v/>
      </c>
      <c r="Y55" s="81" t="str">
        <f t="shared" si="9"/>
        <v/>
      </c>
      <c r="Z55" s="81" t="str">
        <f t="shared" si="10"/>
        <v/>
      </c>
      <c r="AA55" s="14" t="str">
        <f>IF(A55="","",COUNTIFS('Profitability inputs'!$A$6:$A$205,A55,'Profitability inputs'!$AN$6:$AN$205,1))</f>
        <v/>
      </c>
      <c r="AB55" s="14" t="str">
        <f>IFERROR(__xludf.DUMMYFUNCTION("IF(A55="""","""",IFNA(INDEX(FILTER('Profitability inputs'!$AA$6:$AA$205,'Profitability inputs'!$A$6:$A$205=A55,'Profitability inputs'!$C$6:$C$205=""TTM"",'Profitability inputs'!$AD$6:$AD$205=1),1),""n.a.""))"),"")</f>
        <v/>
      </c>
    </row>
    <row r="56" ht="31.5" customHeight="1">
      <c r="A56" s="14" t="str">
        <f>IF(Companies!A47="","",Companies!A47)</f>
        <v/>
      </c>
      <c r="B56" s="14" t="str">
        <f>IF(A56="","",Companies!C47)</f>
        <v/>
      </c>
      <c r="C56" s="14" t="str">
        <f>IF(A56="","",IF(ISNUMBER(Companies!I47),Companies!I47,"n.a."))</f>
        <v/>
      </c>
      <c r="D56" s="79"/>
      <c r="E56" s="14" t="str">
        <f>IFERROR(__xludf.DUMMYFUNCTION("IF(A56="""","""",IFNA(INDEX(FILTER('Profitability inputs'!$G$6:$G$205,'Profitability inputs'!$A$6:$A$205=A56,'Profitability inputs'!$C$6:$C$205=""TTM"",'Profitability inputs'!$AD$6:$AD$205=1),1),""n.a.""))"),"")</f>
        <v/>
      </c>
      <c r="F56" s="20" t="str">
        <f>IFERROR(__xludf.DUMMYFUNCTION("IF(A56="""","""",IFNA(INDEX(FILTER('Profitability inputs'!$D$6:$D$205,'Profitability inputs'!$A$6:$A$205=A56,'Profitability inputs'!$C$6:$C$205=""TTM"",'Profitability inputs'!$AD$6:$AD$205=1),1),""n.a.""))"),"")</f>
        <v/>
      </c>
      <c r="G56" s="80" t="str">
        <f>IFERROR(__xludf.DUMMYFUNCTION("IF(A56="""","""",IFNA(INDEX(FILTER('Profitability inputs'!$AG$6:$AG$205,'Profitability inputs'!$A$6:$A$205=A56,'Profitability inputs'!$C$6:$C$205=""TTM"",'Profitability inputs'!$AD$6:$AD$205=1),1),""n.a.""))"),"")</f>
        <v/>
      </c>
      <c r="H56" s="80" t="str">
        <f>IFERROR(__xludf.DUMMYFUNCTION("IF(A56="""","""",IFNA(INDEX(FILTER('Profitability inputs'!$AH$6:$AH$205,'Profitability inputs'!$A$6:$A$205=A56,'Profitability inputs'!$C$6:$C$205=""TTM"",'Profitability inputs'!$AD$6:$AD$205=1),1),""n.a.""))"),"")</f>
        <v/>
      </c>
      <c r="I56" s="81" t="str">
        <f t="shared" si="1"/>
        <v/>
      </c>
      <c r="J56" s="81" t="str">
        <f t="shared" si="2"/>
        <v/>
      </c>
      <c r="K56" s="81" t="str">
        <f t="shared" si="3"/>
        <v/>
      </c>
      <c r="L56" s="14" t="str">
        <f t="shared" si="4"/>
        <v/>
      </c>
      <c r="M56" s="14" t="str">
        <f t="shared" si="5"/>
        <v/>
      </c>
      <c r="N56" s="80" t="str">
        <f>IFERROR(__xludf.DUMMYFUNCTION("IF(A56="""","""",IFNA(INDEX(FILTER('Profitability inputs'!$AI$6:$AI$205,'Profitability inputs'!$A$6:$A$205=A56,'Profitability inputs'!$C$6:$C$205=""TTM"",'Profitability inputs'!$AD$6:$AD$205=1),1),""n.a.""))"),"")</f>
        <v/>
      </c>
      <c r="O56" s="82" t="str">
        <f>IFERROR(__xludf.DUMMYFUNCTION("IF(A56="""","""",IF(AA56&lt;&gt;3,""n.a."",IF(OR(COUNT(FILTER('Profitability inputs'!$V$6:$V$205,'Profitability inputs'!$A$6:$A$205=A56,'Profitability inputs'!$AN$6:$AN$205=1))&lt;&gt;3,COUNT(FILTER('Profitability inputs'!$W$6:$W$205,'Profitability inputs'!$A$6:$A$20"&amp;"5=A56,'Profitability inputs'!$AN$6:$AN$205=1))&lt;&gt;3,SUMIFS('Profitability inputs'!$W$6:$W$205,'Profitability inputs'!$A$6:$A$205,A56,'Profitability inputs'!$AN$6:$AN$205,1)&lt;=0),""n.a."",SUMIFS('Profitability inputs'!$V$6:$V$205,'Profitability inputs'!$A$6:$"&amp;"A$205,A56,'Profitability inputs'!$AN$6:$AN$205,1)/SUMIFS('Profitability inputs'!$W$6:$W$205,'Profitability inputs'!$A$6:$A$205,A56,'Profitability inputs'!$AN$6:$AN$205,1))))"),"")</f>
        <v/>
      </c>
      <c r="P56" s="80" t="str">
        <f>IFERROR(__xludf.DUMMYFUNCTION("IF(A56="""","""",IF(AA56&lt;&gt;3,""n.a."",MEDIAN(FILTER('Profitability inputs'!$AG$6:$AG$205,'Profitability inputs'!$A$6:$A$205=A56,'Profitability inputs'!$AN$6:$AN$205=1))))"),"")</f>
        <v/>
      </c>
      <c r="Q56" s="80" t="str">
        <f>IFERROR(__xludf.DUMMYFUNCTION("IF(A56="""","""",IF(AA56&lt;&gt;3,""n.a."",MEDIAN(FILTER('Profitability inputs'!$AH$6:$AH$205,'Profitability inputs'!$A$6:$A$205=A56,'Profitability inputs'!$AN$6:$AN$205=1))))"),"")</f>
        <v/>
      </c>
      <c r="R56" s="83" t="str">
        <f t="shared" si="6"/>
        <v/>
      </c>
      <c r="S56" s="83" t="str">
        <f t="shared" si="7"/>
        <v/>
      </c>
      <c r="T56" s="80" t="str">
        <f>IFERROR(__xludf.DUMMYFUNCTION("IF(A56="""","""",IFNA(INDEX(FILTER('Profitability inputs'!$AJ$6:$AJ$205,'Profitability inputs'!$A$6:$A$205=A56,'Profitability inputs'!$C$6:$C$205=""TTM"",'Profitability inputs'!$AD$6:$AD$205=1),1),""n.a.""))"),"")</f>
        <v/>
      </c>
      <c r="U56" s="80" t="str">
        <f>IFERROR(__xludf.DUMMYFUNCTION("IF(A56="""","""",IFNA(INDEX(FILTER('Profitability inputs'!$AK$6:$AK$205,'Profitability inputs'!$A$6:$A$205=A56,'Profitability inputs'!$C$6:$C$205=""TTM"",'Profitability inputs'!$AD$6:$AD$205=1),1),""n.a.""))"),"")</f>
        <v/>
      </c>
      <c r="V56" s="14" t="str">
        <f>IF(A56="","",IF(Companies!R47&lt;&gt;1,"Outside cap/scope universe",IF(D56="","Set business cohort",IF(COUNTIFS('Profitability inputs'!$A$6:$A$205,A56,'Profitability inputs'!$C$6:$C$205,"TTM")=0,"Add TTM financials",IF(COUNTIFS('Profitability inputs'!$A$6:$A$205,A56,'Profitability inputs'!$C$6:$C$205,"TTM")&lt;&gt;1,"Duplicate TTM records",IF(X56&lt;&gt;1,"Check financial data/dates/profile",IF($B$9&lt;&gt;"Ready",$B$9,IF(M56&lt;$B$6,"Too few same-cohort companies","Ready"))))))))</f>
        <v/>
      </c>
      <c r="W56" s="14" t="str">
        <f t="shared" si="8"/>
        <v/>
      </c>
      <c r="X56" s="14" t="str">
        <f>IFERROR(__xludf.DUMMYFUNCTION("IF(A56="""","""",IFERROR(IF(AND(Companies!R47=1,ISNUMBER(C56),C56&gt;=$B$5,D56&lt;&gt;"""",COUNTIFS('Profitability inputs'!$A$6:$A$205,A56,'Profitability inputs'!$C$6:$C$205,""TTM"")=1,COUNTIFS('Profitability inputs'!$A$6:$A$205,A56,'Profitability inputs'!$C$6:$C$"&amp;"205,""TTM"",'Profitability inputs'!$AD$6:$AD$205,1)=1,ISNUMBER(F56),F56&lt;=Rules!$B$6,Rules!$B$6-F56&lt;=Rules!$B$11,NOT(REGEXMATCH(LOWER(Companies!D47&amp;"" ""&amp;Companies!E47),""financial|bank|insurance|reit|real estate""))),1,0),0))"),"")</f>
        <v/>
      </c>
      <c r="Y56" s="81" t="str">
        <f t="shared" si="9"/>
        <v/>
      </c>
      <c r="Z56" s="81" t="str">
        <f t="shared" si="10"/>
        <v/>
      </c>
      <c r="AA56" s="14" t="str">
        <f>IF(A56="","",COUNTIFS('Profitability inputs'!$A$6:$A$205,A56,'Profitability inputs'!$AN$6:$AN$205,1))</f>
        <v/>
      </c>
      <c r="AB56" s="14" t="str">
        <f>IFERROR(__xludf.DUMMYFUNCTION("IF(A56="""","""",IFNA(INDEX(FILTER('Profitability inputs'!$AA$6:$AA$205,'Profitability inputs'!$A$6:$A$205=A56,'Profitability inputs'!$C$6:$C$205=""TTM"",'Profitability inputs'!$AD$6:$AD$205=1),1),""n.a.""))"),"")</f>
        <v/>
      </c>
    </row>
    <row r="57" ht="31.5" customHeight="1">
      <c r="A57" s="14" t="str">
        <f>IF(Companies!A48="","",Companies!A48)</f>
        <v/>
      </c>
      <c r="B57" s="14" t="str">
        <f>IF(A57="","",Companies!C48)</f>
        <v/>
      </c>
      <c r="C57" s="14" t="str">
        <f>IF(A57="","",IF(ISNUMBER(Companies!I48),Companies!I48,"n.a."))</f>
        <v/>
      </c>
      <c r="D57" s="79"/>
      <c r="E57" s="14" t="str">
        <f>IFERROR(__xludf.DUMMYFUNCTION("IF(A57="""","""",IFNA(INDEX(FILTER('Profitability inputs'!$G$6:$G$205,'Profitability inputs'!$A$6:$A$205=A57,'Profitability inputs'!$C$6:$C$205=""TTM"",'Profitability inputs'!$AD$6:$AD$205=1),1),""n.a.""))"),"")</f>
        <v/>
      </c>
      <c r="F57" s="20" t="str">
        <f>IFERROR(__xludf.DUMMYFUNCTION("IF(A57="""","""",IFNA(INDEX(FILTER('Profitability inputs'!$D$6:$D$205,'Profitability inputs'!$A$6:$A$205=A57,'Profitability inputs'!$C$6:$C$205=""TTM"",'Profitability inputs'!$AD$6:$AD$205=1),1),""n.a.""))"),"")</f>
        <v/>
      </c>
      <c r="G57" s="80" t="str">
        <f>IFERROR(__xludf.DUMMYFUNCTION("IF(A57="""","""",IFNA(INDEX(FILTER('Profitability inputs'!$AG$6:$AG$205,'Profitability inputs'!$A$6:$A$205=A57,'Profitability inputs'!$C$6:$C$205=""TTM"",'Profitability inputs'!$AD$6:$AD$205=1),1),""n.a.""))"),"")</f>
        <v/>
      </c>
      <c r="H57" s="80" t="str">
        <f>IFERROR(__xludf.DUMMYFUNCTION("IF(A57="""","""",IFNA(INDEX(FILTER('Profitability inputs'!$AH$6:$AH$205,'Profitability inputs'!$A$6:$A$205=A57,'Profitability inputs'!$C$6:$C$205=""TTM"",'Profitability inputs'!$AD$6:$AD$205=1),1),""n.a.""))"),"")</f>
        <v/>
      </c>
      <c r="I57" s="81" t="str">
        <f t="shared" si="1"/>
        <v/>
      </c>
      <c r="J57" s="81" t="str">
        <f t="shared" si="2"/>
        <v/>
      </c>
      <c r="K57" s="81" t="str">
        <f t="shared" si="3"/>
        <v/>
      </c>
      <c r="L57" s="14" t="str">
        <f t="shared" si="4"/>
        <v/>
      </c>
      <c r="M57" s="14" t="str">
        <f t="shared" si="5"/>
        <v/>
      </c>
      <c r="N57" s="80" t="str">
        <f>IFERROR(__xludf.DUMMYFUNCTION("IF(A57="""","""",IFNA(INDEX(FILTER('Profitability inputs'!$AI$6:$AI$205,'Profitability inputs'!$A$6:$A$205=A57,'Profitability inputs'!$C$6:$C$205=""TTM"",'Profitability inputs'!$AD$6:$AD$205=1),1),""n.a.""))"),"")</f>
        <v/>
      </c>
      <c r="O57" s="82" t="str">
        <f>IFERROR(__xludf.DUMMYFUNCTION("IF(A57="""","""",IF(AA57&lt;&gt;3,""n.a."",IF(OR(COUNT(FILTER('Profitability inputs'!$V$6:$V$205,'Profitability inputs'!$A$6:$A$205=A57,'Profitability inputs'!$AN$6:$AN$205=1))&lt;&gt;3,COUNT(FILTER('Profitability inputs'!$W$6:$W$205,'Profitability inputs'!$A$6:$A$20"&amp;"5=A57,'Profitability inputs'!$AN$6:$AN$205=1))&lt;&gt;3,SUMIFS('Profitability inputs'!$W$6:$W$205,'Profitability inputs'!$A$6:$A$205,A57,'Profitability inputs'!$AN$6:$AN$205,1)&lt;=0),""n.a."",SUMIFS('Profitability inputs'!$V$6:$V$205,'Profitability inputs'!$A$6:$"&amp;"A$205,A57,'Profitability inputs'!$AN$6:$AN$205,1)/SUMIFS('Profitability inputs'!$W$6:$W$205,'Profitability inputs'!$A$6:$A$205,A57,'Profitability inputs'!$AN$6:$AN$205,1))))"),"")</f>
        <v/>
      </c>
      <c r="P57" s="80" t="str">
        <f>IFERROR(__xludf.DUMMYFUNCTION("IF(A57="""","""",IF(AA57&lt;&gt;3,""n.a."",MEDIAN(FILTER('Profitability inputs'!$AG$6:$AG$205,'Profitability inputs'!$A$6:$A$205=A57,'Profitability inputs'!$AN$6:$AN$205=1))))"),"")</f>
        <v/>
      </c>
      <c r="Q57" s="80" t="str">
        <f>IFERROR(__xludf.DUMMYFUNCTION("IF(A57="""","""",IF(AA57&lt;&gt;3,""n.a."",MEDIAN(FILTER('Profitability inputs'!$AH$6:$AH$205,'Profitability inputs'!$A$6:$A$205=A57,'Profitability inputs'!$AN$6:$AN$205=1))))"),"")</f>
        <v/>
      </c>
      <c r="R57" s="83" t="str">
        <f t="shared" si="6"/>
        <v/>
      </c>
      <c r="S57" s="83" t="str">
        <f t="shared" si="7"/>
        <v/>
      </c>
      <c r="T57" s="80" t="str">
        <f>IFERROR(__xludf.DUMMYFUNCTION("IF(A57="""","""",IFNA(INDEX(FILTER('Profitability inputs'!$AJ$6:$AJ$205,'Profitability inputs'!$A$6:$A$205=A57,'Profitability inputs'!$C$6:$C$205=""TTM"",'Profitability inputs'!$AD$6:$AD$205=1),1),""n.a.""))"),"")</f>
        <v/>
      </c>
      <c r="U57" s="80" t="str">
        <f>IFERROR(__xludf.DUMMYFUNCTION("IF(A57="""","""",IFNA(INDEX(FILTER('Profitability inputs'!$AK$6:$AK$205,'Profitability inputs'!$A$6:$A$205=A57,'Profitability inputs'!$C$6:$C$205=""TTM"",'Profitability inputs'!$AD$6:$AD$205=1),1),""n.a.""))"),"")</f>
        <v/>
      </c>
      <c r="V57" s="14" t="str">
        <f>IF(A57="","",IF(Companies!R48&lt;&gt;1,"Outside cap/scope universe",IF(D57="","Set business cohort",IF(COUNTIFS('Profitability inputs'!$A$6:$A$205,A57,'Profitability inputs'!$C$6:$C$205,"TTM")=0,"Add TTM financials",IF(COUNTIFS('Profitability inputs'!$A$6:$A$205,A57,'Profitability inputs'!$C$6:$C$205,"TTM")&lt;&gt;1,"Duplicate TTM records",IF(X57&lt;&gt;1,"Check financial data/dates/profile",IF($B$9&lt;&gt;"Ready",$B$9,IF(M57&lt;$B$6,"Too few same-cohort companies","Ready"))))))))</f>
        <v/>
      </c>
      <c r="W57" s="14" t="str">
        <f t="shared" si="8"/>
        <v/>
      </c>
      <c r="X57" s="14" t="str">
        <f>IFERROR(__xludf.DUMMYFUNCTION("IF(A57="""","""",IFERROR(IF(AND(Companies!R48=1,ISNUMBER(C57),C57&gt;=$B$5,D57&lt;&gt;"""",COUNTIFS('Profitability inputs'!$A$6:$A$205,A57,'Profitability inputs'!$C$6:$C$205,""TTM"")=1,COUNTIFS('Profitability inputs'!$A$6:$A$205,A57,'Profitability inputs'!$C$6:$C$"&amp;"205,""TTM"",'Profitability inputs'!$AD$6:$AD$205,1)=1,ISNUMBER(F57),F57&lt;=Rules!$B$6,Rules!$B$6-F57&lt;=Rules!$B$11,NOT(REGEXMATCH(LOWER(Companies!D48&amp;"" ""&amp;Companies!E48),""financial|bank|insurance|reit|real estate""))),1,0),0))"),"")</f>
        <v/>
      </c>
      <c r="Y57" s="81" t="str">
        <f t="shared" si="9"/>
        <v/>
      </c>
      <c r="Z57" s="81" t="str">
        <f t="shared" si="10"/>
        <v/>
      </c>
      <c r="AA57" s="14" t="str">
        <f>IF(A57="","",COUNTIFS('Profitability inputs'!$A$6:$A$205,A57,'Profitability inputs'!$AN$6:$AN$205,1))</f>
        <v/>
      </c>
      <c r="AB57" s="14" t="str">
        <f>IFERROR(__xludf.DUMMYFUNCTION("IF(A57="""","""",IFNA(INDEX(FILTER('Profitability inputs'!$AA$6:$AA$205,'Profitability inputs'!$A$6:$A$205=A57,'Profitability inputs'!$C$6:$C$205=""TTM"",'Profitability inputs'!$AD$6:$AD$205=1),1),""n.a.""))"),"")</f>
        <v/>
      </c>
    </row>
    <row r="58" ht="31.5" customHeight="1">
      <c r="A58" s="14" t="str">
        <f>IF(Companies!A49="","",Companies!A49)</f>
        <v/>
      </c>
      <c r="B58" s="14" t="str">
        <f>IF(A58="","",Companies!C49)</f>
        <v/>
      </c>
      <c r="C58" s="14" t="str">
        <f>IF(A58="","",IF(ISNUMBER(Companies!I49),Companies!I49,"n.a."))</f>
        <v/>
      </c>
      <c r="D58" s="79"/>
      <c r="E58" s="14" t="str">
        <f>IFERROR(__xludf.DUMMYFUNCTION("IF(A58="""","""",IFNA(INDEX(FILTER('Profitability inputs'!$G$6:$G$205,'Profitability inputs'!$A$6:$A$205=A58,'Profitability inputs'!$C$6:$C$205=""TTM"",'Profitability inputs'!$AD$6:$AD$205=1),1),""n.a.""))"),"")</f>
        <v/>
      </c>
      <c r="F58" s="20" t="str">
        <f>IFERROR(__xludf.DUMMYFUNCTION("IF(A58="""","""",IFNA(INDEX(FILTER('Profitability inputs'!$D$6:$D$205,'Profitability inputs'!$A$6:$A$205=A58,'Profitability inputs'!$C$6:$C$205=""TTM"",'Profitability inputs'!$AD$6:$AD$205=1),1),""n.a.""))"),"")</f>
        <v/>
      </c>
      <c r="G58" s="80" t="str">
        <f>IFERROR(__xludf.DUMMYFUNCTION("IF(A58="""","""",IFNA(INDEX(FILTER('Profitability inputs'!$AG$6:$AG$205,'Profitability inputs'!$A$6:$A$205=A58,'Profitability inputs'!$C$6:$C$205=""TTM"",'Profitability inputs'!$AD$6:$AD$205=1),1),""n.a.""))"),"")</f>
        <v/>
      </c>
      <c r="H58" s="80" t="str">
        <f>IFERROR(__xludf.DUMMYFUNCTION("IF(A58="""","""",IFNA(INDEX(FILTER('Profitability inputs'!$AH$6:$AH$205,'Profitability inputs'!$A$6:$A$205=A58,'Profitability inputs'!$C$6:$C$205=""TTM"",'Profitability inputs'!$AD$6:$AD$205=1),1),""n.a.""))"),"")</f>
        <v/>
      </c>
      <c r="I58" s="81" t="str">
        <f t="shared" si="1"/>
        <v/>
      </c>
      <c r="J58" s="81" t="str">
        <f t="shared" si="2"/>
        <v/>
      </c>
      <c r="K58" s="81" t="str">
        <f t="shared" si="3"/>
        <v/>
      </c>
      <c r="L58" s="14" t="str">
        <f t="shared" si="4"/>
        <v/>
      </c>
      <c r="M58" s="14" t="str">
        <f t="shared" si="5"/>
        <v/>
      </c>
      <c r="N58" s="80" t="str">
        <f>IFERROR(__xludf.DUMMYFUNCTION("IF(A58="""","""",IFNA(INDEX(FILTER('Profitability inputs'!$AI$6:$AI$205,'Profitability inputs'!$A$6:$A$205=A58,'Profitability inputs'!$C$6:$C$205=""TTM"",'Profitability inputs'!$AD$6:$AD$205=1),1),""n.a.""))"),"")</f>
        <v/>
      </c>
      <c r="O58" s="82" t="str">
        <f>IFERROR(__xludf.DUMMYFUNCTION("IF(A58="""","""",IF(AA58&lt;&gt;3,""n.a."",IF(OR(COUNT(FILTER('Profitability inputs'!$V$6:$V$205,'Profitability inputs'!$A$6:$A$205=A58,'Profitability inputs'!$AN$6:$AN$205=1))&lt;&gt;3,COUNT(FILTER('Profitability inputs'!$W$6:$W$205,'Profitability inputs'!$A$6:$A$20"&amp;"5=A58,'Profitability inputs'!$AN$6:$AN$205=1))&lt;&gt;3,SUMIFS('Profitability inputs'!$W$6:$W$205,'Profitability inputs'!$A$6:$A$205,A58,'Profitability inputs'!$AN$6:$AN$205,1)&lt;=0),""n.a."",SUMIFS('Profitability inputs'!$V$6:$V$205,'Profitability inputs'!$A$6:$"&amp;"A$205,A58,'Profitability inputs'!$AN$6:$AN$205,1)/SUMIFS('Profitability inputs'!$W$6:$W$205,'Profitability inputs'!$A$6:$A$205,A58,'Profitability inputs'!$AN$6:$AN$205,1))))"),"")</f>
        <v/>
      </c>
      <c r="P58" s="80" t="str">
        <f>IFERROR(__xludf.DUMMYFUNCTION("IF(A58="""","""",IF(AA58&lt;&gt;3,""n.a."",MEDIAN(FILTER('Profitability inputs'!$AG$6:$AG$205,'Profitability inputs'!$A$6:$A$205=A58,'Profitability inputs'!$AN$6:$AN$205=1))))"),"")</f>
        <v/>
      </c>
      <c r="Q58" s="80" t="str">
        <f>IFERROR(__xludf.DUMMYFUNCTION("IF(A58="""","""",IF(AA58&lt;&gt;3,""n.a."",MEDIAN(FILTER('Profitability inputs'!$AH$6:$AH$205,'Profitability inputs'!$A$6:$A$205=A58,'Profitability inputs'!$AN$6:$AN$205=1))))"),"")</f>
        <v/>
      </c>
      <c r="R58" s="83" t="str">
        <f t="shared" si="6"/>
        <v/>
      </c>
      <c r="S58" s="83" t="str">
        <f t="shared" si="7"/>
        <v/>
      </c>
      <c r="T58" s="80" t="str">
        <f>IFERROR(__xludf.DUMMYFUNCTION("IF(A58="""","""",IFNA(INDEX(FILTER('Profitability inputs'!$AJ$6:$AJ$205,'Profitability inputs'!$A$6:$A$205=A58,'Profitability inputs'!$C$6:$C$205=""TTM"",'Profitability inputs'!$AD$6:$AD$205=1),1),""n.a.""))"),"")</f>
        <v/>
      </c>
      <c r="U58" s="80" t="str">
        <f>IFERROR(__xludf.DUMMYFUNCTION("IF(A58="""","""",IFNA(INDEX(FILTER('Profitability inputs'!$AK$6:$AK$205,'Profitability inputs'!$A$6:$A$205=A58,'Profitability inputs'!$C$6:$C$205=""TTM"",'Profitability inputs'!$AD$6:$AD$205=1),1),""n.a.""))"),"")</f>
        <v/>
      </c>
      <c r="V58" s="14" t="str">
        <f>IF(A58="","",IF(Companies!R49&lt;&gt;1,"Outside cap/scope universe",IF(D58="","Set business cohort",IF(COUNTIFS('Profitability inputs'!$A$6:$A$205,A58,'Profitability inputs'!$C$6:$C$205,"TTM")=0,"Add TTM financials",IF(COUNTIFS('Profitability inputs'!$A$6:$A$205,A58,'Profitability inputs'!$C$6:$C$205,"TTM")&lt;&gt;1,"Duplicate TTM records",IF(X58&lt;&gt;1,"Check financial data/dates/profile",IF($B$9&lt;&gt;"Ready",$B$9,IF(M58&lt;$B$6,"Too few same-cohort companies","Ready"))))))))</f>
        <v/>
      </c>
      <c r="W58" s="14" t="str">
        <f t="shared" si="8"/>
        <v/>
      </c>
      <c r="X58" s="14" t="str">
        <f>IFERROR(__xludf.DUMMYFUNCTION("IF(A58="""","""",IFERROR(IF(AND(Companies!R49=1,ISNUMBER(C58),C58&gt;=$B$5,D58&lt;&gt;"""",COUNTIFS('Profitability inputs'!$A$6:$A$205,A58,'Profitability inputs'!$C$6:$C$205,""TTM"")=1,COUNTIFS('Profitability inputs'!$A$6:$A$205,A58,'Profitability inputs'!$C$6:$C$"&amp;"205,""TTM"",'Profitability inputs'!$AD$6:$AD$205,1)=1,ISNUMBER(F58),F58&lt;=Rules!$B$6,Rules!$B$6-F58&lt;=Rules!$B$11,NOT(REGEXMATCH(LOWER(Companies!D49&amp;"" ""&amp;Companies!E49),""financial|bank|insurance|reit|real estate""))),1,0),0))"),"")</f>
        <v/>
      </c>
      <c r="Y58" s="81" t="str">
        <f t="shared" si="9"/>
        <v/>
      </c>
      <c r="Z58" s="81" t="str">
        <f t="shared" si="10"/>
        <v/>
      </c>
      <c r="AA58" s="14" t="str">
        <f>IF(A58="","",COUNTIFS('Profitability inputs'!$A$6:$A$205,A58,'Profitability inputs'!$AN$6:$AN$205,1))</f>
        <v/>
      </c>
      <c r="AB58" s="14" t="str">
        <f>IFERROR(__xludf.DUMMYFUNCTION("IF(A58="""","""",IFNA(INDEX(FILTER('Profitability inputs'!$AA$6:$AA$205,'Profitability inputs'!$A$6:$A$205=A58,'Profitability inputs'!$C$6:$C$205=""TTM"",'Profitability inputs'!$AD$6:$AD$205=1),1),""n.a.""))"),"")</f>
        <v/>
      </c>
    </row>
    <row r="59" ht="31.5" customHeight="1">
      <c r="A59" s="14" t="str">
        <f>IF(Companies!A50="","",Companies!A50)</f>
        <v/>
      </c>
      <c r="B59" s="14" t="str">
        <f>IF(A59="","",Companies!C50)</f>
        <v/>
      </c>
      <c r="C59" s="14" t="str">
        <f>IF(A59="","",IF(ISNUMBER(Companies!I50),Companies!I50,"n.a."))</f>
        <v/>
      </c>
      <c r="D59" s="79"/>
      <c r="E59" s="14" t="str">
        <f>IFERROR(__xludf.DUMMYFUNCTION("IF(A59="""","""",IFNA(INDEX(FILTER('Profitability inputs'!$G$6:$G$205,'Profitability inputs'!$A$6:$A$205=A59,'Profitability inputs'!$C$6:$C$205=""TTM"",'Profitability inputs'!$AD$6:$AD$205=1),1),""n.a.""))"),"")</f>
        <v/>
      </c>
      <c r="F59" s="20" t="str">
        <f>IFERROR(__xludf.DUMMYFUNCTION("IF(A59="""","""",IFNA(INDEX(FILTER('Profitability inputs'!$D$6:$D$205,'Profitability inputs'!$A$6:$A$205=A59,'Profitability inputs'!$C$6:$C$205=""TTM"",'Profitability inputs'!$AD$6:$AD$205=1),1),""n.a.""))"),"")</f>
        <v/>
      </c>
      <c r="G59" s="80" t="str">
        <f>IFERROR(__xludf.DUMMYFUNCTION("IF(A59="""","""",IFNA(INDEX(FILTER('Profitability inputs'!$AG$6:$AG$205,'Profitability inputs'!$A$6:$A$205=A59,'Profitability inputs'!$C$6:$C$205=""TTM"",'Profitability inputs'!$AD$6:$AD$205=1),1),""n.a.""))"),"")</f>
        <v/>
      </c>
      <c r="H59" s="80" t="str">
        <f>IFERROR(__xludf.DUMMYFUNCTION("IF(A59="""","""",IFNA(INDEX(FILTER('Profitability inputs'!$AH$6:$AH$205,'Profitability inputs'!$A$6:$A$205=A59,'Profitability inputs'!$C$6:$C$205=""TTM"",'Profitability inputs'!$AD$6:$AD$205=1),1),""n.a.""))"),"")</f>
        <v/>
      </c>
      <c r="I59" s="81" t="str">
        <f t="shared" si="1"/>
        <v/>
      </c>
      <c r="J59" s="81" t="str">
        <f t="shared" si="2"/>
        <v/>
      </c>
      <c r="K59" s="81" t="str">
        <f t="shared" si="3"/>
        <v/>
      </c>
      <c r="L59" s="14" t="str">
        <f t="shared" si="4"/>
        <v/>
      </c>
      <c r="M59" s="14" t="str">
        <f t="shared" si="5"/>
        <v/>
      </c>
      <c r="N59" s="80" t="str">
        <f>IFERROR(__xludf.DUMMYFUNCTION("IF(A59="""","""",IFNA(INDEX(FILTER('Profitability inputs'!$AI$6:$AI$205,'Profitability inputs'!$A$6:$A$205=A59,'Profitability inputs'!$C$6:$C$205=""TTM"",'Profitability inputs'!$AD$6:$AD$205=1),1),""n.a.""))"),"")</f>
        <v/>
      </c>
      <c r="O59" s="82" t="str">
        <f>IFERROR(__xludf.DUMMYFUNCTION("IF(A59="""","""",IF(AA59&lt;&gt;3,""n.a."",IF(OR(COUNT(FILTER('Profitability inputs'!$V$6:$V$205,'Profitability inputs'!$A$6:$A$205=A59,'Profitability inputs'!$AN$6:$AN$205=1))&lt;&gt;3,COUNT(FILTER('Profitability inputs'!$W$6:$W$205,'Profitability inputs'!$A$6:$A$20"&amp;"5=A59,'Profitability inputs'!$AN$6:$AN$205=1))&lt;&gt;3,SUMIFS('Profitability inputs'!$W$6:$W$205,'Profitability inputs'!$A$6:$A$205,A59,'Profitability inputs'!$AN$6:$AN$205,1)&lt;=0),""n.a."",SUMIFS('Profitability inputs'!$V$6:$V$205,'Profitability inputs'!$A$6:$"&amp;"A$205,A59,'Profitability inputs'!$AN$6:$AN$205,1)/SUMIFS('Profitability inputs'!$W$6:$W$205,'Profitability inputs'!$A$6:$A$205,A59,'Profitability inputs'!$AN$6:$AN$205,1))))"),"")</f>
        <v/>
      </c>
      <c r="P59" s="80" t="str">
        <f>IFERROR(__xludf.DUMMYFUNCTION("IF(A59="""","""",IF(AA59&lt;&gt;3,""n.a."",MEDIAN(FILTER('Profitability inputs'!$AG$6:$AG$205,'Profitability inputs'!$A$6:$A$205=A59,'Profitability inputs'!$AN$6:$AN$205=1))))"),"")</f>
        <v/>
      </c>
      <c r="Q59" s="80" t="str">
        <f>IFERROR(__xludf.DUMMYFUNCTION("IF(A59="""","""",IF(AA59&lt;&gt;3,""n.a."",MEDIAN(FILTER('Profitability inputs'!$AH$6:$AH$205,'Profitability inputs'!$A$6:$A$205=A59,'Profitability inputs'!$AN$6:$AN$205=1))))"),"")</f>
        <v/>
      </c>
      <c r="R59" s="83" t="str">
        <f t="shared" si="6"/>
        <v/>
      </c>
      <c r="S59" s="83" t="str">
        <f t="shared" si="7"/>
        <v/>
      </c>
      <c r="T59" s="80" t="str">
        <f>IFERROR(__xludf.DUMMYFUNCTION("IF(A59="""","""",IFNA(INDEX(FILTER('Profitability inputs'!$AJ$6:$AJ$205,'Profitability inputs'!$A$6:$A$205=A59,'Profitability inputs'!$C$6:$C$205=""TTM"",'Profitability inputs'!$AD$6:$AD$205=1),1),""n.a.""))"),"")</f>
        <v/>
      </c>
      <c r="U59" s="80" t="str">
        <f>IFERROR(__xludf.DUMMYFUNCTION("IF(A59="""","""",IFNA(INDEX(FILTER('Profitability inputs'!$AK$6:$AK$205,'Profitability inputs'!$A$6:$A$205=A59,'Profitability inputs'!$C$6:$C$205=""TTM"",'Profitability inputs'!$AD$6:$AD$205=1),1),""n.a.""))"),"")</f>
        <v/>
      </c>
      <c r="V59" s="14" t="str">
        <f>IF(A59="","",IF(Companies!R50&lt;&gt;1,"Outside cap/scope universe",IF(D59="","Set business cohort",IF(COUNTIFS('Profitability inputs'!$A$6:$A$205,A59,'Profitability inputs'!$C$6:$C$205,"TTM")=0,"Add TTM financials",IF(COUNTIFS('Profitability inputs'!$A$6:$A$205,A59,'Profitability inputs'!$C$6:$C$205,"TTM")&lt;&gt;1,"Duplicate TTM records",IF(X59&lt;&gt;1,"Check financial data/dates/profile",IF($B$9&lt;&gt;"Ready",$B$9,IF(M59&lt;$B$6,"Too few same-cohort companies","Ready"))))))))</f>
        <v/>
      </c>
      <c r="W59" s="14" t="str">
        <f t="shared" si="8"/>
        <v/>
      </c>
      <c r="X59" s="14" t="str">
        <f>IFERROR(__xludf.DUMMYFUNCTION("IF(A59="""","""",IFERROR(IF(AND(Companies!R50=1,ISNUMBER(C59),C59&gt;=$B$5,D59&lt;&gt;"""",COUNTIFS('Profitability inputs'!$A$6:$A$205,A59,'Profitability inputs'!$C$6:$C$205,""TTM"")=1,COUNTIFS('Profitability inputs'!$A$6:$A$205,A59,'Profitability inputs'!$C$6:$C$"&amp;"205,""TTM"",'Profitability inputs'!$AD$6:$AD$205,1)=1,ISNUMBER(F59),F59&lt;=Rules!$B$6,Rules!$B$6-F59&lt;=Rules!$B$11,NOT(REGEXMATCH(LOWER(Companies!D50&amp;"" ""&amp;Companies!E50),""financial|bank|insurance|reit|real estate""))),1,0),0))"),"")</f>
        <v/>
      </c>
      <c r="Y59" s="81" t="str">
        <f t="shared" si="9"/>
        <v/>
      </c>
      <c r="Z59" s="81" t="str">
        <f t="shared" si="10"/>
        <v/>
      </c>
      <c r="AA59" s="14" t="str">
        <f>IF(A59="","",COUNTIFS('Profitability inputs'!$A$6:$A$205,A59,'Profitability inputs'!$AN$6:$AN$205,1))</f>
        <v/>
      </c>
      <c r="AB59" s="14" t="str">
        <f>IFERROR(__xludf.DUMMYFUNCTION("IF(A59="""","""",IFNA(INDEX(FILTER('Profitability inputs'!$AA$6:$AA$205,'Profitability inputs'!$A$6:$A$205=A59,'Profitability inputs'!$C$6:$C$205=""TTM"",'Profitability inputs'!$AD$6:$AD$205=1),1),""n.a.""))"),"")</f>
        <v/>
      </c>
    </row>
    <row r="60" ht="31.5" customHeight="1">
      <c r="A60" s="14" t="str">
        <f>IF(Companies!A51="","",Companies!A51)</f>
        <v/>
      </c>
      <c r="B60" s="14" t="str">
        <f>IF(A60="","",Companies!C51)</f>
        <v/>
      </c>
      <c r="C60" s="14" t="str">
        <f>IF(A60="","",IF(ISNUMBER(Companies!I51),Companies!I51,"n.a."))</f>
        <v/>
      </c>
      <c r="D60" s="79"/>
      <c r="E60" s="14" t="str">
        <f>IFERROR(__xludf.DUMMYFUNCTION("IF(A60="""","""",IFNA(INDEX(FILTER('Profitability inputs'!$G$6:$G$205,'Profitability inputs'!$A$6:$A$205=A60,'Profitability inputs'!$C$6:$C$205=""TTM"",'Profitability inputs'!$AD$6:$AD$205=1),1),""n.a.""))"),"")</f>
        <v/>
      </c>
      <c r="F60" s="20" t="str">
        <f>IFERROR(__xludf.DUMMYFUNCTION("IF(A60="""","""",IFNA(INDEX(FILTER('Profitability inputs'!$D$6:$D$205,'Profitability inputs'!$A$6:$A$205=A60,'Profitability inputs'!$C$6:$C$205=""TTM"",'Profitability inputs'!$AD$6:$AD$205=1),1),""n.a.""))"),"")</f>
        <v/>
      </c>
      <c r="G60" s="80" t="str">
        <f>IFERROR(__xludf.DUMMYFUNCTION("IF(A60="""","""",IFNA(INDEX(FILTER('Profitability inputs'!$AG$6:$AG$205,'Profitability inputs'!$A$6:$A$205=A60,'Profitability inputs'!$C$6:$C$205=""TTM"",'Profitability inputs'!$AD$6:$AD$205=1),1),""n.a.""))"),"")</f>
        <v/>
      </c>
      <c r="H60" s="80" t="str">
        <f>IFERROR(__xludf.DUMMYFUNCTION("IF(A60="""","""",IFNA(INDEX(FILTER('Profitability inputs'!$AH$6:$AH$205,'Profitability inputs'!$A$6:$A$205=A60,'Profitability inputs'!$C$6:$C$205=""TTM"",'Profitability inputs'!$AD$6:$AD$205=1),1),""n.a.""))"),"")</f>
        <v/>
      </c>
      <c r="I60" s="81" t="str">
        <f t="shared" si="1"/>
        <v/>
      </c>
      <c r="J60" s="81" t="str">
        <f t="shared" si="2"/>
        <v/>
      </c>
      <c r="K60" s="81" t="str">
        <f t="shared" si="3"/>
        <v/>
      </c>
      <c r="L60" s="14" t="str">
        <f t="shared" si="4"/>
        <v/>
      </c>
      <c r="M60" s="14" t="str">
        <f t="shared" si="5"/>
        <v/>
      </c>
      <c r="N60" s="80" t="str">
        <f>IFERROR(__xludf.DUMMYFUNCTION("IF(A60="""","""",IFNA(INDEX(FILTER('Profitability inputs'!$AI$6:$AI$205,'Profitability inputs'!$A$6:$A$205=A60,'Profitability inputs'!$C$6:$C$205=""TTM"",'Profitability inputs'!$AD$6:$AD$205=1),1),""n.a.""))"),"")</f>
        <v/>
      </c>
      <c r="O60" s="82" t="str">
        <f>IFERROR(__xludf.DUMMYFUNCTION("IF(A60="""","""",IF(AA60&lt;&gt;3,""n.a."",IF(OR(COUNT(FILTER('Profitability inputs'!$V$6:$V$205,'Profitability inputs'!$A$6:$A$205=A60,'Profitability inputs'!$AN$6:$AN$205=1))&lt;&gt;3,COUNT(FILTER('Profitability inputs'!$W$6:$W$205,'Profitability inputs'!$A$6:$A$20"&amp;"5=A60,'Profitability inputs'!$AN$6:$AN$205=1))&lt;&gt;3,SUMIFS('Profitability inputs'!$W$6:$W$205,'Profitability inputs'!$A$6:$A$205,A60,'Profitability inputs'!$AN$6:$AN$205,1)&lt;=0),""n.a."",SUMIFS('Profitability inputs'!$V$6:$V$205,'Profitability inputs'!$A$6:$"&amp;"A$205,A60,'Profitability inputs'!$AN$6:$AN$205,1)/SUMIFS('Profitability inputs'!$W$6:$W$205,'Profitability inputs'!$A$6:$A$205,A60,'Profitability inputs'!$AN$6:$AN$205,1))))"),"")</f>
        <v/>
      </c>
      <c r="P60" s="80" t="str">
        <f>IFERROR(__xludf.DUMMYFUNCTION("IF(A60="""","""",IF(AA60&lt;&gt;3,""n.a."",MEDIAN(FILTER('Profitability inputs'!$AG$6:$AG$205,'Profitability inputs'!$A$6:$A$205=A60,'Profitability inputs'!$AN$6:$AN$205=1))))"),"")</f>
        <v/>
      </c>
      <c r="Q60" s="80" t="str">
        <f>IFERROR(__xludf.DUMMYFUNCTION("IF(A60="""","""",IF(AA60&lt;&gt;3,""n.a."",MEDIAN(FILTER('Profitability inputs'!$AH$6:$AH$205,'Profitability inputs'!$A$6:$A$205=A60,'Profitability inputs'!$AN$6:$AN$205=1))))"),"")</f>
        <v/>
      </c>
      <c r="R60" s="83" t="str">
        <f t="shared" si="6"/>
        <v/>
      </c>
      <c r="S60" s="83" t="str">
        <f t="shared" si="7"/>
        <v/>
      </c>
      <c r="T60" s="80" t="str">
        <f>IFERROR(__xludf.DUMMYFUNCTION("IF(A60="""","""",IFNA(INDEX(FILTER('Profitability inputs'!$AJ$6:$AJ$205,'Profitability inputs'!$A$6:$A$205=A60,'Profitability inputs'!$C$6:$C$205=""TTM"",'Profitability inputs'!$AD$6:$AD$205=1),1),""n.a.""))"),"")</f>
        <v/>
      </c>
      <c r="U60" s="80" t="str">
        <f>IFERROR(__xludf.DUMMYFUNCTION("IF(A60="""","""",IFNA(INDEX(FILTER('Profitability inputs'!$AK$6:$AK$205,'Profitability inputs'!$A$6:$A$205=A60,'Profitability inputs'!$C$6:$C$205=""TTM"",'Profitability inputs'!$AD$6:$AD$205=1),1),""n.a.""))"),"")</f>
        <v/>
      </c>
      <c r="V60" s="14" t="str">
        <f>IF(A60="","",IF(Companies!R51&lt;&gt;1,"Outside cap/scope universe",IF(D60="","Set business cohort",IF(COUNTIFS('Profitability inputs'!$A$6:$A$205,A60,'Profitability inputs'!$C$6:$C$205,"TTM")=0,"Add TTM financials",IF(COUNTIFS('Profitability inputs'!$A$6:$A$205,A60,'Profitability inputs'!$C$6:$C$205,"TTM")&lt;&gt;1,"Duplicate TTM records",IF(X60&lt;&gt;1,"Check financial data/dates/profile",IF($B$9&lt;&gt;"Ready",$B$9,IF(M60&lt;$B$6,"Too few same-cohort companies","Ready"))))))))</f>
        <v/>
      </c>
      <c r="W60" s="14" t="str">
        <f t="shared" si="8"/>
        <v/>
      </c>
      <c r="X60" s="14" t="str">
        <f>IFERROR(__xludf.DUMMYFUNCTION("IF(A60="""","""",IFERROR(IF(AND(Companies!R51=1,ISNUMBER(C60),C60&gt;=$B$5,D60&lt;&gt;"""",COUNTIFS('Profitability inputs'!$A$6:$A$205,A60,'Profitability inputs'!$C$6:$C$205,""TTM"")=1,COUNTIFS('Profitability inputs'!$A$6:$A$205,A60,'Profitability inputs'!$C$6:$C$"&amp;"205,""TTM"",'Profitability inputs'!$AD$6:$AD$205,1)=1,ISNUMBER(F60),F60&lt;=Rules!$B$6,Rules!$B$6-F60&lt;=Rules!$B$11,NOT(REGEXMATCH(LOWER(Companies!D51&amp;"" ""&amp;Companies!E51),""financial|bank|insurance|reit|real estate""))),1,0),0))"),"")</f>
        <v/>
      </c>
      <c r="Y60" s="81" t="str">
        <f t="shared" si="9"/>
        <v/>
      </c>
      <c r="Z60" s="81" t="str">
        <f t="shared" si="10"/>
        <v/>
      </c>
      <c r="AA60" s="14" t="str">
        <f>IF(A60="","",COUNTIFS('Profitability inputs'!$A$6:$A$205,A60,'Profitability inputs'!$AN$6:$AN$205,1))</f>
        <v/>
      </c>
      <c r="AB60" s="14" t="str">
        <f>IFERROR(__xludf.DUMMYFUNCTION("IF(A60="""","""",IFNA(INDEX(FILTER('Profitability inputs'!$AA$6:$AA$205,'Profitability inputs'!$A$6:$A$205=A60,'Profitability inputs'!$C$6:$C$205=""TTM"",'Profitability inputs'!$AD$6:$AD$205=1),1),""n.a.""))"),"")</f>
        <v/>
      </c>
    </row>
    <row r="61" ht="31.5" customHeight="1">
      <c r="A61" s="14" t="str">
        <f>IF(Companies!A52="","",Companies!A52)</f>
        <v/>
      </c>
      <c r="B61" s="14" t="str">
        <f>IF(A61="","",Companies!C52)</f>
        <v/>
      </c>
      <c r="C61" s="14" t="str">
        <f>IF(A61="","",IF(ISNUMBER(Companies!I52),Companies!I52,"n.a."))</f>
        <v/>
      </c>
      <c r="D61" s="79"/>
      <c r="E61" s="14" t="str">
        <f>IFERROR(__xludf.DUMMYFUNCTION("IF(A61="""","""",IFNA(INDEX(FILTER('Profitability inputs'!$G$6:$G$205,'Profitability inputs'!$A$6:$A$205=A61,'Profitability inputs'!$C$6:$C$205=""TTM"",'Profitability inputs'!$AD$6:$AD$205=1),1),""n.a.""))"),"")</f>
        <v/>
      </c>
      <c r="F61" s="20" t="str">
        <f>IFERROR(__xludf.DUMMYFUNCTION("IF(A61="""","""",IFNA(INDEX(FILTER('Profitability inputs'!$D$6:$D$205,'Profitability inputs'!$A$6:$A$205=A61,'Profitability inputs'!$C$6:$C$205=""TTM"",'Profitability inputs'!$AD$6:$AD$205=1),1),""n.a.""))"),"")</f>
        <v/>
      </c>
      <c r="G61" s="80" t="str">
        <f>IFERROR(__xludf.DUMMYFUNCTION("IF(A61="""","""",IFNA(INDEX(FILTER('Profitability inputs'!$AG$6:$AG$205,'Profitability inputs'!$A$6:$A$205=A61,'Profitability inputs'!$C$6:$C$205=""TTM"",'Profitability inputs'!$AD$6:$AD$205=1),1),""n.a.""))"),"")</f>
        <v/>
      </c>
      <c r="H61" s="80" t="str">
        <f>IFERROR(__xludf.DUMMYFUNCTION("IF(A61="""","""",IFNA(INDEX(FILTER('Profitability inputs'!$AH$6:$AH$205,'Profitability inputs'!$A$6:$A$205=A61,'Profitability inputs'!$C$6:$C$205=""TTM"",'Profitability inputs'!$AD$6:$AD$205=1),1),""n.a.""))"),"")</f>
        <v/>
      </c>
      <c r="I61" s="81" t="str">
        <f t="shared" si="1"/>
        <v/>
      </c>
      <c r="J61" s="81" t="str">
        <f t="shared" si="2"/>
        <v/>
      </c>
      <c r="K61" s="81" t="str">
        <f t="shared" si="3"/>
        <v/>
      </c>
      <c r="L61" s="14" t="str">
        <f t="shared" si="4"/>
        <v/>
      </c>
      <c r="M61" s="14" t="str">
        <f t="shared" si="5"/>
        <v/>
      </c>
      <c r="N61" s="80" t="str">
        <f>IFERROR(__xludf.DUMMYFUNCTION("IF(A61="""","""",IFNA(INDEX(FILTER('Profitability inputs'!$AI$6:$AI$205,'Profitability inputs'!$A$6:$A$205=A61,'Profitability inputs'!$C$6:$C$205=""TTM"",'Profitability inputs'!$AD$6:$AD$205=1),1),""n.a.""))"),"")</f>
        <v/>
      </c>
      <c r="O61" s="82" t="str">
        <f>IFERROR(__xludf.DUMMYFUNCTION("IF(A61="""","""",IF(AA61&lt;&gt;3,""n.a."",IF(OR(COUNT(FILTER('Profitability inputs'!$V$6:$V$205,'Profitability inputs'!$A$6:$A$205=A61,'Profitability inputs'!$AN$6:$AN$205=1))&lt;&gt;3,COUNT(FILTER('Profitability inputs'!$W$6:$W$205,'Profitability inputs'!$A$6:$A$20"&amp;"5=A61,'Profitability inputs'!$AN$6:$AN$205=1))&lt;&gt;3,SUMIFS('Profitability inputs'!$W$6:$W$205,'Profitability inputs'!$A$6:$A$205,A61,'Profitability inputs'!$AN$6:$AN$205,1)&lt;=0),""n.a."",SUMIFS('Profitability inputs'!$V$6:$V$205,'Profitability inputs'!$A$6:$"&amp;"A$205,A61,'Profitability inputs'!$AN$6:$AN$205,1)/SUMIFS('Profitability inputs'!$W$6:$W$205,'Profitability inputs'!$A$6:$A$205,A61,'Profitability inputs'!$AN$6:$AN$205,1))))"),"")</f>
        <v/>
      </c>
      <c r="P61" s="80" t="str">
        <f>IFERROR(__xludf.DUMMYFUNCTION("IF(A61="""","""",IF(AA61&lt;&gt;3,""n.a."",MEDIAN(FILTER('Profitability inputs'!$AG$6:$AG$205,'Profitability inputs'!$A$6:$A$205=A61,'Profitability inputs'!$AN$6:$AN$205=1))))"),"")</f>
        <v/>
      </c>
      <c r="Q61" s="80" t="str">
        <f>IFERROR(__xludf.DUMMYFUNCTION("IF(A61="""","""",IF(AA61&lt;&gt;3,""n.a."",MEDIAN(FILTER('Profitability inputs'!$AH$6:$AH$205,'Profitability inputs'!$A$6:$A$205=A61,'Profitability inputs'!$AN$6:$AN$205=1))))"),"")</f>
        <v/>
      </c>
      <c r="R61" s="83" t="str">
        <f t="shared" si="6"/>
        <v/>
      </c>
      <c r="S61" s="83" t="str">
        <f t="shared" si="7"/>
        <v/>
      </c>
      <c r="T61" s="80" t="str">
        <f>IFERROR(__xludf.DUMMYFUNCTION("IF(A61="""","""",IFNA(INDEX(FILTER('Profitability inputs'!$AJ$6:$AJ$205,'Profitability inputs'!$A$6:$A$205=A61,'Profitability inputs'!$C$6:$C$205=""TTM"",'Profitability inputs'!$AD$6:$AD$205=1),1),""n.a.""))"),"")</f>
        <v/>
      </c>
      <c r="U61" s="80" t="str">
        <f>IFERROR(__xludf.DUMMYFUNCTION("IF(A61="""","""",IFNA(INDEX(FILTER('Profitability inputs'!$AK$6:$AK$205,'Profitability inputs'!$A$6:$A$205=A61,'Profitability inputs'!$C$6:$C$205=""TTM"",'Profitability inputs'!$AD$6:$AD$205=1),1),""n.a.""))"),"")</f>
        <v/>
      </c>
      <c r="V61" s="14" t="str">
        <f>IF(A61="","",IF(Companies!R52&lt;&gt;1,"Outside cap/scope universe",IF(D61="","Set business cohort",IF(COUNTIFS('Profitability inputs'!$A$6:$A$205,A61,'Profitability inputs'!$C$6:$C$205,"TTM")=0,"Add TTM financials",IF(COUNTIFS('Profitability inputs'!$A$6:$A$205,A61,'Profitability inputs'!$C$6:$C$205,"TTM")&lt;&gt;1,"Duplicate TTM records",IF(X61&lt;&gt;1,"Check financial data/dates/profile",IF($B$9&lt;&gt;"Ready",$B$9,IF(M61&lt;$B$6,"Too few same-cohort companies","Ready"))))))))</f>
        <v/>
      </c>
      <c r="W61" s="14" t="str">
        <f t="shared" si="8"/>
        <v/>
      </c>
      <c r="X61" s="14" t="str">
        <f>IFERROR(__xludf.DUMMYFUNCTION("IF(A61="""","""",IFERROR(IF(AND(Companies!R52=1,ISNUMBER(C61),C61&gt;=$B$5,D61&lt;&gt;"""",COUNTIFS('Profitability inputs'!$A$6:$A$205,A61,'Profitability inputs'!$C$6:$C$205,""TTM"")=1,COUNTIFS('Profitability inputs'!$A$6:$A$205,A61,'Profitability inputs'!$C$6:$C$"&amp;"205,""TTM"",'Profitability inputs'!$AD$6:$AD$205,1)=1,ISNUMBER(F61),F61&lt;=Rules!$B$6,Rules!$B$6-F61&lt;=Rules!$B$11,NOT(REGEXMATCH(LOWER(Companies!D52&amp;"" ""&amp;Companies!E52),""financial|bank|insurance|reit|real estate""))),1,0),0))"),"")</f>
        <v/>
      </c>
      <c r="Y61" s="81" t="str">
        <f t="shared" si="9"/>
        <v/>
      </c>
      <c r="Z61" s="81" t="str">
        <f t="shared" si="10"/>
        <v/>
      </c>
      <c r="AA61" s="14" t="str">
        <f>IF(A61="","",COUNTIFS('Profitability inputs'!$A$6:$A$205,A61,'Profitability inputs'!$AN$6:$AN$205,1))</f>
        <v/>
      </c>
      <c r="AB61" s="14" t="str">
        <f>IFERROR(__xludf.DUMMYFUNCTION("IF(A61="""","""",IFNA(INDEX(FILTER('Profitability inputs'!$AA$6:$AA$205,'Profitability inputs'!$A$6:$A$205=A61,'Profitability inputs'!$C$6:$C$205=""TTM"",'Profitability inputs'!$AD$6:$AD$205=1),1),""n.a.""))"),"")</f>
        <v/>
      </c>
    </row>
    <row r="62" ht="31.5" customHeight="1">
      <c r="A62" s="14" t="str">
        <f>IF(Companies!A53="","",Companies!A53)</f>
        <v/>
      </c>
      <c r="B62" s="14" t="str">
        <f>IF(A62="","",Companies!C53)</f>
        <v/>
      </c>
      <c r="C62" s="14" t="str">
        <f>IF(A62="","",IF(ISNUMBER(Companies!I53),Companies!I53,"n.a."))</f>
        <v/>
      </c>
      <c r="D62" s="79"/>
      <c r="E62" s="14" t="str">
        <f>IFERROR(__xludf.DUMMYFUNCTION("IF(A62="""","""",IFNA(INDEX(FILTER('Profitability inputs'!$G$6:$G$205,'Profitability inputs'!$A$6:$A$205=A62,'Profitability inputs'!$C$6:$C$205=""TTM"",'Profitability inputs'!$AD$6:$AD$205=1),1),""n.a.""))"),"")</f>
        <v/>
      </c>
      <c r="F62" s="20" t="str">
        <f>IFERROR(__xludf.DUMMYFUNCTION("IF(A62="""","""",IFNA(INDEX(FILTER('Profitability inputs'!$D$6:$D$205,'Profitability inputs'!$A$6:$A$205=A62,'Profitability inputs'!$C$6:$C$205=""TTM"",'Profitability inputs'!$AD$6:$AD$205=1),1),""n.a.""))"),"")</f>
        <v/>
      </c>
      <c r="G62" s="80" t="str">
        <f>IFERROR(__xludf.DUMMYFUNCTION("IF(A62="""","""",IFNA(INDEX(FILTER('Profitability inputs'!$AG$6:$AG$205,'Profitability inputs'!$A$6:$A$205=A62,'Profitability inputs'!$C$6:$C$205=""TTM"",'Profitability inputs'!$AD$6:$AD$205=1),1),""n.a.""))"),"")</f>
        <v/>
      </c>
      <c r="H62" s="80" t="str">
        <f>IFERROR(__xludf.DUMMYFUNCTION("IF(A62="""","""",IFNA(INDEX(FILTER('Profitability inputs'!$AH$6:$AH$205,'Profitability inputs'!$A$6:$A$205=A62,'Profitability inputs'!$C$6:$C$205=""TTM"",'Profitability inputs'!$AD$6:$AD$205=1),1),""n.a.""))"),"")</f>
        <v/>
      </c>
      <c r="I62" s="81" t="str">
        <f t="shared" si="1"/>
        <v/>
      </c>
      <c r="J62" s="81" t="str">
        <f t="shared" si="2"/>
        <v/>
      </c>
      <c r="K62" s="81" t="str">
        <f t="shared" si="3"/>
        <v/>
      </c>
      <c r="L62" s="14" t="str">
        <f t="shared" si="4"/>
        <v/>
      </c>
      <c r="M62" s="14" t="str">
        <f t="shared" si="5"/>
        <v/>
      </c>
      <c r="N62" s="80" t="str">
        <f>IFERROR(__xludf.DUMMYFUNCTION("IF(A62="""","""",IFNA(INDEX(FILTER('Profitability inputs'!$AI$6:$AI$205,'Profitability inputs'!$A$6:$A$205=A62,'Profitability inputs'!$C$6:$C$205=""TTM"",'Profitability inputs'!$AD$6:$AD$205=1),1),""n.a.""))"),"")</f>
        <v/>
      </c>
      <c r="O62" s="82" t="str">
        <f>IFERROR(__xludf.DUMMYFUNCTION("IF(A62="""","""",IF(AA62&lt;&gt;3,""n.a."",IF(OR(COUNT(FILTER('Profitability inputs'!$V$6:$V$205,'Profitability inputs'!$A$6:$A$205=A62,'Profitability inputs'!$AN$6:$AN$205=1))&lt;&gt;3,COUNT(FILTER('Profitability inputs'!$W$6:$W$205,'Profitability inputs'!$A$6:$A$20"&amp;"5=A62,'Profitability inputs'!$AN$6:$AN$205=1))&lt;&gt;3,SUMIFS('Profitability inputs'!$W$6:$W$205,'Profitability inputs'!$A$6:$A$205,A62,'Profitability inputs'!$AN$6:$AN$205,1)&lt;=0),""n.a."",SUMIFS('Profitability inputs'!$V$6:$V$205,'Profitability inputs'!$A$6:$"&amp;"A$205,A62,'Profitability inputs'!$AN$6:$AN$205,1)/SUMIFS('Profitability inputs'!$W$6:$W$205,'Profitability inputs'!$A$6:$A$205,A62,'Profitability inputs'!$AN$6:$AN$205,1))))"),"")</f>
        <v/>
      </c>
      <c r="P62" s="80" t="str">
        <f>IFERROR(__xludf.DUMMYFUNCTION("IF(A62="""","""",IF(AA62&lt;&gt;3,""n.a."",MEDIAN(FILTER('Profitability inputs'!$AG$6:$AG$205,'Profitability inputs'!$A$6:$A$205=A62,'Profitability inputs'!$AN$6:$AN$205=1))))"),"")</f>
        <v/>
      </c>
      <c r="Q62" s="80" t="str">
        <f>IFERROR(__xludf.DUMMYFUNCTION("IF(A62="""","""",IF(AA62&lt;&gt;3,""n.a."",MEDIAN(FILTER('Profitability inputs'!$AH$6:$AH$205,'Profitability inputs'!$A$6:$A$205=A62,'Profitability inputs'!$AN$6:$AN$205=1))))"),"")</f>
        <v/>
      </c>
      <c r="R62" s="83" t="str">
        <f t="shared" si="6"/>
        <v/>
      </c>
      <c r="S62" s="83" t="str">
        <f t="shared" si="7"/>
        <v/>
      </c>
      <c r="T62" s="80" t="str">
        <f>IFERROR(__xludf.DUMMYFUNCTION("IF(A62="""","""",IFNA(INDEX(FILTER('Profitability inputs'!$AJ$6:$AJ$205,'Profitability inputs'!$A$6:$A$205=A62,'Profitability inputs'!$C$6:$C$205=""TTM"",'Profitability inputs'!$AD$6:$AD$205=1),1),""n.a.""))"),"")</f>
        <v/>
      </c>
      <c r="U62" s="80" t="str">
        <f>IFERROR(__xludf.DUMMYFUNCTION("IF(A62="""","""",IFNA(INDEX(FILTER('Profitability inputs'!$AK$6:$AK$205,'Profitability inputs'!$A$6:$A$205=A62,'Profitability inputs'!$C$6:$C$205=""TTM"",'Profitability inputs'!$AD$6:$AD$205=1),1),""n.a.""))"),"")</f>
        <v/>
      </c>
      <c r="V62" s="14" t="str">
        <f>IF(A62="","",IF(Companies!R53&lt;&gt;1,"Outside cap/scope universe",IF(D62="","Set business cohort",IF(COUNTIFS('Profitability inputs'!$A$6:$A$205,A62,'Profitability inputs'!$C$6:$C$205,"TTM")=0,"Add TTM financials",IF(COUNTIFS('Profitability inputs'!$A$6:$A$205,A62,'Profitability inputs'!$C$6:$C$205,"TTM")&lt;&gt;1,"Duplicate TTM records",IF(X62&lt;&gt;1,"Check financial data/dates/profile",IF($B$9&lt;&gt;"Ready",$B$9,IF(M62&lt;$B$6,"Too few same-cohort companies","Ready"))))))))</f>
        <v/>
      </c>
      <c r="W62" s="14" t="str">
        <f t="shared" si="8"/>
        <v/>
      </c>
      <c r="X62" s="14" t="str">
        <f>IFERROR(__xludf.DUMMYFUNCTION("IF(A62="""","""",IFERROR(IF(AND(Companies!R53=1,ISNUMBER(C62),C62&gt;=$B$5,D62&lt;&gt;"""",COUNTIFS('Profitability inputs'!$A$6:$A$205,A62,'Profitability inputs'!$C$6:$C$205,""TTM"")=1,COUNTIFS('Profitability inputs'!$A$6:$A$205,A62,'Profitability inputs'!$C$6:$C$"&amp;"205,""TTM"",'Profitability inputs'!$AD$6:$AD$205,1)=1,ISNUMBER(F62),F62&lt;=Rules!$B$6,Rules!$B$6-F62&lt;=Rules!$B$11,NOT(REGEXMATCH(LOWER(Companies!D53&amp;"" ""&amp;Companies!E53),""financial|bank|insurance|reit|real estate""))),1,0),0))"),"")</f>
        <v/>
      </c>
      <c r="Y62" s="81" t="str">
        <f t="shared" si="9"/>
        <v/>
      </c>
      <c r="Z62" s="81" t="str">
        <f t="shared" si="10"/>
        <v/>
      </c>
      <c r="AA62" s="14" t="str">
        <f>IF(A62="","",COUNTIFS('Profitability inputs'!$A$6:$A$205,A62,'Profitability inputs'!$AN$6:$AN$205,1))</f>
        <v/>
      </c>
      <c r="AB62" s="14" t="str">
        <f>IFERROR(__xludf.DUMMYFUNCTION("IF(A62="""","""",IFNA(INDEX(FILTER('Profitability inputs'!$AA$6:$AA$205,'Profitability inputs'!$A$6:$A$205=A62,'Profitability inputs'!$C$6:$C$205=""TTM"",'Profitability inputs'!$AD$6:$AD$205=1),1),""n.a.""))"),"")</f>
        <v/>
      </c>
    </row>
    <row r="63" ht="31.5" customHeight="1">
      <c r="A63" s="14" t="str">
        <f>IF(Companies!A54="","",Companies!A54)</f>
        <v/>
      </c>
      <c r="B63" s="14" t="str">
        <f>IF(A63="","",Companies!C54)</f>
        <v/>
      </c>
      <c r="C63" s="14" t="str">
        <f>IF(A63="","",IF(ISNUMBER(Companies!I54),Companies!I54,"n.a."))</f>
        <v/>
      </c>
      <c r="D63" s="79"/>
      <c r="E63" s="14" t="str">
        <f>IFERROR(__xludf.DUMMYFUNCTION("IF(A63="""","""",IFNA(INDEX(FILTER('Profitability inputs'!$G$6:$G$205,'Profitability inputs'!$A$6:$A$205=A63,'Profitability inputs'!$C$6:$C$205=""TTM"",'Profitability inputs'!$AD$6:$AD$205=1),1),""n.a.""))"),"")</f>
        <v/>
      </c>
      <c r="F63" s="20" t="str">
        <f>IFERROR(__xludf.DUMMYFUNCTION("IF(A63="""","""",IFNA(INDEX(FILTER('Profitability inputs'!$D$6:$D$205,'Profitability inputs'!$A$6:$A$205=A63,'Profitability inputs'!$C$6:$C$205=""TTM"",'Profitability inputs'!$AD$6:$AD$205=1),1),""n.a.""))"),"")</f>
        <v/>
      </c>
      <c r="G63" s="80" t="str">
        <f>IFERROR(__xludf.DUMMYFUNCTION("IF(A63="""","""",IFNA(INDEX(FILTER('Profitability inputs'!$AG$6:$AG$205,'Profitability inputs'!$A$6:$A$205=A63,'Profitability inputs'!$C$6:$C$205=""TTM"",'Profitability inputs'!$AD$6:$AD$205=1),1),""n.a.""))"),"")</f>
        <v/>
      </c>
      <c r="H63" s="80" t="str">
        <f>IFERROR(__xludf.DUMMYFUNCTION("IF(A63="""","""",IFNA(INDEX(FILTER('Profitability inputs'!$AH$6:$AH$205,'Profitability inputs'!$A$6:$A$205=A63,'Profitability inputs'!$C$6:$C$205=""TTM"",'Profitability inputs'!$AD$6:$AD$205=1),1),""n.a.""))"),"")</f>
        <v/>
      </c>
      <c r="I63" s="81" t="str">
        <f t="shared" si="1"/>
        <v/>
      </c>
      <c r="J63" s="81" t="str">
        <f t="shared" si="2"/>
        <v/>
      </c>
      <c r="K63" s="81" t="str">
        <f t="shared" si="3"/>
        <v/>
      </c>
      <c r="L63" s="14" t="str">
        <f t="shared" si="4"/>
        <v/>
      </c>
      <c r="M63" s="14" t="str">
        <f t="shared" si="5"/>
        <v/>
      </c>
      <c r="N63" s="80" t="str">
        <f>IFERROR(__xludf.DUMMYFUNCTION("IF(A63="""","""",IFNA(INDEX(FILTER('Profitability inputs'!$AI$6:$AI$205,'Profitability inputs'!$A$6:$A$205=A63,'Profitability inputs'!$C$6:$C$205=""TTM"",'Profitability inputs'!$AD$6:$AD$205=1),1),""n.a.""))"),"")</f>
        <v/>
      </c>
      <c r="O63" s="82" t="str">
        <f>IFERROR(__xludf.DUMMYFUNCTION("IF(A63="""","""",IF(AA63&lt;&gt;3,""n.a."",IF(OR(COUNT(FILTER('Profitability inputs'!$V$6:$V$205,'Profitability inputs'!$A$6:$A$205=A63,'Profitability inputs'!$AN$6:$AN$205=1))&lt;&gt;3,COUNT(FILTER('Profitability inputs'!$W$6:$W$205,'Profitability inputs'!$A$6:$A$20"&amp;"5=A63,'Profitability inputs'!$AN$6:$AN$205=1))&lt;&gt;3,SUMIFS('Profitability inputs'!$W$6:$W$205,'Profitability inputs'!$A$6:$A$205,A63,'Profitability inputs'!$AN$6:$AN$205,1)&lt;=0),""n.a."",SUMIFS('Profitability inputs'!$V$6:$V$205,'Profitability inputs'!$A$6:$"&amp;"A$205,A63,'Profitability inputs'!$AN$6:$AN$205,1)/SUMIFS('Profitability inputs'!$W$6:$W$205,'Profitability inputs'!$A$6:$A$205,A63,'Profitability inputs'!$AN$6:$AN$205,1))))"),"")</f>
        <v/>
      </c>
      <c r="P63" s="80" t="str">
        <f>IFERROR(__xludf.DUMMYFUNCTION("IF(A63="""","""",IF(AA63&lt;&gt;3,""n.a."",MEDIAN(FILTER('Profitability inputs'!$AG$6:$AG$205,'Profitability inputs'!$A$6:$A$205=A63,'Profitability inputs'!$AN$6:$AN$205=1))))"),"")</f>
        <v/>
      </c>
      <c r="Q63" s="80" t="str">
        <f>IFERROR(__xludf.DUMMYFUNCTION("IF(A63="""","""",IF(AA63&lt;&gt;3,""n.a."",MEDIAN(FILTER('Profitability inputs'!$AH$6:$AH$205,'Profitability inputs'!$A$6:$A$205=A63,'Profitability inputs'!$AN$6:$AN$205=1))))"),"")</f>
        <v/>
      </c>
      <c r="R63" s="83" t="str">
        <f t="shared" si="6"/>
        <v/>
      </c>
      <c r="S63" s="83" t="str">
        <f t="shared" si="7"/>
        <v/>
      </c>
      <c r="T63" s="80" t="str">
        <f>IFERROR(__xludf.DUMMYFUNCTION("IF(A63="""","""",IFNA(INDEX(FILTER('Profitability inputs'!$AJ$6:$AJ$205,'Profitability inputs'!$A$6:$A$205=A63,'Profitability inputs'!$C$6:$C$205=""TTM"",'Profitability inputs'!$AD$6:$AD$205=1),1),""n.a.""))"),"")</f>
        <v/>
      </c>
      <c r="U63" s="80" t="str">
        <f>IFERROR(__xludf.DUMMYFUNCTION("IF(A63="""","""",IFNA(INDEX(FILTER('Profitability inputs'!$AK$6:$AK$205,'Profitability inputs'!$A$6:$A$205=A63,'Profitability inputs'!$C$6:$C$205=""TTM"",'Profitability inputs'!$AD$6:$AD$205=1),1),""n.a.""))"),"")</f>
        <v/>
      </c>
      <c r="V63" s="14" t="str">
        <f>IF(A63="","",IF(Companies!R54&lt;&gt;1,"Outside cap/scope universe",IF(D63="","Set business cohort",IF(COUNTIFS('Profitability inputs'!$A$6:$A$205,A63,'Profitability inputs'!$C$6:$C$205,"TTM")=0,"Add TTM financials",IF(COUNTIFS('Profitability inputs'!$A$6:$A$205,A63,'Profitability inputs'!$C$6:$C$205,"TTM")&lt;&gt;1,"Duplicate TTM records",IF(X63&lt;&gt;1,"Check financial data/dates/profile",IF($B$9&lt;&gt;"Ready",$B$9,IF(M63&lt;$B$6,"Too few same-cohort companies","Ready"))))))))</f>
        <v/>
      </c>
      <c r="W63" s="14" t="str">
        <f t="shared" si="8"/>
        <v/>
      </c>
      <c r="X63" s="14" t="str">
        <f>IFERROR(__xludf.DUMMYFUNCTION("IF(A63="""","""",IFERROR(IF(AND(Companies!R54=1,ISNUMBER(C63),C63&gt;=$B$5,D63&lt;&gt;"""",COUNTIFS('Profitability inputs'!$A$6:$A$205,A63,'Profitability inputs'!$C$6:$C$205,""TTM"")=1,COUNTIFS('Profitability inputs'!$A$6:$A$205,A63,'Profitability inputs'!$C$6:$C$"&amp;"205,""TTM"",'Profitability inputs'!$AD$6:$AD$205,1)=1,ISNUMBER(F63),F63&lt;=Rules!$B$6,Rules!$B$6-F63&lt;=Rules!$B$11,NOT(REGEXMATCH(LOWER(Companies!D54&amp;"" ""&amp;Companies!E54),""financial|bank|insurance|reit|real estate""))),1,0),0))"),"")</f>
        <v/>
      </c>
      <c r="Y63" s="81" t="str">
        <f t="shared" si="9"/>
        <v/>
      </c>
      <c r="Z63" s="81" t="str">
        <f t="shared" si="10"/>
        <v/>
      </c>
      <c r="AA63" s="14" t="str">
        <f>IF(A63="","",COUNTIFS('Profitability inputs'!$A$6:$A$205,A63,'Profitability inputs'!$AN$6:$AN$205,1))</f>
        <v/>
      </c>
      <c r="AB63" s="14" t="str">
        <f>IFERROR(__xludf.DUMMYFUNCTION("IF(A63="""","""",IFNA(INDEX(FILTER('Profitability inputs'!$AA$6:$AA$205,'Profitability inputs'!$A$6:$A$205=A63,'Profitability inputs'!$C$6:$C$205=""TTM"",'Profitability inputs'!$AD$6:$AD$205=1),1),""n.a.""))"),"")</f>
        <v/>
      </c>
    </row>
    <row r="64" ht="31.5" customHeight="1">
      <c r="A64" s="14" t="str">
        <f>IF(Companies!A55="","",Companies!A55)</f>
        <v/>
      </c>
      <c r="B64" s="14" t="str">
        <f>IF(A64="","",Companies!C55)</f>
        <v/>
      </c>
      <c r="C64" s="14" t="str">
        <f>IF(A64="","",IF(ISNUMBER(Companies!I55),Companies!I55,"n.a."))</f>
        <v/>
      </c>
      <c r="D64" s="79"/>
      <c r="E64" s="14" t="str">
        <f>IFERROR(__xludf.DUMMYFUNCTION("IF(A64="""","""",IFNA(INDEX(FILTER('Profitability inputs'!$G$6:$G$205,'Profitability inputs'!$A$6:$A$205=A64,'Profitability inputs'!$C$6:$C$205=""TTM"",'Profitability inputs'!$AD$6:$AD$205=1),1),""n.a.""))"),"")</f>
        <v/>
      </c>
      <c r="F64" s="20" t="str">
        <f>IFERROR(__xludf.DUMMYFUNCTION("IF(A64="""","""",IFNA(INDEX(FILTER('Profitability inputs'!$D$6:$D$205,'Profitability inputs'!$A$6:$A$205=A64,'Profitability inputs'!$C$6:$C$205=""TTM"",'Profitability inputs'!$AD$6:$AD$205=1),1),""n.a.""))"),"")</f>
        <v/>
      </c>
      <c r="G64" s="80" t="str">
        <f>IFERROR(__xludf.DUMMYFUNCTION("IF(A64="""","""",IFNA(INDEX(FILTER('Profitability inputs'!$AG$6:$AG$205,'Profitability inputs'!$A$6:$A$205=A64,'Profitability inputs'!$C$6:$C$205=""TTM"",'Profitability inputs'!$AD$6:$AD$205=1),1),""n.a.""))"),"")</f>
        <v/>
      </c>
      <c r="H64" s="80" t="str">
        <f>IFERROR(__xludf.DUMMYFUNCTION("IF(A64="""","""",IFNA(INDEX(FILTER('Profitability inputs'!$AH$6:$AH$205,'Profitability inputs'!$A$6:$A$205=A64,'Profitability inputs'!$C$6:$C$205=""TTM"",'Profitability inputs'!$AD$6:$AD$205=1),1),""n.a.""))"),"")</f>
        <v/>
      </c>
      <c r="I64" s="81" t="str">
        <f t="shared" si="1"/>
        <v/>
      </c>
      <c r="J64" s="81" t="str">
        <f t="shared" si="2"/>
        <v/>
      </c>
      <c r="K64" s="81" t="str">
        <f t="shared" si="3"/>
        <v/>
      </c>
      <c r="L64" s="14" t="str">
        <f t="shared" si="4"/>
        <v/>
      </c>
      <c r="M64" s="14" t="str">
        <f t="shared" si="5"/>
        <v/>
      </c>
      <c r="N64" s="80" t="str">
        <f>IFERROR(__xludf.DUMMYFUNCTION("IF(A64="""","""",IFNA(INDEX(FILTER('Profitability inputs'!$AI$6:$AI$205,'Profitability inputs'!$A$6:$A$205=A64,'Profitability inputs'!$C$6:$C$205=""TTM"",'Profitability inputs'!$AD$6:$AD$205=1),1),""n.a.""))"),"")</f>
        <v/>
      </c>
      <c r="O64" s="82" t="str">
        <f>IFERROR(__xludf.DUMMYFUNCTION("IF(A64="""","""",IF(AA64&lt;&gt;3,""n.a."",IF(OR(COUNT(FILTER('Profitability inputs'!$V$6:$V$205,'Profitability inputs'!$A$6:$A$205=A64,'Profitability inputs'!$AN$6:$AN$205=1))&lt;&gt;3,COUNT(FILTER('Profitability inputs'!$W$6:$W$205,'Profitability inputs'!$A$6:$A$20"&amp;"5=A64,'Profitability inputs'!$AN$6:$AN$205=1))&lt;&gt;3,SUMIFS('Profitability inputs'!$W$6:$W$205,'Profitability inputs'!$A$6:$A$205,A64,'Profitability inputs'!$AN$6:$AN$205,1)&lt;=0),""n.a."",SUMIFS('Profitability inputs'!$V$6:$V$205,'Profitability inputs'!$A$6:$"&amp;"A$205,A64,'Profitability inputs'!$AN$6:$AN$205,1)/SUMIFS('Profitability inputs'!$W$6:$W$205,'Profitability inputs'!$A$6:$A$205,A64,'Profitability inputs'!$AN$6:$AN$205,1))))"),"")</f>
        <v/>
      </c>
      <c r="P64" s="80" t="str">
        <f>IFERROR(__xludf.DUMMYFUNCTION("IF(A64="""","""",IF(AA64&lt;&gt;3,""n.a."",MEDIAN(FILTER('Profitability inputs'!$AG$6:$AG$205,'Profitability inputs'!$A$6:$A$205=A64,'Profitability inputs'!$AN$6:$AN$205=1))))"),"")</f>
        <v/>
      </c>
      <c r="Q64" s="80" t="str">
        <f>IFERROR(__xludf.DUMMYFUNCTION("IF(A64="""","""",IF(AA64&lt;&gt;3,""n.a."",MEDIAN(FILTER('Profitability inputs'!$AH$6:$AH$205,'Profitability inputs'!$A$6:$A$205=A64,'Profitability inputs'!$AN$6:$AN$205=1))))"),"")</f>
        <v/>
      </c>
      <c r="R64" s="83" t="str">
        <f t="shared" si="6"/>
        <v/>
      </c>
      <c r="S64" s="83" t="str">
        <f t="shared" si="7"/>
        <v/>
      </c>
      <c r="T64" s="80" t="str">
        <f>IFERROR(__xludf.DUMMYFUNCTION("IF(A64="""","""",IFNA(INDEX(FILTER('Profitability inputs'!$AJ$6:$AJ$205,'Profitability inputs'!$A$6:$A$205=A64,'Profitability inputs'!$C$6:$C$205=""TTM"",'Profitability inputs'!$AD$6:$AD$205=1),1),""n.a.""))"),"")</f>
        <v/>
      </c>
      <c r="U64" s="80" t="str">
        <f>IFERROR(__xludf.DUMMYFUNCTION("IF(A64="""","""",IFNA(INDEX(FILTER('Profitability inputs'!$AK$6:$AK$205,'Profitability inputs'!$A$6:$A$205=A64,'Profitability inputs'!$C$6:$C$205=""TTM"",'Profitability inputs'!$AD$6:$AD$205=1),1),""n.a.""))"),"")</f>
        <v/>
      </c>
      <c r="V64" s="14" t="str">
        <f>IF(A64="","",IF(Companies!R55&lt;&gt;1,"Outside cap/scope universe",IF(D64="","Set business cohort",IF(COUNTIFS('Profitability inputs'!$A$6:$A$205,A64,'Profitability inputs'!$C$6:$C$205,"TTM")=0,"Add TTM financials",IF(COUNTIFS('Profitability inputs'!$A$6:$A$205,A64,'Profitability inputs'!$C$6:$C$205,"TTM")&lt;&gt;1,"Duplicate TTM records",IF(X64&lt;&gt;1,"Check financial data/dates/profile",IF($B$9&lt;&gt;"Ready",$B$9,IF(M64&lt;$B$6,"Too few same-cohort companies","Ready"))))))))</f>
        <v/>
      </c>
      <c r="W64" s="14" t="str">
        <f t="shared" si="8"/>
        <v/>
      </c>
      <c r="X64" s="14" t="str">
        <f>IFERROR(__xludf.DUMMYFUNCTION("IF(A64="""","""",IFERROR(IF(AND(Companies!R55=1,ISNUMBER(C64),C64&gt;=$B$5,D64&lt;&gt;"""",COUNTIFS('Profitability inputs'!$A$6:$A$205,A64,'Profitability inputs'!$C$6:$C$205,""TTM"")=1,COUNTIFS('Profitability inputs'!$A$6:$A$205,A64,'Profitability inputs'!$C$6:$C$"&amp;"205,""TTM"",'Profitability inputs'!$AD$6:$AD$205,1)=1,ISNUMBER(F64),F64&lt;=Rules!$B$6,Rules!$B$6-F64&lt;=Rules!$B$11,NOT(REGEXMATCH(LOWER(Companies!D55&amp;"" ""&amp;Companies!E55),""financial|bank|insurance|reit|real estate""))),1,0),0))"),"")</f>
        <v/>
      </c>
      <c r="Y64" s="81" t="str">
        <f t="shared" si="9"/>
        <v/>
      </c>
      <c r="Z64" s="81" t="str">
        <f t="shared" si="10"/>
        <v/>
      </c>
      <c r="AA64" s="14" t="str">
        <f>IF(A64="","",COUNTIFS('Profitability inputs'!$A$6:$A$205,A64,'Profitability inputs'!$AN$6:$AN$205,1))</f>
        <v/>
      </c>
      <c r="AB64" s="14" t="str">
        <f>IFERROR(__xludf.DUMMYFUNCTION("IF(A64="""","""",IFNA(INDEX(FILTER('Profitability inputs'!$AA$6:$AA$205,'Profitability inputs'!$A$6:$A$205=A64,'Profitability inputs'!$C$6:$C$205=""TTM"",'Profitability inputs'!$AD$6:$AD$205=1),1),""n.a.""))"),"")</f>
        <v/>
      </c>
    </row>
  </sheetData>
  <mergeCells count="4">
    <mergeCell ref="C3:P3"/>
    <mergeCell ref="F9:M9"/>
    <mergeCell ref="F10:M10"/>
    <mergeCell ref="F11:M11"/>
  </mergeCells>
  <conditionalFormatting sqref="K15:K64">
    <cfRule type="colorScale" priority="1">
      <colorScale>
        <cfvo type="formula" val="0"/>
        <cfvo type="formula" val="50"/>
        <cfvo type="formula" val="100"/>
        <color rgb="FFFFE8E8"/>
        <color rgb="FFFFFFFF"/>
        <color rgb="FFDDF2E2"/>
      </colorScale>
    </cfRule>
  </conditionalFormatting>
  <dataValidations>
    <dataValidation type="decimal" allowBlank="1" showErrorMessage="1" sqref="G5:G6">
      <formula1>0.0</formula1>
      <formula2>1.0</formula2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23.25"/>
    <col customWidth="1" min="3" max="4" width="18.25"/>
    <col customWidth="1" min="5" max="5" width="19.0"/>
    <col customWidth="1" min="6" max="6" width="21.38"/>
    <col customWidth="1" min="7" max="7" width="18.25"/>
    <col customWidth="1" min="8" max="8" width="19.25"/>
    <col customWidth="1" min="9" max="9" width="18.25"/>
    <col customWidth="1" min="10" max="10" width="18.38"/>
    <col customWidth="1" min="11" max="11" width="20.63"/>
    <col customWidth="1" min="12" max="12" width="18.88"/>
    <col customWidth="1" min="13" max="13" width="20.88"/>
    <col customWidth="1" min="14" max="14" width="21.0"/>
    <col customWidth="1" min="15" max="16" width="18.25"/>
    <col customWidth="1" min="17" max="17" width="20.25"/>
    <col customWidth="1" min="18" max="18" width="19.63"/>
    <col customWidth="1" min="19" max="19" width="18.5"/>
    <col customWidth="1" min="20" max="21" width="20.63"/>
    <col customWidth="1" min="22" max="22" width="20.13"/>
    <col customWidth="1" min="23" max="23" width="21.5"/>
    <col customWidth="1" min="24" max="24" width="20.38"/>
    <col customWidth="1" min="25" max="25" width="18.75"/>
    <col customWidth="1" min="26" max="27" width="36.38"/>
    <col customWidth="1" min="28" max="30" width="18.25"/>
    <col customWidth="1" min="31" max="31" width="21.75"/>
    <col customWidth="1" min="32" max="32" width="20.63"/>
    <col customWidth="1" min="33" max="33" width="19.5"/>
    <col customWidth="1" min="34" max="34" width="21.38"/>
    <col customWidth="1" min="35" max="35" width="18.75"/>
    <col customWidth="1" min="36" max="36" width="19.25"/>
    <col customWidth="1" min="37" max="37" width="21.13"/>
    <col customWidth="1" min="38" max="40" width="18.25"/>
  </cols>
  <sheetData>
    <row r="2">
      <c r="A2" s="76" t="s">
        <v>918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>
      <c r="A3" s="14" t="s">
        <v>919</v>
      </c>
      <c r="B3" s="14"/>
      <c r="C3" s="12" t="s">
        <v>920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>
      <c r="A4" s="14" t="s">
        <v>921</v>
      </c>
      <c r="B4" s="14"/>
      <c r="C4" s="12" t="s">
        <v>922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ht="58.5" customHeight="1">
      <c r="A5" s="84" t="s">
        <v>139</v>
      </c>
      <c r="B5" s="84" t="s">
        <v>141</v>
      </c>
      <c r="C5" s="84" t="s">
        <v>923</v>
      </c>
      <c r="D5" s="84" t="s">
        <v>924</v>
      </c>
      <c r="E5" s="84" t="s">
        <v>925</v>
      </c>
      <c r="F5" s="84" t="s">
        <v>926</v>
      </c>
      <c r="G5" s="84" t="s">
        <v>895</v>
      </c>
      <c r="H5" s="84" t="s">
        <v>846</v>
      </c>
      <c r="I5" s="84" t="s">
        <v>927</v>
      </c>
      <c r="J5" s="84" t="s">
        <v>928</v>
      </c>
      <c r="K5" s="84" t="s">
        <v>929</v>
      </c>
      <c r="L5" s="84" t="s">
        <v>930</v>
      </c>
      <c r="M5" s="84" t="s">
        <v>931</v>
      </c>
      <c r="N5" s="84" t="s">
        <v>932</v>
      </c>
      <c r="O5" s="84" t="s">
        <v>933</v>
      </c>
      <c r="P5" s="84" t="s">
        <v>934</v>
      </c>
      <c r="Q5" s="84" t="s">
        <v>935</v>
      </c>
      <c r="R5" s="84" t="s">
        <v>936</v>
      </c>
      <c r="S5" s="84" t="s">
        <v>937</v>
      </c>
      <c r="T5" s="84" t="s">
        <v>938</v>
      </c>
      <c r="U5" s="84" t="s">
        <v>939</v>
      </c>
      <c r="V5" s="84" t="s">
        <v>940</v>
      </c>
      <c r="W5" s="84" t="s">
        <v>941</v>
      </c>
      <c r="X5" s="84" t="s">
        <v>942</v>
      </c>
      <c r="Y5" s="84" t="s">
        <v>943</v>
      </c>
      <c r="Z5" s="84" t="s">
        <v>845</v>
      </c>
      <c r="AA5" s="84" t="s">
        <v>917</v>
      </c>
      <c r="AB5" s="84" t="s">
        <v>851</v>
      </c>
      <c r="AC5" s="84" t="s">
        <v>944</v>
      </c>
      <c r="AD5" s="84" t="s">
        <v>945</v>
      </c>
      <c r="AE5" s="84" t="s">
        <v>946</v>
      </c>
      <c r="AF5" s="84" t="s">
        <v>947</v>
      </c>
      <c r="AG5" s="84" t="s">
        <v>897</v>
      </c>
      <c r="AH5" s="84" t="s">
        <v>898</v>
      </c>
      <c r="AI5" s="84" t="s">
        <v>904</v>
      </c>
      <c r="AJ5" s="84" t="s">
        <v>910</v>
      </c>
      <c r="AK5" s="84" t="s">
        <v>911</v>
      </c>
      <c r="AL5" s="84" t="s">
        <v>290</v>
      </c>
      <c r="AM5" s="84" t="s">
        <v>288</v>
      </c>
      <c r="AN5" s="84" t="s">
        <v>948</v>
      </c>
    </row>
    <row r="6" ht="31.5" customHeight="1">
      <c r="A6" s="85"/>
      <c r="B6" s="86" t="str">
        <f t="array" ref="B6">IF(A6="","",IF(AB6&lt;&gt;1,"Unmatched issuer",INDEX(Companies!$C$6:$C$55,MATCH(A6,Companies!$A$6:$A$55,0))))</f>
        <v/>
      </c>
      <c r="C6" s="87"/>
      <c r="D6" s="88"/>
      <c r="E6" s="88"/>
      <c r="F6" s="88"/>
      <c r="G6" s="87"/>
      <c r="H6" s="87"/>
      <c r="I6" s="85"/>
      <c r="J6" s="89"/>
      <c r="K6" s="89"/>
      <c r="L6" s="90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90"/>
      <c r="Z6" s="85"/>
      <c r="AA6" s="85"/>
      <c r="AB6" s="86" t="str">
        <f>IF(A6="","",COUNTIF(Companies!$A$6:$A$55,A6))</f>
        <v/>
      </c>
      <c r="AC6" s="86" t="str">
        <f t="shared" ref="AC6:AC205" si="1">IF(A6="","",COUNTIFS($A$6:$A$205,A6,$C$6:$C$205,C6))</f>
        <v/>
      </c>
      <c r="AD6" s="86" t="str">
        <f>IF(A6="","",IFERROR(IF(AND(AB6=1,AC6=1,AM6=1,OR(C6="TTM",C6="FY0",C6="FY-1",C6="FY-2"),ISNUMBER(D6),D6&lt;=Rules!$B$6,ISNUMBER(E6),E6&gt;=D6,E6&lt;=Rules!$B$6,ISNUMBER(F6),ABS(D6-F6-365)&lt;=31,OR(G6="US GAAP",G6="IFRS"),H6="Yes",I6&lt;&gt;"",COUNT(J6:R6)=9,J6&gt;0,L6&gt;-1,L6&lt;1,M6&gt;=0,N6&gt;=0,Q6&gt;=0,R6&gt;=0,M6+O6-Q6&gt;0,N6+P6-R6&gt;0,Z6&lt;&gt;"",AA6&lt;&gt;""),1,0),0))</f>
        <v/>
      </c>
      <c r="AE6" s="91" t="str">
        <f t="shared" ref="AE6:AE205" si="2">IF(A6="","",IF(AD6&lt;&gt;1,"n.a.",((M6+O6-Q6)+(N6+P6-R6))/2))</f>
        <v/>
      </c>
      <c r="AF6" s="91" t="str">
        <f t="shared" ref="AF6:AF205" si="3">IF(A6="","",IF(AD6&lt;&gt;1,"n.a.",K6*(1-L6)))</f>
        <v/>
      </c>
      <c r="AG6" s="92" t="str">
        <f t="shared" ref="AG6:AG205" si="4">IF(A6="","",IF(AD6&lt;&gt;1,"n.a.",AF6/AE6))</f>
        <v/>
      </c>
      <c r="AH6" s="92" t="str">
        <f t="shared" ref="AH6:AH205" si="5">IF(A6="","",IF(AD6&lt;&gt;1,"n.a.",K6/J6))</f>
        <v/>
      </c>
      <c r="AI6" s="92" t="str">
        <f t="shared" ref="AI6:AI205" si="6">IF(A6="","",IF(AND(AD6=1,COUNT(S6:U6)=3,T6&gt;0,U6&gt;0),S6/AVERAGE(T6:U6),"n.a."))</f>
        <v/>
      </c>
      <c r="AJ6" s="92" t="str">
        <f t="shared" ref="AJ6:AJ205" si="7">IF(A6="","",IF(AND(AD6=1,COUNT(X6:Y6)=2,Y6&gt;-1,Y6&lt;1),X6*(1-Y6)/AE6,"n.a."))</f>
        <v/>
      </c>
      <c r="AK6" s="92" t="str">
        <f t="shared" ref="AK6:AK205" si="8">IF(A6="","",IF(AND(AD6=1,ISNUMBER(X6)),X6/J6,"n.a."))</f>
        <v/>
      </c>
      <c r="AL6" s="86" t="str">
        <f t="shared" ref="AL6:AL205" si="9">IF(A6="","",IF(AB6&lt;&gt;1,"Unmatched/duplicate company",IF(AC6&lt;&gt;1,"Duplicate issuer/period",IF(AM6&lt;&gt;1,"Outside cap/scope universe",IF(H6&lt;&gt;"Yes","Comparability review required",IF(AD6&lt;&gt;1,"Check dates, tax, capital and sources","Ready"))))))</f>
        <v/>
      </c>
      <c r="AM6" s="86" t="str">
        <f t="array" ref="AM6">IF(A6="","",IF(AB6&lt;&gt;1,0,IF(AND(INDEX(Companies!$R$6:$R$55,MATCH(A6,Companies!$A$6:$A$55,0))=1,INDEX(Companies!$I$6:$I$55,MATCH(A6,Companies!$A$6:$A$55,0))&gt;=MAX(10,Rules!$B$22)),1,0)))</f>
        <v/>
      </c>
      <c r="AN6" s="86" t="str">
        <f>IFERROR(__xludf.DUMMYFUNCTION("IF(A6="""","""",IFERROR(IF(AND(OR(C6=""FY0"",C6=""FY-1"",C6=""FY-2""),AD6=1,COUNTIFS($A$6:$A$205,A6,$C$6:$C$205,""FY0"",$AD$6:$AD$205,1)=1,COUNTIFS($A$6:$A$205,A6,$C$6:$C$205,""TTM"",$AD$6:$AD$205,1)=1,G6=IFNA(INDEX(FILTER($G$6:$G$205,$A$6:$A$205=A6,$C$6:"&amp;"$C$205=""TTM"",$AD$6:$AD$205=1),1),""""),I6=IFNA(INDEX(FILTER($I$6:$I$205,$A$6:$A$205=A6,$C$6:$C$205=""TTM"",$AD$6:$AD$205=1),1),""""),SUMIFS($D$6:$D$205,$A$6:$A$205,A6,$C$6:$C$205,""FY0"",$AD$6:$AD$205,1)&lt;=SUMIFS($D$6:$D$205,$A$6:$A$205,A6,$C$6:$C$205,"""&amp;"TTM"",$AD$6:$AD$205,1),SUMIFS($D$6:$D$205,$A$6:$A$205,A6,$C$6:$C$205,""TTM"",$AD$6:$AD$205,1)-SUMIFS($D$6:$D$205,$A$6:$A$205,A6,$C$6:$C$205,""FY0"",$AD$6:$AD$205,1)&lt;366,ABS(D6-EDATE(SUMIFS($D$6:$D$205,$A$6:$A$205,A6,$C$6:$C$205,""FY0"",$AD$6:$AD$205,1),IF"&amp;"(C6=""FY0"",0,IF(C6=""FY-1"",-12,-24))))&lt;=31),1,0),0))"),"")</f>
        <v/>
      </c>
    </row>
    <row r="7" ht="31.5" customHeight="1">
      <c r="A7" s="85"/>
      <c r="B7" s="86" t="str">
        <f t="array" ref="B7">IF(A7="","",IF(AB7&lt;&gt;1,"Unmatched issuer",INDEX(Companies!$C$6:$C$55,MATCH(A7,Companies!$A$6:$A$55,0))))</f>
        <v/>
      </c>
      <c r="C7" s="87"/>
      <c r="D7" s="88"/>
      <c r="E7" s="88"/>
      <c r="F7" s="88"/>
      <c r="G7" s="87"/>
      <c r="H7" s="87"/>
      <c r="I7" s="85"/>
      <c r="J7" s="89"/>
      <c r="K7" s="89"/>
      <c r="L7" s="90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90"/>
      <c r="Z7" s="85"/>
      <c r="AA7" s="85"/>
      <c r="AB7" s="86" t="str">
        <f>IF(A7="","",COUNTIF(Companies!$A$6:$A$55,A7))</f>
        <v/>
      </c>
      <c r="AC7" s="86" t="str">
        <f t="shared" si="1"/>
        <v/>
      </c>
      <c r="AD7" s="86" t="str">
        <f>IF(A7="","",IFERROR(IF(AND(AB7=1,AC7=1,AM7=1,OR(C7="TTM",C7="FY0",C7="FY-1",C7="FY-2"),ISNUMBER(D7),D7&lt;=Rules!$B$6,ISNUMBER(E7),E7&gt;=D7,E7&lt;=Rules!$B$6,ISNUMBER(F7),ABS(D7-F7-365)&lt;=31,OR(G7="US GAAP",G7="IFRS"),H7="Yes",I7&lt;&gt;"",COUNT(J7:R7)=9,J7&gt;0,L7&gt;-1,L7&lt;1,M7&gt;=0,N7&gt;=0,Q7&gt;=0,R7&gt;=0,M7+O7-Q7&gt;0,N7+P7-R7&gt;0,Z7&lt;&gt;"",AA7&lt;&gt;""),1,0),0))</f>
        <v/>
      </c>
      <c r="AE7" s="91" t="str">
        <f t="shared" si="2"/>
        <v/>
      </c>
      <c r="AF7" s="91" t="str">
        <f t="shared" si="3"/>
        <v/>
      </c>
      <c r="AG7" s="92" t="str">
        <f t="shared" si="4"/>
        <v/>
      </c>
      <c r="AH7" s="92" t="str">
        <f t="shared" si="5"/>
        <v/>
      </c>
      <c r="AI7" s="92" t="str">
        <f t="shared" si="6"/>
        <v/>
      </c>
      <c r="AJ7" s="92" t="str">
        <f t="shared" si="7"/>
        <v/>
      </c>
      <c r="AK7" s="92" t="str">
        <f t="shared" si="8"/>
        <v/>
      </c>
      <c r="AL7" s="86" t="str">
        <f t="shared" si="9"/>
        <v/>
      </c>
      <c r="AM7" s="86" t="str">
        <f t="array" ref="AM7">IF(A7="","",IF(AB7&lt;&gt;1,0,IF(AND(INDEX(Companies!$R$6:$R$55,MATCH(A7,Companies!$A$6:$A$55,0))=1,INDEX(Companies!$I$6:$I$55,MATCH(A7,Companies!$A$6:$A$55,0))&gt;=MAX(10,Rules!$B$22)),1,0)))</f>
        <v/>
      </c>
      <c r="AN7" s="86" t="str">
        <f>IFERROR(__xludf.DUMMYFUNCTION("IF(A7="""","""",IFERROR(IF(AND(OR(C7=""FY0"",C7=""FY-1"",C7=""FY-2""),AD7=1,COUNTIFS($A$6:$A$205,A7,$C$6:$C$205,""FY0"",$AD$6:$AD$205,1)=1,COUNTIFS($A$6:$A$205,A7,$C$6:$C$205,""TTM"",$AD$6:$AD$205,1)=1,G7=IFNA(INDEX(FILTER($G$6:$G$205,$A$6:$A$205=A7,$C$6:"&amp;"$C$205=""TTM"",$AD$6:$AD$205=1),1),""""),I7=IFNA(INDEX(FILTER($I$6:$I$205,$A$6:$A$205=A7,$C$6:$C$205=""TTM"",$AD$6:$AD$205=1),1),""""),SUMIFS($D$6:$D$205,$A$6:$A$205,A7,$C$6:$C$205,""FY0"",$AD$6:$AD$205,1)&lt;=SUMIFS($D$6:$D$205,$A$6:$A$205,A7,$C$6:$C$205,"""&amp;"TTM"",$AD$6:$AD$205,1),SUMIFS($D$6:$D$205,$A$6:$A$205,A7,$C$6:$C$205,""TTM"",$AD$6:$AD$205,1)-SUMIFS($D$6:$D$205,$A$6:$A$205,A7,$C$6:$C$205,""FY0"",$AD$6:$AD$205,1)&lt;366,ABS(D7-EDATE(SUMIFS($D$6:$D$205,$A$6:$A$205,A7,$C$6:$C$205,""FY0"",$AD$6:$AD$205,1),IF"&amp;"(C7=""FY0"",0,IF(C7=""FY-1"",-12,-24))))&lt;=31),1,0),0))"),"")</f>
        <v/>
      </c>
    </row>
    <row r="8" ht="31.5" customHeight="1">
      <c r="A8" s="85"/>
      <c r="B8" s="86" t="str">
        <f t="array" ref="B8">IF(A8="","",IF(AB8&lt;&gt;1,"Unmatched issuer",INDEX(Companies!$C$6:$C$55,MATCH(A8,Companies!$A$6:$A$55,0))))</f>
        <v/>
      </c>
      <c r="C8" s="87"/>
      <c r="D8" s="88"/>
      <c r="E8" s="88"/>
      <c r="F8" s="88"/>
      <c r="G8" s="87"/>
      <c r="H8" s="87"/>
      <c r="I8" s="85"/>
      <c r="J8" s="89"/>
      <c r="K8" s="89"/>
      <c r="L8" s="90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90"/>
      <c r="Z8" s="85"/>
      <c r="AA8" s="85"/>
      <c r="AB8" s="86" t="str">
        <f>IF(A8="","",COUNTIF(Companies!$A$6:$A$55,A8))</f>
        <v/>
      </c>
      <c r="AC8" s="86" t="str">
        <f t="shared" si="1"/>
        <v/>
      </c>
      <c r="AD8" s="86" t="str">
        <f>IF(A8="","",IFERROR(IF(AND(AB8=1,AC8=1,AM8=1,OR(C8="TTM",C8="FY0",C8="FY-1",C8="FY-2"),ISNUMBER(D8),D8&lt;=Rules!$B$6,ISNUMBER(E8),E8&gt;=D8,E8&lt;=Rules!$B$6,ISNUMBER(F8),ABS(D8-F8-365)&lt;=31,OR(G8="US GAAP",G8="IFRS"),H8="Yes",I8&lt;&gt;"",COUNT(J8:R8)=9,J8&gt;0,L8&gt;-1,L8&lt;1,M8&gt;=0,N8&gt;=0,Q8&gt;=0,R8&gt;=0,M8+O8-Q8&gt;0,N8+P8-R8&gt;0,Z8&lt;&gt;"",AA8&lt;&gt;""),1,0),0))</f>
        <v/>
      </c>
      <c r="AE8" s="91" t="str">
        <f t="shared" si="2"/>
        <v/>
      </c>
      <c r="AF8" s="91" t="str">
        <f t="shared" si="3"/>
        <v/>
      </c>
      <c r="AG8" s="92" t="str">
        <f t="shared" si="4"/>
        <v/>
      </c>
      <c r="AH8" s="92" t="str">
        <f t="shared" si="5"/>
        <v/>
      </c>
      <c r="AI8" s="92" t="str">
        <f t="shared" si="6"/>
        <v/>
      </c>
      <c r="AJ8" s="92" t="str">
        <f t="shared" si="7"/>
        <v/>
      </c>
      <c r="AK8" s="92" t="str">
        <f t="shared" si="8"/>
        <v/>
      </c>
      <c r="AL8" s="86" t="str">
        <f t="shared" si="9"/>
        <v/>
      </c>
      <c r="AM8" s="86" t="str">
        <f t="array" ref="AM8">IF(A8="","",IF(AB8&lt;&gt;1,0,IF(AND(INDEX(Companies!$R$6:$R$55,MATCH(A8,Companies!$A$6:$A$55,0))=1,INDEX(Companies!$I$6:$I$55,MATCH(A8,Companies!$A$6:$A$55,0))&gt;=MAX(10,Rules!$B$22)),1,0)))</f>
        <v/>
      </c>
      <c r="AN8" s="86" t="str">
        <f>IFERROR(__xludf.DUMMYFUNCTION("IF(A8="""","""",IFERROR(IF(AND(OR(C8=""FY0"",C8=""FY-1"",C8=""FY-2""),AD8=1,COUNTIFS($A$6:$A$205,A8,$C$6:$C$205,""FY0"",$AD$6:$AD$205,1)=1,COUNTIFS($A$6:$A$205,A8,$C$6:$C$205,""TTM"",$AD$6:$AD$205,1)=1,G8=IFNA(INDEX(FILTER($G$6:$G$205,$A$6:$A$205=A8,$C$6:"&amp;"$C$205=""TTM"",$AD$6:$AD$205=1),1),""""),I8=IFNA(INDEX(FILTER($I$6:$I$205,$A$6:$A$205=A8,$C$6:$C$205=""TTM"",$AD$6:$AD$205=1),1),""""),SUMIFS($D$6:$D$205,$A$6:$A$205,A8,$C$6:$C$205,""FY0"",$AD$6:$AD$205,1)&lt;=SUMIFS($D$6:$D$205,$A$6:$A$205,A8,$C$6:$C$205,"""&amp;"TTM"",$AD$6:$AD$205,1),SUMIFS($D$6:$D$205,$A$6:$A$205,A8,$C$6:$C$205,""TTM"",$AD$6:$AD$205,1)-SUMIFS($D$6:$D$205,$A$6:$A$205,A8,$C$6:$C$205,""FY0"",$AD$6:$AD$205,1)&lt;366,ABS(D8-EDATE(SUMIFS($D$6:$D$205,$A$6:$A$205,A8,$C$6:$C$205,""FY0"",$AD$6:$AD$205,1),IF"&amp;"(C8=""FY0"",0,IF(C8=""FY-1"",-12,-24))))&lt;=31),1,0),0))"),"")</f>
        <v/>
      </c>
    </row>
    <row r="9" ht="31.5" customHeight="1">
      <c r="A9" s="85"/>
      <c r="B9" s="86" t="str">
        <f t="array" ref="B9">IF(A9="","",IF(AB9&lt;&gt;1,"Unmatched issuer",INDEX(Companies!$C$6:$C$55,MATCH(A9,Companies!$A$6:$A$55,0))))</f>
        <v/>
      </c>
      <c r="C9" s="87"/>
      <c r="D9" s="88"/>
      <c r="E9" s="88"/>
      <c r="F9" s="88"/>
      <c r="G9" s="87"/>
      <c r="H9" s="87"/>
      <c r="I9" s="85"/>
      <c r="J9" s="89"/>
      <c r="K9" s="89"/>
      <c r="L9" s="90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0"/>
      <c r="Z9" s="85"/>
      <c r="AA9" s="85"/>
      <c r="AB9" s="86" t="str">
        <f>IF(A9="","",COUNTIF(Companies!$A$6:$A$55,A9))</f>
        <v/>
      </c>
      <c r="AC9" s="86" t="str">
        <f t="shared" si="1"/>
        <v/>
      </c>
      <c r="AD9" s="86" t="str">
        <f>IF(A9="","",IFERROR(IF(AND(AB9=1,AC9=1,AM9=1,OR(C9="TTM",C9="FY0",C9="FY-1",C9="FY-2"),ISNUMBER(D9),D9&lt;=Rules!$B$6,ISNUMBER(E9),E9&gt;=D9,E9&lt;=Rules!$B$6,ISNUMBER(F9),ABS(D9-F9-365)&lt;=31,OR(G9="US GAAP",G9="IFRS"),H9="Yes",I9&lt;&gt;"",COUNT(J9:R9)=9,J9&gt;0,L9&gt;-1,L9&lt;1,M9&gt;=0,N9&gt;=0,Q9&gt;=0,R9&gt;=0,M9+O9-Q9&gt;0,N9+P9-R9&gt;0,Z9&lt;&gt;"",AA9&lt;&gt;""),1,0),0))</f>
        <v/>
      </c>
      <c r="AE9" s="91" t="str">
        <f t="shared" si="2"/>
        <v/>
      </c>
      <c r="AF9" s="91" t="str">
        <f t="shared" si="3"/>
        <v/>
      </c>
      <c r="AG9" s="92" t="str">
        <f t="shared" si="4"/>
        <v/>
      </c>
      <c r="AH9" s="92" t="str">
        <f t="shared" si="5"/>
        <v/>
      </c>
      <c r="AI9" s="92" t="str">
        <f t="shared" si="6"/>
        <v/>
      </c>
      <c r="AJ9" s="92" t="str">
        <f t="shared" si="7"/>
        <v/>
      </c>
      <c r="AK9" s="92" t="str">
        <f t="shared" si="8"/>
        <v/>
      </c>
      <c r="AL9" s="86" t="str">
        <f t="shared" si="9"/>
        <v/>
      </c>
      <c r="AM9" s="86" t="str">
        <f t="array" ref="AM9">IF(A9="","",IF(AB9&lt;&gt;1,0,IF(AND(INDEX(Companies!$R$6:$R$55,MATCH(A9,Companies!$A$6:$A$55,0))=1,INDEX(Companies!$I$6:$I$55,MATCH(A9,Companies!$A$6:$A$55,0))&gt;=MAX(10,Rules!$B$22)),1,0)))</f>
        <v/>
      </c>
      <c r="AN9" s="86" t="str">
        <f>IFERROR(__xludf.DUMMYFUNCTION("IF(A9="""","""",IFERROR(IF(AND(OR(C9=""FY0"",C9=""FY-1"",C9=""FY-2""),AD9=1,COUNTIFS($A$6:$A$205,A9,$C$6:$C$205,""FY0"",$AD$6:$AD$205,1)=1,COUNTIFS($A$6:$A$205,A9,$C$6:$C$205,""TTM"",$AD$6:$AD$205,1)=1,G9=IFNA(INDEX(FILTER($G$6:$G$205,$A$6:$A$205=A9,$C$6:"&amp;"$C$205=""TTM"",$AD$6:$AD$205=1),1),""""),I9=IFNA(INDEX(FILTER($I$6:$I$205,$A$6:$A$205=A9,$C$6:$C$205=""TTM"",$AD$6:$AD$205=1),1),""""),SUMIFS($D$6:$D$205,$A$6:$A$205,A9,$C$6:$C$205,""FY0"",$AD$6:$AD$205,1)&lt;=SUMIFS($D$6:$D$205,$A$6:$A$205,A9,$C$6:$C$205,"""&amp;"TTM"",$AD$6:$AD$205,1),SUMIFS($D$6:$D$205,$A$6:$A$205,A9,$C$6:$C$205,""TTM"",$AD$6:$AD$205,1)-SUMIFS($D$6:$D$205,$A$6:$A$205,A9,$C$6:$C$205,""FY0"",$AD$6:$AD$205,1)&lt;366,ABS(D9-EDATE(SUMIFS($D$6:$D$205,$A$6:$A$205,A9,$C$6:$C$205,""FY0"",$AD$6:$AD$205,1),IF"&amp;"(C9=""FY0"",0,IF(C9=""FY-1"",-12,-24))))&lt;=31),1,0),0))"),"")</f>
        <v/>
      </c>
    </row>
    <row r="10" ht="31.5" customHeight="1">
      <c r="A10" s="85"/>
      <c r="B10" s="86" t="str">
        <f t="array" ref="B10">IF(A10="","",IF(AB10&lt;&gt;1,"Unmatched issuer",INDEX(Companies!$C$6:$C$55,MATCH(A10,Companies!$A$6:$A$55,0))))</f>
        <v/>
      </c>
      <c r="C10" s="87"/>
      <c r="D10" s="88"/>
      <c r="E10" s="88"/>
      <c r="F10" s="88"/>
      <c r="G10" s="87"/>
      <c r="H10" s="87"/>
      <c r="I10" s="85"/>
      <c r="J10" s="89"/>
      <c r="K10" s="89"/>
      <c r="L10" s="90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5"/>
      <c r="AA10" s="85"/>
      <c r="AB10" s="86" t="str">
        <f>IF(A10="","",COUNTIF(Companies!$A$6:$A$55,A10))</f>
        <v/>
      </c>
      <c r="AC10" s="86" t="str">
        <f t="shared" si="1"/>
        <v/>
      </c>
      <c r="AD10" s="86" t="str">
        <f>IF(A10="","",IFERROR(IF(AND(AB10=1,AC10=1,AM10=1,OR(C10="TTM",C10="FY0",C10="FY-1",C10="FY-2"),ISNUMBER(D10),D10&lt;=Rules!$B$6,ISNUMBER(E10),E10&gt;=D10,E10&lt;=Rules!$B$6,ISNUMBER(F10),ABS(D10-F10-365)&lt;=31,OR(G10="US GAAP",G10="IFRS"),H10="Yes",I10&lt;&gt;"",COUNT(J10:R10)=9,J10&gt;0,L10&gt;-1,L10&lt;1,M10&gt;=0,N10&gt;=0,Q10&gt;=0,R10&gt;=0,M10+O10-Q10&gt;0,N10+P10-R10&gt;0,Z10&lt;&gt;"",AA10&lt;&gt;""),1,0),0))</f>
        <v/>
      </c>
      <c r="AE10" s="91" t="str">
        <f t="shared" si="2"/>
        <v/>
      </c>
      <c r="AF10" s="91" t="str">
        <f t="shared" si="3"/>
        <v/>
      </c>
      <c r="AG10" s="92" t="str">
        <f t="shared" si="4"/>
        <v/>
      </c>
      <c r="AH10" s="92" t="str">
        <f t="shared" si="5"/>
        <v/>
      </c>
      <c r="AI10" s="92" t="str">
        <f t="shared" si="6"/>
        <v/>
      </c>
      <c r="AJ10" s="92" t="str">
        <f t="shared" si="7"/>
        <v/>
      </c>
      <c r="AK10" s="92" t="str">
        <f t="shared" si="8"/>
        <v/>
      </c>
      <c r="AL10" s="86" t="str">
        <f t="shared" si="9"/>
        <v/>
      </c>
      <c r="AM10" s="86" t="str">
        <f t="array" ref="AM10">IF(A10="","",IF(AB10&lt;&gt;1,0,IF(AND(INDEX(Companies!$R$6:$R$55,MATCH(A10,Companies!$A$6:$A$55,0))=1,INDEX(Companies!$I$6:$I$55,MATCH(A10,Companies!$A$6:$A$55,0))&gt;=MAX(10,Rules!$B$22)),1,0)))</f>
        <v/>
      </c>
      <c r="AN10" s="86" t="str">
        <f>IFERROR(__xludf.DUMMYFUNCTION("IF(A10="""","""",IFERROR(IF(AND(OR(C10=""FY0"",C10=""FY-1"",C10=""FY-2""),AD10=1,COUNTIFS($A$6:$A$205,A10,$C$6:$C$205,""FY0"",$AD$6:$AD$205,1)=1,COUNTIFS($A$6:$A$205,A10,$C$6:$C$205,""TTM"",$AD$6:$AD$205,1)=1,G10=IFNA(INDEX(FILTER($G$6:$G$205,$A$6:$A$205="&amp;"A10,$C$6:$C$205=""TTM"",$AD$6:$AD$205=1),1),""""),I10=IFNA(INDEX(FILTER($I$6:$I$205,$A$6:$A$205=A10,$C$6:$C$205=""TTM"",$AD$6:$AD$205=1),1),""""),SUMIFS($D$6:$D$205,$A$6:$A$205,A10,$C$6:$C$205,""FY0"",$AD$6:$AD$205,1)&lt;=SUMIFS($D$6:$D$205,$A$6:$A$205,A10,$"&amp;"C$6:$C$205,""TTM"",$AD$6:$AD$205,1),SUMIFS($D$6:$D$205,$A$6:$A$205,A10,$C$6:$C$205,""TTM"",$AD$6:$AD$205,1)-SUMIFS($D$6:$D$205,$A$6:$A$205,A10,$C$6:$C$205,""FY0"",$AD$6:$AD$205,1)&lt;366,ABS(D10-EDATE(SUMIFS($D$6:$D$205,$A$6:$A$205,A10,$C$6:$C$205,""FY0"",$A"&amp;"D$6:$AD$205,1),IF(C10=""FY0"",0,IF(C10=""FY-1"",-12,-24))))&lt;=31),1,0),0))"),"")</f>
        <v/>
      </c>
    </row>
    <row r="11" ht="31.5" customHeight="1">
      <c r="A11" s="85"/>
      <c r="B11" s="86" t="str">
        <f t="array" ref="B11">IF(A11="","",IF(AB11&lt;&gt;1,"Unmatched issuer",INDEX(Companies!$C$6:$C$55,MATCH(A11,Companies!$A$6:$A$55,0))))</f>
        <v/>
      </c>
      <c r="C11" s="87"/>
      <c r="D11" s="88"/>
      <c r="E11" s="88"/>
      <c r="F11" s="88"/>
      <c r="G11" s="87"/>
      <c r="H11" s="87"/>
      <c r="I11" s="85"/>
      <c r="J11" s="89"/>
      <c r="K11" s="89"/>
      <c r="L11" s="90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5"/>
      <c r="AA11" s="85"/>
      <c r="AB11" s="86" t="str">
        <f>IF(A11="","",COUNTIF(Companies!$A$6:$A$55,A11))</f>
        <v/>
      </c>
      <c r="AC11" s="86" t="str">
        <f t="shared" si="1"/>
        <v/>
      </c>
      <c r="AD11" s="86" t="str">
        <f>IF(A11="","",IFERROR(IF(AND(AB11=1,AC11=1,AM11=1,OR(C11="TTM",C11="FY0",C11="FY-1",C11="FY-2"),ISNUMBER(D11),D11&lt;=Rules!$B$6,ISNUMBER(E11),E11&gt;=D11,E11&lt;=Rules!$B$6,ISNUMBER(F11),ABS(D11-F11-365)&lt;=31,OR(G11="US GAAP",G11="IFRS"),H11="Yes",I11&lt;&gt;"",COUNT(J11:R11)=9,J11&gt;0,L11&gt;-1,L11&lt;1,M11&gt;=0,N11&gt;=0,Q11&gt;=0,R11&gt;=0,M11+O11-Q11&gt;0,N11+P11-R11&gt;0,Z11&lt;&gt;"",AA11&lt;&gt;""),1,0),0))</f>
        <v/>
      </c>
      <c r="AE11" s="91" t="str">
        <f t="shared" si="2"/>
        <v/>
      </c>
      <c r="AF11" s="91" t="str">
        <f t="shared" si="3"/>
        <v/>
      </c>
      <c r="AG11" s="92" t="str">
        <f t="shared" si="4"/>
        <v/>
      </c>
      <c r="AH11" s="92" t="str">
        <f t="shared" si="5"/>
        <v/>
      </c>
      <c r="AI11" s="92" t="str">
        <f t="shared" si="6"/>
        <v/>
      </c>
      <c r="AJ11" s="92" t="str">
        <f t="shared" si="7"/>
        <v/>
      </c>
      <c r="AK11" s="92" t="str">
        <f t="shared" si="8"/>
        <v/>
      </c>
      <c r="AL11" s="86" t="str">
        <f t="shared" si="9"/>
        <v/>
      </c>
      <c r="AM11" s="86" t="str">
        <f t="array" ref="AM11">IF(A11="","",IF(AB11&lt;&gt;1,0,IF(AND(INDEX(Companies!$R$6:$R$55,MATCH(A11,Companies!$A$6:$A$55,0))=1,INDEX(Companies!$I$6:$I$55,MATCH(A11,Companies!$A$6:$A$55,0))&gt;=MAX(10,Rules!$B$22)),1,0)))</f>
        <v/>
      </c>
      <c r="AN11" s="86" t="str">
        <f>IFERROR(__xludf.DUMMYFUNCTION("IF(A11="""","""",IFERROR(IF(AND(OR(C11=""FY0"",C11=""FY-1"",C11=""FY-2""),AD11=1,COUNTIFS($A$6:$A$205,A11,$C$6:$C$205,""FY0"",$AD$6:$AD$205,1)=1,COUNTIFS($A$6:$A$205,A11,$C$6:$C$205,""TTM"",$AD$6:$AD$205,1)=1,G11=IFNA(INDEX(FILTER($G$6:$G$205,$A$6:$A$205="&amp;"A11,$C$6:$C$205=""TTM"",$AD$6:$AD$205=1),1),""""),I11=IFNA(INDEX(FILTER($I$6:$I$205,$A$6:$A$205=A11,$C$6:$C$205=""TTM"",$AD$6:$AD$205=1),1),""""),SUMIFS($D$6:$D$205,$A$6:$A$205,A11,$C$6:$C$205,""FY0"",$AD$6:$AD$205,1)&lt;=SUMIFS($D$6:$D$205,$A$6:$A$205,A11,$"&amp;"C$6:$C$205,""TTM"",$AD$6:$AD$205,1),SUMIFS($D$6:$D$205,$A$6:$A$205,A11,$C$6:$C$205,""TTM"",$AD$6:$AD$205,1)-SUMIFS($D$6:$D$205,$A$6:$A$205,A11,$C$6:$C$205,""FY0"",$AD$6:$AD$205,1)&lt;366,ABS(D11-EDATE(SUMIFS($D$6:$D$205,$A$6:$A$205,A11,$C$6:$C$205,""FY0"",$A"&amp;"D$6:$AD$205,1),IF(C11=""FY0"",0,IF(C11=""FY-1"",-12,-24))))&lt;=31),1,0),0))"),"")</f>
        <v/>
      </c>
    </row>
    <row r="12" ht="31.5" customHeight="1">
      <c r="A12" s="85"/>
      <c r="B12" s="86" t="str">
        <f t="array" ref="B12">IF(A12="","",IF(AB12&lt;&gt;1,"Unmatched issuer",INDEX(Companies!$C$6:$C$55,MATCH(A12,Companies!$A$6:$A$55,0))))</f>
        <v/>
      </c>
      <c r="C12" s="87"/>
      <c r="D12" s="88"/>
      <c r="E12" s="88"/>
      <c r="F12" s="88"/>
      <c r="G12" s="87"/>
      <c r="H12" s="87"/>
      <c r="I12" s="85"/>
      <c r="J12" s="89"/>
      <c r="K12" s="89"/>
      <c r="L12" s="90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5"/>
      <c r="AA12" s="85"/>
      <c r="AB12" s="86" t="str">
        <f>IF(A12="","",COUNTIF(Companies!$A$6:$A$55,A12))</f>
        <v/>
      </c>
      <c r="AC12" s="86" t="str">
        <f t="shared" si="1"/>
        <v/>
      </c>
      <c r="AD12" s="86" t="str">
        <f>IF(A12="","",IFERROR(IF(AND(AB12=1,AC12=1,AM12=1,OR(C12="TTM",C12="FY0",C12="FY-1",C12="FY-2"),ISNUMBER(D12),D12&lt;=Rules!$B$6,ISNUMBER(E12),E12&gt;=D12,E12&lt;=Rules!$B$6,ISNUMBER(F12),ABS(D12-F12-365)&lt;=31,OR(G12="US GAAP",G12="IFRS"),H12="Yes",I12&lt;&gt;"",COUNT(J12:R12)=9,J12&gt;0,L12&gt;-1,L12&lt;1,M12&gt;=0,N12&gt;=0,Q12&gt;=0,R12&gt;=0,M12+O12-Q12&gt;0,N12+P12-R12&gt;0,Z12&lt;&gt;"",AA12&lt;&gt;""),1,0),0))</f>
        <v/>
      </c>
      <c r="AE12" s="91" t="str">
        <f t="shared" si="2"/>
        <v/>
      </c>
      <c r="AF12" s="91" t="str">
        <f t="shared" si="3"/>
        <v/>
      </c>
      <c r="AG12" s="92" t="str">
        <f t="shared" si="4"/>
        <v/>
      </c>
      <c r="AH12" s="92" t="str">
        <f t="shared" si="5"/>
        <v/>
      </c>
      <c r="AI12" s="92" t="str">
        <f t="shared" si="6"/>
        <v/>
      </c>
      <c r="AJ12" s="92" t="str">
        <f t="shared" si="7"/>
        <v/>
      </c>
      <c r="AK12" s="92" t="str">
        <f t="shared" si="8"/>
        <v/>
      </c>
      <c r="AL12" s="86" t="str">
        <f t="shared" si="9"/>
        <v/>
      </c>
      <c r="AM12" s="86" t="str">
        <f t="array" ref="AM12">IF(A12="","",IF(AB12&lt;&gt;1,0,IF(AND(INDEX(Companies!$R$6:$R$55,MATCH(A12,Companies!$A$6:$A$55,0))=1,INDEX(Companies!$I$6:$I$55,MATCH(A12,Companies!$A$6:$A$55,0))&gt;=MAX(10,Rules!$B$22)),1,0)))</f>
        <v/>
      </c>
      <c r="AN12" s="86" t="str">
        <f>IFERROR(__xludf.DUMMYFUNCTION("IF(A12="""","""",IFERROR(IF(AND(OR(C12=""FY0"",C12=""FY-1"",C12=""FY-2""),AD12=1,COUNTIFS($A$6:$A$205,A12,$C$6:$C$205,""FY0"",$AD$6:$AD$205,1)=1,COUNTIFS($A$6:$A$205,A12,$C$6:$C$205,""TTM"",$AD$6:$AD$205,1)=1,G12=IFNA(INDEX(FILTER($G$6:$G$205,$A$6:$A$205="&amp;"A12,$C$6:$C$205=""TTM"",$AD$6:$AD$205=1),1),""""),I12=IFNA(INDEX(FILTER($I$6:$I$205,$A$6:$A$205=A12,$C$6:$C$205=""TTM"",$AD$6:$AD$205=1),1),""""),SUMIFS($D$6:$D$205,$A$6:$A$205,A12,$C$6:$C$205,""FY0"",$AD$6:$AD$205,1)&lt;=SUMIFS($D$6:$D$205,$A$6:$A$205,A12,$"&amp;"C$6:$C$205,""TTM"",$AD$6:$AD$205,1),SUMIFS($D$6:$D$205,$A$6:$A$205,A12,$C$6:$C$205,""TTM"",$AD$6:$AD$205,1)-SUMIFS($D$6:$D$205,$A$6:$A$205,A12,$C$6:$C$205,""FY0"",$AD$6:$AD$205,1)&lt;366,ABS(D12-EDATE(SUMIFS($D$6:$D$205,$A$6:$A$205,A12,$C$6:$C$205,""FY0"",$A"&amp;"D$6:$AD$205,1),IF(C12=""FY0"",0,IF(C12=""FY-1"",-12,-24))))&lt;=31),1,0),0))"),"")</f>
        <v/>
      </c>
    </row>
    <row r="13" ht="31.5" customHeight="1">
      <c r="A13" s="85"/>
      <c r="B13" s="86" t="str">
        <f t="array" ref="B13">IF(A13="","",IF(AB13&lt;&gt;1,"Unmatched issuer",INDEX(Companies!$C$6:$C$55,MATCH(A13,Companies!$A$6:$A$55,0))))</f>
        <v/>
      </c>
      <c r="C13" s="87"/>
      <c r="D13" s="88"/>
      <c r="E13" s="88"/>
      <c r="F13" s="88"/>
      <c r="G13" s="87"/>
      <c r="H13" s="87"/>
      <c r="I13" s="85"/>
      <c r="J13" s="89"/>
      <c r="K13" s="89"/>
      <c r="L13" s="90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5"/>
      <c r="AA13" s="85"/>
      <c r="AB13" s="86" t="str">
        <f>IF(A13="","",COUNTIF(Companies!$A$6:$A$55,A13))</f>
        <v/>
      </c>
      <c r="AC13" s="86" t="str">
        <f t="shared" si="1"/>
        <v/>
      </c>
      <c r="AD13" s="86" t="str">
        <f>IF(A13="","",IFERROR(IF(AND(AB13=1,AC13=1,AM13=1,OR(C13="TTM",C13="FY0",C13="FY-1",C13="FY-2"),ISNUMBER(D13),D13&lt;=Rules!$B$6,ISNUMBER(E13),E13&gt;=D13,E13&lt;=Rules!$B$6,ISNUMBER(F13),ABS(D13-F13-365)&lt;=31,OR(G13="US GAAP",G13="IFRS"),H13="Yes",I13&lt;&gt;"",COUNT(J13:R13)=9,J13&gt;0,L13&gt;-1,L13&lt;1,M13&gt;=0,N13&gt;=0,Q13&gt;=0,R13&gt;=0,M13+O13-Q13&gt;0,N13+P13-R13&gt;0,Z13&lt;&gt;"",AA13&lt;&gt;""),1,0),0))</f>
        <v/>
      </c>
      <c r="AE13" s="91" t="str">
        <f t="shared" si="2"/>
        <v/>
      </c>
      <c r="AF13" s="91" t="str">
        <f t="shared" si="3"/>
        <v/>
      </c>
      <c r="AG13" s="92" t="str">
        <f t="shared" si="4"/>
        <v/>
      </c>
      <c r="AH13" s="92" t="str">
        <f t="shared" si="5"/>
        <v/>
      </c>
      <c r="AI13" s="92" t="str">
        <f t="shared" si="6"/>
        <v/>
      </c>
      <c r="AJ13" s="92" t="str">
        <f t="shared" si="7"/>
        <v/>
      </c>
      <c r="AK13" s="92" t="str">
        <f t="shared" si="8"/>
        <v/>
      </c>
      <c r="AL13" s="86" t="str">
        <f t="shared" si="9"/>
        <v/>
      </c>
      <c r="AM13" s="86" t="str">
        <f t="array" ref="AM13">IF(A13="","",IF(AB13&lt;&gt;1,0,IF(AND(INDEX(Companies!$R$6:$R$55,MATCH(A13,Companies!$A$6:$A$55,0))=1,INDEX(Companies!$I$6:$I$55,MATCH(A13,Companies!$A$6:$A$55,0))&gt;=MAX(10,Rules!$B$22)),1,0)))</f>
        <v/>
      </c>
      <c r="AN13" s="86" t="str">
        <f>IFERROR(__xludf.DUMMYFUNCTION("IF(A13="""","""",IFERROR(IF(AND(OR(C13=""FY0"",C13=""FY-1"",C13=""FY-2""),AD13=1,COUNTIFS($A$6:$A$205,A13,$C$6:$C$205,""FY0"",$AD$6:$AD$205,1)=1,COUNTIFS($A$6:$A$205,A13,$C$6:$C$205,""TTM"",$AD$6:$AD$205,1)=1,G13=IFNA(INDEX(FILTER($G$6:$G$205,$A$6:$A$205="&amp;"A13,$C$6:$C$205=""TTM"",$AD$6:$AD$205=1),1),""""),I13=IFNA(INDEX(FILTER($I$6:$I$205,$A$6:$A$205=A13,$C$6:$C$205=""TTM"",$AD$6:$AD$205=1),1),""""),SUMIFS($D$6:$D$205,$A$6:$A$205,A13,$C$6:$C$205,""FY0"",$AD$6:$AD$205,1)&lt;=SUMIFS($D$6:$D$205,$A$6:$A$205,A13,$"&amp;"C$6:$C$205,""TTM"",$AD$6:$AD$205,1),SUMIFS($D$6:$D$205,$A$6:$A$205,A13,$C$6:$C$205,""TTM"",$AD$6:$AD$205,1)-SUMIFS($D$6:$D$205,$A$6:$A$205,A13,$C$6:$C$205,""FY0"",$AD$6:$AD$205,1)&lt;366,ABS(D13-EDATE(SUMIFS($D$6:$D$205,$A$6:$A$205,A13,$C$6:$C$205,""FY0"",$A"&amp;"D$6:$AD$205,1),IF(C13=""FY0"",0,IF(C13=""FY-1"",-12,-24))))&lt;=31),1,0),0))"),"")</f>
        <v/>
      </c>
    </row>
    <row r="14" ht="31.5" customHeight="1">
      <c r="A14" s="85"/>
      <c r="B14" s="86" t="str">
        <f t="array" ref="B14">IF(A14="","",IF(AB14&lt;&gt;1,"Unmatched issuer",INDEX(Companies!$C$6:$C$55,MATCH(A14,Companies!$A$6:$A$55,0))))</f>
        <v/>
      </c>
      <c r="C14" s="87"/>
      <c r="D14" s="88"/>
      <c r="E14" s="88"/>
      <c r="F14" s="88"/>
      <c r="G14" s="87"/>
      <c r="H14" s="87"/>
      <c r="I14" s="85"/>
      <c r="J14" s="89"/>
      <c r="K14" s="89"/>
      <c r="L14" s="90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  <c r="Z14" s="85"/>
      <c r="AA14" s="85"/>
      <c r="AB14" s="86" t="str">
        <f>IF(A14="","",COUNTIF(Companies!$A$6:$A$55,A14))</f>
        <v/>
      </c>
      <c r="AC14" s="86" t="str">
        <f t="shared" si="1"/>
        <v/>
      </c>
      <c r="AD14" s="86" t="str">
        <f>IF(A14="","",IFERROR(IF(AND(AB14=1,AC14=1,AM14=1,OR(C14="TTM",C14="FY0",C14="FY-1",C14="FY-2"),ISNUMBER(D14),D14&lt;=Rules!$B$6,ISNUMBER(E14),E14&gt;=D14,E14&lt;=Rules!$B$6,ISNUMBER(F14),ABS(D14-F14-365)&lt;=31,OR(G14="US GAAP",G14="IFRS"),H14="Yes",I14&lt;&gt;"",COUNT(J14:R14)=9,J14&gt;0,L14&gt;-1,L14&lt;1,M14&gt;=0,N14&gt;=0,Q14&gt;=0,R14&gt;=0,M14+O14-Q14&gt;0,N14+P14-R14&gt;0,Z14&lt;&gt;"",AA14&lt;&gt;""),1,0),0))</f>
        <v/>
      </c>
      <c r="AE14" s="91" t="str">
        <f t="shared" si="2"/>
        <v/>
      </c>
      <c r="AF14" s="91" t="str">
        <f t="shared" si="3"/>
        <v/>
      </c>
      <c r="AG14" s="92" t="str">
        <f t="shared" si="4"/>
        <v/>
      </c>
      <c r="AH14" s="92" t="str">
        <f t="shared" si="5"/>
        <v/>
      </c>
      <c r="AI14" s="92" t="str">
        <f t="shared" si="6"/>
        <v/>
      </c>
      <c r="AJ14" s="92" t="str">
        <f t="shared" si="7"/>
        <v/>
      </c>
      <c r="AK14" s="92" t="str">
        <f t="shared" si="8"/>
        <v/>
      </c>
      <c r="AL14" s="86" t="str">
        <f t="shared" si="9"/>
        <v/>
      </c>
      <c r="AM14" s="86" t="str">
        <f t="array" ref="AM14">IF(A14="","",IF(AB14&lt;&gt;1,0,IF(AND(INDEX(Companies!$R$6:$R$55,MATCH(A14,Companies!$A$6:$A$55,0))=1,INDEX(Companies!$I$6:$I$55,MATCH(A14,Companies!$A$6:$A$55,0))&gt;=MAX(10,Rules!$B$22)),1,0)))</f>
        <v/>
      </c>
      <c r="AN14" s="86" t="str">
        <f>IFERROR(__xludf.DUMMYFUNCTION("IF(A14="""","""",IFERROR(IF(AND(OR(C14=""FY0"",C14=""FY-1"",C14=""FY-2""),AD14=1,COUNTIFS($A$6:$A$205,A14,$C$6:$C$205,""FY0"",$AD$6:$AD$205,1)=1,COUNTIFS($A$6:$A$205,A14,$C$6:$C$205,""TTM"",$AD$6:$AD$205,1)=1,G14=IFNA(INDEX(FILTER($G$6:$G$205,$A$6:$A$205="&amp;"A14,$C$6:$C$205=""TTM"",$AD$6:$AD$205=1),1),""""),I14=IFNA(INDEX(FILTER($I$6:$I$205,$A$6:$A$205=A14,$C$6:$C$205=""TTM"",$AD$6:$AD$205=1),1),""""),SUMIFS($D$6:$D$205,$A$6:$A$205,A14,$C$6:$C$205,""FY0"",$AD$6:$AD$205,1)&lt;=SUMIFS($D$6:$D$205,$A$6:$A$205,A14,$"&amp;"C$6:$C$205,""TTM"",$AD$6:$AD$205,1),SUMIFS($D$6:$D$205,$A$6:$A$205,A14,$C$6:$C$205,""TTM"",$AD$6:$AD$205,1)-SUMIFS($D$6:$D$205,$A$6:$A$205,A14,$C$6:$C$205,""FY0"",$AD$6:$AD$205,1)&lt;366,ABS(D14-EDATE(SUMIFS($D$6:$D$205,$A$6:$A$205,A14,$C$6:$C$205,""FY0"",$A"&amp;"D$6:$AD$205,1),IF(C14=""FY0"",0,IF(C14=""FY-1"",-12,-24))))&lt;=31),1,0),0))"),"")</f>
        <v/>
      </c>
    </row>
    <row r="15" ht="31.5" customHeight="1">
      <c r="A15" s="85"/>
      <c r="B15" s="86" t="str">
        <f t="array" ref="B15">IF(A15="","",IF(AB15&lt;&gt;1,"Unmatched issuer",INDEX(Companies!$C$6:$C$55,MATCH(A15,Companies!$A$6:$A$55,0))))</f>
        <v/>
      </c>
      <c r="C15" s="87"/>
      <c r="D15" s="88"/>
      <c r="E15" s="88"/>
      <c r="F15" s="88"/>
      <c r="G15" s="87"/>
      <c r="H15" s="87"/>
      <c r="I15" s="85"/>
      <c r="J15" s="89"/>
      <c r="K15" s="89"/>
      <c r="L15" s="90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  <c r="Z15" s="85"/>
      <c r="AA15" s="85"/>
      <c r="AB15" s="86" t="str">
        <f>IF(A15="","",COUNTIF(Companies!$A$6:$A$55,A15))</f>
        <v/>
      </c>
      <c r="AC15" s="86" t="str">
        <f t="shared" si="1"/>
        <v/>
      </c>
      <c r="AD15" s="86" t="str">
        <f>IF(A15="","",IFERROR(IF(AND(AB15=1,AC15=1,AM15=1,OR(C15="TTM",C15="FY0",C15="FY-1",C15="FY-2"),ISNUMBER(D15),D15&lt;=Rules!$B$6,ISNUMBER(E15),E15&gt;=D15,E15&lt;=Rules!$B$6,ISNUMBER(F15),ABS(D15-F15-365)&lt;=31,OR(G15="US GAAP",G15="IFRS"),H15="Yes",I15&lt;&gt;"",COUNT(J15:R15)=9,J15&gt;0,L15&gt;-1,L15&lt;1,M15&gt;=0,N15&gt;=0,Q15&gt;=0,R15&gt;=0,M15+O15-Q15&gt;0,N15+P15-R15&gt;0,Z15&lt;&gt;"",AA15&lt;&gt;""),1,0),0))</f>
        <v/>
      </c>
      <c r="AE15" s="91" t="str">
        <f t="shared" si="2"/>
        <v/>
      </c>
      <c r="AF15" s="91" t="str">
        <f t="shared" si="3"/>
        <v/>
      </c>
      <c r="AG15" s="92" t="str">
        <f t="shared" si="4"/>
        <v/>
      </c>
      <c r="AH15" s="92" t="str">
        <f t="shared" si="5"/>
        <v/>
      </c>
      <c r="AI15" s="92" t="str">
        <f t="shared" si="6"/>
        <v/>
      </c>
      <c r="AJ15" s="92" t="str">
        <f t="shared" si="7"/>
        <v/>
      </c>
      <c r="AK15" s="92" t="str">
        <f t="shared" si="8"/>
        <v/>
      </c>
      <c r="AL15" s="86" t="str">
        <f t="shared" si="9"/>
        <v/>
      </c>
      <c r="AM15" s="86" t="str">
        <f t="array" ref="AM15">IF(A15="","",IF(AB15&lt;&gt;1,0,IF(AND(INDEX(Companies!$R$6:$R$55,MATCH(A15,Companies!$A$6:$A$55,0))=1,INDEX(Companies!$I$6:$I$55,MATCH(A15,Companies!$A$6:$A$55,0))&gt;=MAX(10,Rules!$B$22)),1,0)))</f>
        <v/>
      </c>
      <c r="AN15" s="86" t="str">
        <f>IFERROR(__xludf.DUMMYFUNCTION("IF(A15="""","""",IFERROR(IF(AND(OR(C15=""FY0"",C15=""FY-1"",C15=""FY-2""),AD15=1,COUNTIFS($A$6:$A$205,A15,$C$6:$C$205,""FY0"",$AD$6:$AD$205,1)=1,COUNTIFS($A$6:$A$205,A15,$C$6:$C$205,""TTM"",$AD$6:$AD$205,1)=1,G15=IFNA(INDEX(FILTER($G$6:$G$205,$A$6:$A$205="&amp;"A15,$C$6:$C$205=""TTM"",$AD$6:$AD$205=1),1),""""),I15=IFNA(INDEX(FILTER($I$6:$I$205,$A$6:$A$205=A15,$C$6:$C$205=""TTM"",$AD$6:$AD$205=1),1),""""),SUMIFS($D$6:$D$205,$A$6:$A$205,A15,$C$6:$C$205,""FY0"",$AD$6:$AD$205,1)&lt;=SUMIFS($D$6:$D$205,$A$6:$A$205,A15,$"&amp;"C$6:$C$205,""TTM"",$AD$6:$AD$205,1),SUMIFS($D$6:$D$205,$A$6:$A$205,A15,$C$6:$C$205,""TTM"",$AD$6:$AD$205,1)-SUMIFS($D$6:$D$205,$A$6:$A$205,A15,$C$6:$C$205,""FY0"",$AD$6:$AD$205,1)&lt;366,ABS(D15-EDATE(SUMIFS($D$6:$D$205,$A$6:$A$205,A15,$C$6:$C$205,""FY0"",$A"&amp;"D$6:$AD$205,1),IF(C15=""FY0"",0,IF(C15=""FY-1"",-12,-24))))&lt;=31),1,0),0))"),"")</f>
        <v/>
      </c>
    </row>
    <row r="16" ht="31.5" customHeight="1">
      <c r="A16" s="85"/>
      <c r="B16" s="86" t="str">
        <f t="array" ref="B16">IF(A16="","",IF(AB16&lt;&gt;1,"Unmatched issuer",INDEX(Companies!$C$6:$C$55,MATCH(A16,Companies!$A$6:$A$55,0))))</f>
        <v/>
      </c>
      <c r="C16" s="87"/>
      <c r="D16" s="88"/>
      <c r="E16" s="88"/>
      <c r="F16" s="88"/>
      <c r="G16" s="87"/>
      <c r="H16" s="87"/>
      <c r="I16" s="85"/>
      <c r="J16" s="89"/>
      <c r="K16" s="89"/>
      <c r="L16" s="90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0"/>
      <c r="Z16" s="85"/>
      <c r="AA16" s="85"/>
      <c r="AB16" s="86" t="str">
        <f>IF(A16="","",COUNTIF(Companies!$A$6:$A$55,A16))</f>
        <v/>
      </c>
      <c r="AC16" s="86" t="str">
        <f t="shared" si="1"/>
        <v/>
      </c>
      <c r="AD16" s="86" t="str">
        <f>IF(A16="","",IFERROR(IF(AND(AB16=1,AC16=1,AM16=1,OR(C16="TTM",C16="FY0",C16="FY-1",C16="FY-2"),ISNUMBER(D16),D16&lt;=Rules!$B$6,ISNUMBER(E16),E16&gt;=D16,E16&lt;=Rules!$B$6,ISNUMBER(F16),ABS(D16-F16-365)&lt;=31,OR(G16="US GAAP",G16="IFRS"),H16="Yes",I16&lt;&gt;"",COUNT(J16:R16)=9,J16&gt;0,L16&gt;-1,L16&lt;1,M16&gt;=0,N16&gt;=0,Q16&gt;=0,R16&gt;=0,M16+O16-Q16&gt;0,N16+P16-R16&gt;0,Z16&lt;&gt;"",AA16&lt;&gt;""),1,0),0))</f>
        <v/>
      </c>
      <c r="AE16" s="91" t="str">
        <f t="shared" si="2"/>
        <v/>
      </c>
      <c r="AF16" s="91" t="str">
        <f t="shared" si="3"/>
        <v/>
      </c>
      <c r="AG16" s="92" t="str">
        <f t="shared" si="4"/>
        <v/>
      </c>
      <c r="AH16" s="92" t="str">
        <f t="shared" si="5"/>
        <v/>
      </c>
      <c r="AI16" s="92" t="str">
        <f t="shared" si="6"/>
        <v/>
      </c>
      <c r="AJ16" s="92" t="str">
        <f t="shared" si="7"/>
        <v/>
      </c>
      <c r="AK16" s="92" t="str">
        <f t="shared" si="8"/>
        <v/>
      </c>
      <c r="AL16" s="86" t="str">
        <f t="shared" si="9"/>
        <v/>
      </c>
      <c r="AM16" s="86" t="str">
        <f t="array" ref="AM16">IF(A16="","",IF(AB16&lt;&gt;1,0,IF(AND(INDEX(Companies!$R$6:$R$55,MATCH(A16,Companies!$A$6:$A$55,0))=1,INDEX(Companies!$I$6:$I$55,MATCH(A16,Companies!$A$6:$A$55,0))&gt;=MAX(10,Rules!$B$22)),1,0)))</f>
        <v/>
      </c>
      <c r="AN16" s="86" t="str">
        <f>IFERROR(__xludf.DUMMYFUNCTION("IF(A16="""","""",IFERROR(IF(AND(OR(C16=""FY0"",C16=""FY-1"",C16=""FY-2""),AD16=1,COUNTIFS($A$6:$A$205,A16,$C$6:$C$205,""FY0"",$AD$6:$AD$205,1)=1,COUNTIFS($A$6:$A$205,A16,$C$6:$C$205,""TTM"",$AD$6:$AD$205,1)=1,G16=IFNA(INDEX(FILTER($G$6:$G$205,$A$6:$A$205="&amp;"A16,$C$6:$C$205=""TTM"",$AD$6:$AD$205=1),1),""""),I16=IFNA(INDEX(FILTER($I$6:$I$205,$A$6:$A$205=A16,$C$6:$C$205=""TTM"",$AD$6:$AD$205=1),1),""""),SUMIFS($D$6:$D$205,$A$6:$A$205,A16,$C$6:$C$205,""FY0"",$AD$6:$AD$205,1)&lt;=SUMIFS($D$6:$D$205,$A$6:$A$205,A16,$"&amp;"C$6:$C$205,""TTM"",$AD$6:$AD$205,1),SUMIFS($D$6:$D$205,$A$6:$A$205,A16,$C$6:$C$205,""TTM"",$AD$6:$AD$205,1)-SUMIFS($D$6:$D$205,$A$6:$A$205,A16,$C$6:$C$205,""FY0"",$AD$6:$AD$205,1)&lt;366,ABS(D16-EDATE(SUMIFS($D$6:$D$205,$A$6:$A$205,A16,$C$6:$C$205,""FY0"",$A"&amp;"D$6:$AD$205,1),IF(C16=""FY0"",0,IF(C16=""FY-1"",-12,-24))))&lt;=31),1,0),0))"),"")</f>
        <v/>
      </c>
    </row>
    <row r="17" ht="31.5" customHeight="1">
      <c r="A17" s="85"/>
      <c r="B17" s="86" t="str">
        <f t="array" ref="B17">IF(A17="","",IF(AB17&lt;&gt;1,"Unmatched issuer",INDEX(Companies!$C$6:$C$55,MATCH(A17,Companies!$A$6:$A$55,0))))</f>
        <v/>
      </c>
      <c r="C17" s="87"/>
      <c r="D17" s="88"/>
      <c r="E17" s="88"/>
      <c r="F17" s="88"/>
      <c r="G17" s="87"/>
      <c r="H17" s="87"/>
      <c r="I17" s="85"/>
      <c r="J17" s="89"/>
      <c r="K17" s="89"/>
      <c r="L17" s="90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5"/>
      <c r="AA17" s="85"/>
      <c r="AB17" s="86" t="str">
        <f>IF(A17="","",COUNTIF(Companies!$A$6:$A$55,A17))</f>
        <v/>
      </c>
      <c r="AC17" s="86" t="str">
        <f t="shared" si="1"/>
        <v/>
      </c>
      <c r="AD17" s="86" t="str">
        <f>IF(A17="","",IFERROR(IF(AND(AB17=1,AC17=1,AM17=1,OR(C17="TTM",C17="FY0",C17="FY-1",C17="FY-2"),ISNUMBER(D17),D17&lt;=Rules!$B$6,ISNUMBER(E17),E17&gt;=D17,E17&lt;=Rules!$B$6,ISNUMBER(F17),ABS(D17-F17-365)&lt;=31,OR(G17="US GAAP",G17="IFRS"),H17="Yes",I17&lt;&gt;"",COUNT(J17:R17)=9,J17&gt;0,L17&gt;-1,L17&lt;1,M17&gt;=0,N17&gt;=0,Q17&gt;=0,R17&gt;=0,M17+O17-Q17&gt;0,N17+P17-R17&gt;0,Z17&lt;&gt;"",AA17&lt;&gt;""),1,0),0))</f>
        <v/>
      </c>
      <c r="AE17" s="91" t="str">
        <f t="shared" si="2"/>
        <v/>
      </c>
      <c r="AF17" s="91" t="str">
        <f t="shared" si="3"/>
        <v/>
      </c>
      <c r="AG17" s="92" t="str">
        <f t="shared" si="4"/>
        <v/>
      </c>
      <c r="AH17" s="92" t="str">
        <f t="shared" si="5"/>
        <v/>
      </c>
      <c r="AI17" s="92" t="str">
        <f t="shared" si="6"/>
        <v/>
      </c>
      <c r="AJ17" s="92" t="str">
        <f t="shared" si="7"/>
        <v/>
      </c>
      <c r="AK17" s="92" t="str">
        <f t="shared" si="8"/>
        <v/>
      </c>
      <c r="AL17" s="86" t="str">
        <f t="shared" si="9"/>
        <v/>
      </c>
      <c r="AM17" s="86" t="str">
        <f t="array" ref="AM17">IF(A17="","",IF(AB17&lt;&gt;1,0,IF(AND(INDEX(Companies!$R$6:$R$55,MATCH(A17,Companies!$A$6:$A$55,0))=1,INDEX(Companies!$I$6:$I$55,MATCH(A17,Companies!$A$6:$A$55,0))&gt;=MAX(10,Rules!$B$22)),1,0)))</f>
        <v/>
      </c>
      <c r="AN17" s="86" t="str">
        <f>IFERROR(__xludf.DUMMYFUNCTION("IF(A17="""","""",IFERROR(IF(AND(OR(C17=""FY0"",C17=""FY-1"",C17=""FY-2""),AD17=1,COUNTIFS($A$6:$A$205,A17,$C$6:$C$205,""FY0"",$AD$6:$AD$205,1)=1,COUNTIFS($A$6:$A$205,A17,$C$6:$C$205,""TTM"",$AD$6:$AD$205,1)=1,G17=IFNA(INDEX(FILTER($G$6:$G$205,$A$6:$A$205="&amp;"A17,$C$6:$C$205=""TTM"",$AD$6:$AD$205=1),1),""""),I17=IFNA(INDEX(FILTER($I$6:$I$205,$A$6:$A$205=A17,$C$6:$C$205=""TTM"",$AD$6:$AD$205=1),1),""""),SUMIFS($D$6:$D$205,$A$6:$A$205,A17,$C$6:$C$205,""FY0"",$AD$6:$AD$205,1)&lt;=SUMIFS($D$6:$D$205,$A$6:$A$205,A17,$"&amp;"C$6:$C$205,""TTM"",$AD$6:$AD$205,1),SUMIFS($D$6:$D$205,$A$6:$A$205,A17,$C$6:$C$205,""TTM"",$AD$6:$AD$205,1)-SUMIFS($D$6:$D$205,$A$6:$A$205,A17,$C$6:$C$205,""FY0"",$AD$6:$AD$205,1)&lt;366,ABS(D17-EDATE(SUMIFS($D$6:$D$205,$A$6:$A$205,A17,$C$6:$C$205,""FY0"",$A"&amp;"D$6:$AD$205,1),IF(C17=""FY0"",0,IF(C17=""FY-1"",-12,-24))))&lt;=31),1,0),0))"),"")</f>
        <v/>
      </c>
    </row>
    <row r="18" ht="31.5" customHeight="1">
      <c r="A18" s="85"/>
      <c r="B18" s="86" t="str">
        <f t="array" ref="B18">IF(A18="","",IF(AB18&lt;&gt;1,"Unmatched issuer",INDEX(Companies!$C$6:$C$55,MATCH(A18,Companies!$A$6:$A$55,0))))</f>
        <v/>
      </c>
      <c r="C18" s="87"/>
      <c r="D18" s="88"/>
      <c r="E18" s="88"/>
      <c r="F18" s="88"/>
      <c r="G18" s="87"/>
      <c r="H18" s="87"/>
      <c r="I18" s="85"/>
      <c r="J18" s="89"/>
      <c r="K18" s="89"/>
      <c r="L18" s="90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85"/>
      <c r="AA18" s="85"/>
      <c r="AB18" s="86" t="str">
        <f>IF(A18="","",COUNTIF(Companies!$A$6:$A$55,A18))</f>
        <v/>
      </c>
      <c r="AC18" s="86" t="str">
        <f t="shared" si="1"/>
        <v/>
      </c>
      <c r="AD18" s="86" t="str">
        <f>IF(A18="","",IFERROR(IF(AND(AB18=1,AC18=1,AM18=1,OR(C18="TTM",C18="FY0",C18="FY-1",C18="FY-2"),ISNUMBER(D18),D18&lt;=Rules!$B$6,ISNUMBER(E18),E18&gt;=D18,E18&lt;=Rules!$B$6,ISNUMBER(F18),ABS(D18-F18-365)&lt;=31,OR(G18="US GAAP",G18="IFRS"),H18="Yes",I18&lt;&gt;"",COUNT(J18:R18)=9,J18&gt;0,L18&gt;-1,L18&lt;1,M18&gt;=0,N18&gt;=0,Q18&gt;=0,R18&gt;=0,M18+O18-Q18&gt;0,N18+P18-R18&gt;0,Z18&lt;&gt;"",AA18&lt;&gt;""),1,0),0))</f>
        <v/>
      </c>
      <c r="AE18" s="91" t="str">
        <f t="shared" si="2"/>
        <v/>
      </c>
      <c r="AF18" s="91" t="str">
        <f t="shared" si="3"/>
        <v/>
      </c>
      <c r="AG18" s="92" t="str">
        <f t="shared" si="4"/>
        <v/>
      </c>
      <c r="AH18" s="92" t="str">
        <f t="shared" si="5"/>
        <v/>
      </c>
      <c r="AI18" s="92" t="str">
        <f t="shared" si="6"/>
        <v/>
      </c>
      <c r="AJ18" s="92" t="str">
        <f t="shared" si="7"/>
        <v/>
      </c>
      <c r="AK18" s="92" t="str">
        <f t="shared" si="8"/>
        <v/>
      </c>
      <c r="AL18" s="86" t="str">
        <f t="shared" si="9"/>
        <v/>
      </c>
      <c r="AM18" s="86" t="str">
        <f t="array" ref="AM18">IF(A18="","",IF(AB18&lt;&gt;1,0,IF(AND(INDEX(Companies!$R$6:$R$55,MATCH(A18,Companies!$A$6:$A$55,0))=1,INDEX(Companies!$I$6:$I$55,MATCH(A18,Companies!$A$6:$A$55,0))&gt;=MAX(10,Rules!$B$22)),1,0)))</f>
        <v/>
      </c>
      <c r="AN18" s="86" t="str">
        <f>IFERROR(__xludf.DUMMYFUNCTION("IF(A18="""","""",IFERROR(IF(AND(OR(C18=""FY0"",C18=""FY-1"",C18=""FY-2""),AD18=1,COUNTIFS($A$6:$A$205,A18,$C$6:$C$205,""FY0"",$AD$6:$AD$205,1)=1,COUNTIFS($A$6:$A$205,A18,$C$6:$C$205,""TTM"",$AD$6:$AD$205,1)=1,G18=IFNA(INDEX(FILTER($G$6:$G$205,$A$6:$A$205="&amp;"A18,$C$6:$C$205=""TTM"",$AD$6:$AD$205=1),1),""""),I18=IFNA(INDEX(FILTER($I$6:$I$205,$A$6:$A$205=A18,$C$6:$C$205=""TTM"",$AD$6:$AD$205=1),1),""""),SUMIFS($D$6:$D$205,$A$6:$A$205,A18,$C$6:$C$205,""FY0"",$AD$6:$AD$205,1)&lt;=SUMIFS($D$6:$D$205,$A$6:$A$205,A18,$"&amp;"C$6:$C$205,""TTM"",$AD$6:$AD$205,1),SUMIFS($D$6:$D$205,$A$6:$A$205,A18,$C$6:$C$205,""TTM"",$AD$6:$AD$205,1)-SUMIFS($D$6:$D$205,$A$6:$A$205,A18,$C$6:$C$205,""FY0"",$AD$6:$AD$205,1)&lt;366,ABS(D18-EDATE(SUMIFS($D$6:$D$205,$A$6:$A$205,A18,$C$6:$C$205,""FY0"",$A"&amp;"D$6:$AD$205,1),IF(C18=""FY0"",0,IF(C18=""FY-1"",-12,-24))))&lt;=31),1,0),0))"),"")</f>
        <v/>
      </c>
    </row>
    <row r="19" ht="31.5" customHeight="1">
      <c r="A19" s="85"/>
      <c r="B19" s="86" t="str">
        <f t="array" ref="B19">IF(A19="","",IF(AB19&lt;&gt;1,"Unmatched issuer",INDEX(Companies!$C$6:$C$55,MATCH(A19,Companies!$A$6:$A$55,0))))</f>
        <v/>
      </c>
      <c r="C19" s="87"/>
      <c r="D19" s="88"/>
      <c r="E19" s="88"/>
      <c r="F19" s="88"/>
      <c r="G19" s="87"/>
      <c r="H19" s="87"/>
      <c r="I19" s="85"/>
      <c r="J19" s="89"/>
      <c r="K19" s="89"/>
      <c r="L19" s="90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5"/>
      <c r="AA19" s="85"/>
      <c r="AB19" s="86" t="str">
        <f>IF(A19="","",COUNTIF(Companies!$A$6:$A$55,A19))</f>
        <v/>
      </c>
      <c r="AC19" s="86" t="str">
        <f t="shared" si="1"/>
        <v/>
      </c>
      <c r="AD19" s="86" t="str">
        <f>IF(A19="","",IFERROR(IF(AND(AB19=1,AC19=1,AM19=1,OR(C19="TTM",C19="FY0",C19="FY-1",C19="FY-2"),ISNUMBER(D19),D19&lt;=Rules!$B$6,ISNUMBER(E19),E19&gt;=D19,E19&lt;=Rules!$B$6,ISNUMBER(F19),ABS(D19-F19-365)&lt;=31,OR(G19="US GAAP",G19="IFRS"),H19="Yes",I19&lt;&gt;"",COUNT(J19:R19)=9,J19&gt;0,L19&gt;-1,L19&lt;1,M19&gt;=0,N19&gt;=0,Q19&gt;=0,R19&gt;=0,M19+O19-Q19&gt;0,N19+P19-R19&gt;0,Z19&lt;&gt;"",AA19&lt;&gt;""),1,0),0))</f>
        <v/>
      </c>
      <c r="AE19" s="91" t="str">
        <f t="shared" si="2"/>
        <v/>
      </c>
      <c r="AF19" s="91" t="str">
        <f t="shared" si="3"/>
        <v/>
      </c>
      <c r="AG19" s="92" t="str">
        <f t="shared" si="4"/>
        <v/>
      </c>
      <c r="AH19" s="92" t="str">
        <f t="shared" si="5"/>
        <v/>
      </c>
      <c r="AI19" s="92" t="str">
        <f t="shared" si="6"/>
        <v/>
      </c>
      <c r="AJ19" s="92" t="str">
        <f t="shared" si="7"/>
        <v/>
      </c>
      <c r="AK19" s="92" t="str">
        <f t="shared" si="8"/>
        <v/>
      </c>
      <c r="AL19" s="86" t="str">
        <f t="shared" si="9"/>
        <v/>
      </c>
      <c r="AM19" s="86" t="str">
        <f t="array" ref="AM19">IF(A19="","",IF(AB19&lt;&gt;1,0,IF(AND(INDEX(Companies!$R$6:$R$55,MATCH(A19,Companies!$A$6:$A$55,0))=1,INDEX(Companies!$I$6:$I$55,MATCH(A19,Companies!$A$6:$A$55,0))&gt;=MAX(10,Rules!$B$22)),1,0)))</f>
        <v/>
      </c>
      <c r="AN19" s="86" t="str">
        <f>IFERROR(__xludf.DUMMYFUNCTION("IF(A19="""","""",IFERROR(IF(AND(OR(C19=""FY0"",C19=""FY-1"",C19=""FY-2""),AD19=1,COUNTIFS($A$6:$A$205,A19,$C$6:$C$205,""FY0"",$AD$6:$AD$205,1)=1,COUNTIFS($A$6:$A$205,A19,$C$6:$C$205,""TTM"",$AD$6:$AD$205,1)=1,G19=IFNA(INDEX(FILTER($G$6:$G$205,$A$6:$A$205="&amp;"A19,$C$6:$C$205=""TTM"",$AD$6:$AD$205=1),1),""""),I19=IFNA(INDEX(FILTER($I$6:$I$205,$A$6:$A$205=A19,$C$6:$C$205=""TTM"",$AD$6:$AD$205=1),1),""""),SUMIFS($D$6:$D$205,$A$6:$A$205,A19,$C$6:$C$205,""FY0"",$AD$6:$AD$205,1)&lt;=SUMIFS($D$6:$D$205,$A$6:$A$205,A19,$"&amp;"C$6:$C$205,""TTM"",$AD$6:$AD$205,1),SUMIFS($D$6:$D$205,$A$6:$A$205,A19,$C$6:$C$205,""TTM"",$AD$6:$AD$205,1)-SUMIFS($D$6:$D$205,$A$6:$A$205,A19,$C$6:$C$205,""FY0"",$AD$6:$AD$205,1)&lt;366,ABS(D19-EDATE(SUMIFS($D$6:$D$205,$A$6:$A$205,A19,$C$6:$C$205,""FY0"",$A"&amp;"D$6:$AD$205,1),IF(C19=""FY0"",0,IF(C19=""FY-1"",-12,-24))))&lt;=31),1,0),0))"),"")</f>
        <v/>
      </c>
    </row>
    <row r="20" ht="31.5" customHeight="1">
      <c r="A20" s="85"/>
      <c r="B20" s="86" t="str">
        <f t="array" ref="B20">IF(A20="","",IF(AB20&lt;&gt;1,"Unmatched issuer",INDEX(Companies!$C$6:$C$55,MATCH(A20,Companies!$A$6:$A$55,0))))</f>
        <v/>
      </c>
      <c r="C20" s="87"/>
      <c r="D20" s="88"/>
      <c r="E20" s="88"/>
      <c r="F20" s="88"/>
      <c r="G20" s="87"/>
      <c r="H20" s="87"/>
      <c r="I20" s="85"/>
      <c r="J20" s="89"/>
      <c r="K20" s="89"/>
      <c r="L20" s="90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0"/>
      <c r="Z20" s="85"/>
      <c r="AA20" s="85"/>
      <c r="AB20" s="86" t="str">
        <f>IF(A20="","",COUNTIF(Companies!$A$6:$A$55,A20))</f>
        <v/>
      </c>
      <c r="AC20" s="86" t="str">
        <f t="shared" si="1"/>
        <v/>
      </c>
      <c r="AD20" s="86" t="str">
        <f>IF(A20="","",IFERROR(IF(AND(AB20=1,AC20=1,AM20=1,OR(C20="TTM",C20="FY0",C20="FY-1",C20="FY-2"),ISNUMBER(D20),D20&lt;=Rules!$B$6,ISNUMBER(E20),E20&gt;=D20,E20&lt;=Rules!$B$6,ISNUMBER(F20),ABS(D20-F20-365)&lt;=31,OR(G20="US GAAP",G20="IFRS"),H20="Yes",I20&lt;&gt;"",COUNT(J20:R20)=9,J20&gt;0,L20&gt;-1,L20&lt;1,M20&gt;=0,N20&gt;=0,Q20&gt;=0,R20&gt;=0,M20+O20-Q20&gt;0,N20+P20-R20&gt;0,Z20&lt;&gt;"",AA20&lt;&gt;""),1,0),0))</f>
        <v/>
      </c>
      <c r="AE20" s="91" t="str">
        <f t="shared" si="2"/>
        <v/>
      </c>
      <c r="AF20" s="91" t="str">
        <f t="shared" si="3"/>
        <v/>
      </c>
      <c r="AG20" s="92" t="str">
        <f t="shared" si="4"/>
        <v/>
      </c>
      <c r="AH20" s="92" t="str">
        <f t="shared" si="5"/>
        <v/>
      </c>
      <c r="AI20" s="92" t="str">
        <f t="shared" si="6"/>
        <v/>
      </c>
      <c r="AJ20" s="92" t="str">
        <f t="shared" si="7"/>
        <v/>
      </c>
      <c r="AK20" s="92" t="str">
        <f t="shared" si="8"/>
        <v/>
      </c>
      <c r="AL20" s="86" t="str">
        <f t="shared" si="9"/>
        <v/>
      </c>
      <c r="AM20" s="86" t="str">
        <f t="array" ref="AM20">IF(A20="","",IF(AB20&lt;&gt;1,0,IF(AND(INDEX(Companies!$R$6:$R$55,MATCH(A20,Companies!$A$6:$A$55,0))=1,INDEX(Companies!$I$6:$I$55,MATCH(A20,Companies!$A$6:$A$55,0))&gt;=MAX(10,Rules!$B$22)),1,0)))</f>
        <v/>
      </c>
      <c r="AN20" s="86" t="str">
        <f>IFERROR(__xludf.DUMMYFUNCTION("IF(A20="""","""",IFERROR(IF(AND(OR(C20=""FY0"",C20=""FY-1"",C20=""FY-2""),AD20=1,COUNTIFS($A$6:$A$205,A20,$C$6:$C$205,""FY0"",$AD$6:$AD$205,1)=1,COUNTIFS($A$6:$A$205,A20,$C$6:$C$205,""TTM"",$AD$6:$AD$205,1)=1,G20=IFNA(INDEX(FILTER($G$6:$G$205,$A$6:$A$205="&amp;"A20,$C$6:$C$205=""TTM"",$AD$6:$AD$205=1),1),""""),I20=IFNA(INDEX(FILTER($I$6:$I$205,$A$6:$A$205=A20,$C$6:$C$205=""TTM"",$AD$6:$AD$205=1),1),""""),SUMIFS($D$6:$D$205,$A$6:$A$205,A20,$C$6:$C$205,""FY0"",$AD$6:$AD$205,1)&lt;=SUMIFS($D$6:$D$205,$A$6:$A$205,A20,$"&amp;"C$6:$C$205,""TTM"",$AD$6:$AD$205,1),SUMIFS($D$6:$D$205,$A$6:$A$205,A20,$C$6:$C$205,""TTM"",$AD$6:$AD$205,1)-SUMIFS($D$6:$D$205,$A$6:$A$205,A20,$C$6:$C$205,""FY0"",$AD$6:$AD$205,1)&lt;366,ABS(D20-EDATE(SUMIFS($D$6:$D$205,$A$6:$A$205,A20,$C$6:$C$205,""FY0"",$A"&amp;"D$6:$AD$205,1),IF(C20=""FY0"",0,IF(C20=""FY-1"",-12,-24))))&lt;=31),1,0),0))"),"")</f>
        <v/>
      </c>
    </row>
    <row r="21" ht="31.5" customHeight="1">
      <c r="A21" s="85"/>
      <c r="B21" s="86" t="str">
        <f t="array" ref="B21">IF(A21="","",IF(AB21&lt;&gt;1,"Unmatched issuer",INDEX(Companies!$C$6:$C$55,MATCH(A21,Companies!$A$6:$A$55,0))))</f>
        <v/>
      </c>
      <c r="C21" s="87"/>
      <c r="D21" s="88"/>
      <c r="E21" s="88"/>
      <c r="F21" s="88"/>
      <c r="G21" s="87"/>
      <c r="H21" s="87"/>
      <c r="I21" s="85"/>
      <c r="J21" s="89"/>
      <c r="K21" s="89"/>
      <c r="L21" s="90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90"/>
      <c r="Z21" s="85"/>
      <c r="AA21" s="85"/>
      <c r="AB21" s="86" t="str">
        <f>IF(A21="","",COUNTIF(Companies!$A$6:$A$55,A21))</f>
        <v/>
      </c>
      <c r="AC21" s="86" t="str">
        <f t="shared" si="1"/>
        <v/>
      </c>
      <c r="AD21" s="86" t="str">
        <f>IF(A21="","",IFERROR(IF(AND(AB21=1,AC21=1,AM21=1,OR(C21="TTM",C21="FY0",C21="FY-1",C21="FY-2"),ISNUMBER(D21),D21&lt;=Rules!$B$6,ISNUMBER(E21),E21&gt;=D21,E21&lt;=Rules!$B$6,ISNUMBER(F21),ABS(D21-F21-365)&lt;=31,OR(G21="US GAAP",G21="IFRS"),H21="Yes",I21&lt;&gt;"",COUNT(J21:R21)=9,J21&gt;0,L21&gt;-1,L21&lt;1,M21&gt;=0,N21&gt;=0,Q21&gt;=0,R21&gt;=0,M21+O21-Q21&gt;0,N21+P21-R21&gt;0,Z21&lt;&gt;"",AA21&lt;&gt;""),1,0),0))</f>
        <v/>
      </c>
      <c r="AE21" s="91" t="str">
        <f t="shared" si="2"/>
        <v/>
      </c>
      <c r="AF21" s="91" t="str">
        <f t="shared" si="3"/>
        <v/>
      </c>
      <c r="AG21" s="92" t="str">
        <f t="shared" si="4"/>
        <v/>
      </c>
      <c r="AH21" s="92" t="str">
        <f t="shared" si="5"/>
        <v/>
      </c>
      <c r="AI21" s="92" t="str">
        <f t="shared" si="6"/>
        <v/>
      </c>
      <c r="AJ21" s="92" t="str">
        <f t="shared" si="7"/>
        <v/>
      </c>
      <c r="AK21" s="92" t="str">
        <f t="shared" si="8"/>
        <v/>
      </c>
      <c r="AL21" s="86" t="str">
        <f t="shared" si="9"/>
        <v/>
      </c>
      <c r="AM21" s="86" t="str">
        <f t="array" ref="AM21">IF(A21="","",IF(AB21&lt;&gt;1,0,IF(AND(INDEX(Companies!$R$6:$R$55,MATCH(A21,Companies!$A$6:$A$55,0))=1,INDEX(Companies!$I$6:$I$55,MATCH(A21,Companies!$A$6:$A$55,0))&gt;=MAX(10,Rules!$B$22)),1,0)))</f>
        <v/>
      </c>
      <c r="AN21" s="86" t="str">
        <f>IFERROR(__xludf.DUMMYFUNCTION("IF(A21="""","""",IFERROR(IF(AND(OR(C21=""FY0"",C21=""FY-1"",C21=""FY-2""),AD21=1,COUNTIFS($A$6:$A$205,A21,$C$6:$C$205,""FY0"",$AD$6:$AD$205,1)=1,COUNTIFS($A$6:$A$205,A21,$C$6:$C$205,""TTM"",$AD$6:$AD$205,1)=1,G21=IFNA(INDEX(FILTER($G$6:$G$205,$A$6:$A$205="&amp;"A21,$C$6:$C$205=""TTM"",$AD$6:$AD$205=1),1),""""),I21=IFNA(INDEX(FILTER($I$6:$I$205,$A$6:$A$205=A21,$C$6:$C$205=""TTM"",$AD$6:$AD$205=1),1),""""),SUMIFS($D$6:$D$205,$A$6:$A$205,A21,$C$6:$C$205,""FY0"",$AD$6:$AD$205,1)&lt;=SUMIFS($D$6:$D$205,$A$6:$A$205,A21,$"&amp;"C$6:$C$205,""TTM"",$AD$6:$AD$205,1),SUMIFS($D$6:$D$205,$A$6:$A$205,A21,$C$6:$C$205,""TTM"",$AD$6:$AD$205,1)-SUMIFS($D$6:$D$205,$A$6:$A$205,A21,$C$6:$C$205,""FY0"",$AD$6:$AD$205,1)&lt;366,ABS(D21-EDATE(SUMIFS($D$6:$D$205,$A$6:$A$205,A21,$C$6:$C$205,""FY0"",$A"&amp;"D$6:$AD$205,1),IF(C21=""FY0"",0,IF(C21=""FY-1"",-12,-24))))&lt;=31),1,0),0))"),"")</f>
        <v/>
      </c>
    </row>
    <row r="22" ht="31.5" customHeight="1">
      <c r="A22" s="85"/>
      <c r="B22" s="86" t="str">
        <f t="array" ref="B22">IF(A22="","",IF(AB22&lt;&gt;1,"Unmatched issuer",INDEX(Companies!$C$6:$C$55,MATCH(A22,Companies!$A$6:$A$55,0))))</f>
        <v/>
      </c>
      <c r="C22" s="87"/>
      <c r="D22" s="88"/>
      <c r="E22" s="88"/>
      <c r="F22" s="88"/>
      <c r="G22" s="87"/>
      <c r="H22" s="87"/>
      <c r="I22" s="85"/>
      <c r="J22" s="89"/>
      <c r="K22" s="89"/>
      <c r="L22" s="90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85"/>
      <c r="AA22" s="85"/>
      <c r="AB22" s="86" t="str">
        <f>IF(A22="","",COUNTIF(Companies!$A$6:$A$55,A22))</f>
        <v/>
      </c>
      <c r="AC22" s="86" t="str">
        <f t="shared" si="1"/>
        <v/>
      </c>
      <c r="AD22" s="86" t="str">
        <f>IF(A22="","",IFERROR(IF(AND(AB22=1,AC22=1,AM22=1,OR(C22="TTM",C22="FY0",C22="FY-1",C22="FY-2"),ISNUMBER(D22),D22&lt;=Rules!$B$6,ISNUMBER(E22),E22&gt;=D22,E22&lt;=Rules!$B$6,ISNUMBER(F22),ABS(D22-F22-365)&lt;=31,OR(G22="US GAAP",G22="IFRS"),H22="Yes",I22&lt;&gt;"",COUNT(J22:R22)=9,J22&gt;0,L22&gt;-1,L22&lt;1,M22&gt;=0,N22&gt;=0,Q22&gt;=0,R22&gt;=0,M22+O22-Q22&gt;0,N22+P22-R22&gt;0,Z22&lt;&gt;"",AA22&lt;&gt;""),1,0),0))</f>
        <v/>
      </c>
      <c r="AE22" s="91" t="str">
        <f t="shared" si="2"/>
        <v/>
      </c>
      <c r="AF22" s="91" t="str">
        <f t="shared" si="3"/>
        <v/>
      </c>
      <c r="AG22" s="92" t="str">
        <f t="shared" si="4"/>
        <v/>
      </c>
      <c r="AH22" s="92" t="str">
        <f t="shared" si="5"/>
        <v/>
      </c>
      <c r="AI22" s="92" t="str">
        <f t="shared" si="6"/>
        <v/>
      </c>
      <c r="AJ22" s="92" t="str">
        <f t="shared" si="7"/>
        <v/>
      </c>
      <c r="AK22" s="92" t="str">
        <f t="shared" si="8"/>
        <v/>
      </c>
      <c r="AL22" s="86" t="str">
        <f t="shared" si="9"/>
        <v/>
      </c>
      <c r="AM22" s="86" t="str">
        <f t="array" ref="AM22">IF(A22="","",IF(AB22&lt;&gt;1,0,IF(AND(INDEX(Companies!$R$6:$R$55,MATCH(A22,Companies!$A$6:$A$55,0))=1,INDEX(Companies!$I$6:$I$55,MATCH(A22,Companies!$A$6:$A$55,0))&gt;=MAX(10,Rules!$B$22)),1,0)))</f>
        <v/>
      </c>
      <c r="AN22" s="86" t="str">
        <f>IFERROR(__xludf.DUMMYFUNCTION("IF(A22="""","""",IFERROR(IF(AND(OR(C22=""FY0"",C22=""FY-1"",C22=""FY-2""),AD22=1,COUNTIFS($A$6:$A$205,A22,$C$6:$C$205,""FY0"",$AD$6:$AD$205,1)=1,COUNTIFS($A$6:$A$205,A22,$C$6:$C$205,""TTM"",$AD$6:$AD$205,1)=1,G22=IFNA(INDEX(FILTER($G$6:$G$205,$A$6:$A$205="&amp;"A22,$C$6:$C$205=""TTM"",$AD$6:$AD$205=1),1),""""),I22=IFNA(INDEX(FILTER($I$6:$I$205,$A$6:$A$205=A22,$C$6:$C$205=""TTM"",$AD$6:$AD$205=1),1),""""),SUMIFS($D$6:$D$205,$A$6:$A$205,A22,$C$6:$C$205,""FY0"",$AD$6:$AD$205,1)&lt;=SUMIFS($D$6:$D$205,$A$6:$A$205,A22,$"&amp;"C$6:$C$205,""TTM"",$AD$6:$AD$205,1),SUMIFS($D$6:$D$205,$A$6:$A$205,A22,$C$6:$C$205,""TTM"",$AD$6:$AD$205,1)-SUMIFS($D$6:$D$205,$A$6:$A$205,A22,$C$6:$C$205,""FY0"",$AD$6:$AD$205,1)&lt;366,ABS(D22-EDATE(SUMIFS($D$6:$D$205,$A$6:$A$205,A22,$C$6:$C$205,""FY0"",$A"&amp;"D$6:$AD$205,1),IF(C22=""FY0"",0,IF(C22=""FY-1"",-12,-24))))&lt;=31),1,0),0))"),"")</f>
        <v/>
      </c>
    </row>
    <row r="23" ht="31.5" customHeight="1">
      <c r="A23" s="85"/>
      <c r="B23" s="86" t="str">
        <f t="array" ref="B23">IF(A23="","",IF(AB23&lt;&gt;1,"Unmatched issuer",INDEX(Companies!$C$6:$C$55,MATCH(A23,Companies!$A$6:$A$55,0))))</f>
        <v/>
      </c>
      <c r="C23" s="87"/>
      <c r="D23" s="88"/>
      <c r="E23" s="88"/>
      <c r="F23" s="88"/>
      <c r="G23" s="87"/>
      <c r="H23" s="87"/>
      <c r="I23" s="85"/>
      <c r="J23" s="89"/>
      <c r="K23" s="89"/>
      <c r="L23" s="90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5"/>
      <c r="AA23" s="85"/>
      <c r="AB23" s="86" t="str">
        <f>IF(A23="","",COUNTIF(Companies!$A$6:$A$55,A23))</f>
        <v/>
      </c>
      <c r="AC23" s="86" t="str">
        <f t="shared" si="1"/>
        <v/>
      </c>
      <c r="AD23" s="86" t="str">
        <f>IF(A23="","",IFERROR(IF(AND(AB23=1,AC23=1,AM23=1,OR(C23="TTM",C23="FY0",C23="FY-1",C23="FY-2"),ISNUMBER(D23),D23&lt;=Rules!$B$6,ISNUMBER(E23),E23&gt;=D23,E23&lt;=Rules!$B$6,ISNUMBER(F23),ABS(D23-F23-365)&lt;=31,OR(G23="US GAAP",G23="IFRS"),H23="Yes",I23&lt;&gt;"",COUNT(J23:R23)=9,J23&gt;0,L23&gt;-1,L23&lt;1,M23&gt;=0,N23&gt;=0,Q23&gt;=0,R23&gt;=0,M23+O23-Q23&gt;0,N23+P23-R23&gt;0,Z23&lt;&gt;"",AA23&lt;&gt;""),1,0),0))</f>
        <v/>
      </c>
      <c r="AE23" s="91" t="str">
        <f t="shared" si="2"/>
        <v/>
      </c>
      <c r="AF23" s="91" t="str">
        <f t="shared" si="3"/>
        <v/>
      </c>
      <c r="AG23" s="92" t="str">
        <f t="shared" si="4"/>
        <v/>
      </c>
      <c r="AH23" s="92" t="str">
        <f t="shared" si="5"/>
        <v/>
      </c>
      <c r="AI23" s="92" t="str">
        <f t="shared" si="6"/>
        <v/>
      </c>
      <c r="AJ23" s="92" t="str">
        <f t="shared" si="7"/>
        <v/>
      </c>
      <c r="AK23" s="92" t="str">
        <f t="shared" si="8"/>
        <v/>
      </c>
      <c r="AL23" s="86" t="str">
        <f t="shared" si="9"/>
        <v/>
      </c>
      <c r="AM23" s="86" t="str">
        <f t="array" ref="AM23">IF(A23="","",IF(AB23&lt;&gt;1,0,IF(AND(INDEX(Companies!$R$6:$R$55,MATCH(A23,Companies!$A$6:$A$55,0))=1,INDEX(Companies!$I$6:$I$55,MATCH(A23,Companies!$A$6:$A$55,0))&gt;=MAX(10,Rules!$B$22)),1,0)))</f>
        <v/>
      </c>
      <c r="AN23" s="86" t="str">
        <f>IFERROR(__xludf.DUMMYFUNCTION("IF(A23="""","""",IFERROR(IF(AND(OR(C23=""FY0"",C23=""FY-1"",C23=""FY-2""),AD23=1,COUNTIFS($A$6:$A$205,A23,$C$6:$C$205,""FY0"",$AD$6:$AD$205,1)=1,COUNTIFS($A$6:$A$205,A23,$C$6:$C$205,""TTM"",$AD$6:$AD$205,1)=1,G23=IFNA(INDEX(FILTER($G$6:$G$205,$A$6:$A$205="&amp;"A23,$C$6:$C$205=""TTM"",$AD$6:$AD$205=1),1),""""),I23=IFNA(INDEX(FILTER($I$6:$I$205,$A$6:$A$205=A23,$C$6:$C$205=""TTM"",$AD$6:$AD$205=1),1),""""),SUMIFS($D$6:$D$205,$A$6:$A$205,A23,$C$6:$C$205,""FY0"",$AD$6:$AD$205,1)&lt;=SUMIFS($D$6:$D$205,$A$6:$A$205,A23,$"&amp;"C$6:$C$205,""TTM"",$AD$6:$AD$205,1),SUMIFS($D$6:$D$205,$A$6:$A$205,A23,$C$6:$C$205,""TTM"",$AD$6:$AD$205,1)-SUMIFS($D$6:$D$205,$A$6:$A$205,A23,$C$6:$C$205,""FY0"",$AD$6:$AD$205,1)&lt;366,ABS(D23-EDATE(SUMIFS($D$6:$D$205,$A$6:$A$205,A23,$C$6:$C$205,""FY0"",$A"&amp;"D$6:$AD$205,1),IF(C23=""FY0"",0,IF(C23=""FY-1"",-12,-24))))&lt;=31),1,0),0))"),"")</f>
        <v/>
      </c>
    </row>
    <row r="24" ht="31.5" customHeight="1">
      <c r="A24" s="85"/>
      <c r="B24" s="86" t="str">
        <f t="array" ref="B24">IF(A24="","",IF(AB24&lt;&gt;1,"Unmatched issuer",INDEX(Companies!$C$6:$C$55,MATCH(A24,Companies!$A$6:$A$55,0))))</f>
        <v/>
      </c>
      <c r="C24" s="87"/>
      <c r="D24" s="88"/>
      <c r="E24" s="88"/>
      <c r="F24" s="88"/>
      <c r="G24" s="87"/>
      <c r="H24" s="87"/>
      <c r="I24" s="85"/>
      <c r="J24" s="89"/>
      <c r="K24" s="89"/>
      <c r="L24" s="90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90"/>
      <c r="Z24" s="85"/>
      <c r="AA24" s="85"/>
      <c r="AB24" s="86" t="str">
        <f>IF(A24="","",COUNTIF(Companies!$A$6:$A$55,A24))</f>
        <v/>
      </c>
      <c r="AC24" s="86" t="str">
        <f t="shared" si="1"/>
        <v/>
      </c>
      <c r="AD24" s="86" t="str">
        <f>IF(A24="","",IFERROR(IF(AND(AB24=1,AC24=1,AM24=1,OR(C24="TTM",C24="FY0",C24="FY-1",C24="FY-2"),ISNUMBER(D24),D24&lt;=Rules!$B$6,ISNUMBER(E24),E24&gt;=D24,E24&lt;=Rules!$B$6,ISNUMBER(F24),ABS(D24-F24-365)&lt;=31,OR(G24="US GAAP",G24="IFRS"),H24="Yes",I24&lt;&gt;"",COUNT(J24:R24)=9,J24&gt;0,L24&gt;-1,L24&lt;1,M24&gt;=0,N24&gt;=0,Q24&gt;=0,R24&gt;=0,M24+O24-Q24&gt;0,N24+P24-R24&gt;0,Z24&lt;&gt;"",AA24&lt;&gt;""),1,0),0))</f>
        <v/>
      </c>
      <c r="AE24" s="91" t="str">
        <f t="shared" si="2"/>
        <v/>
      </c>
      <c r="AF24" s="91" t="str">
        <f t="shared" si="3"/>
        <v/>
      </c>
      <c r="AG24" s="92" t="str">
        <f t="shared" si="4"/>
        <v/>
      </c>
      <c r="AH24" s="92" t="str">
        <f t="shared" si="5"/>
        <v/>
      </c>
      <c r="AI24" s="92" t="str">
        <f t="shared" si="6"/>
        <v/>
      </c>
      <c r="AJ24" s="92" t="str">
        <f t="shared" si="7"/>
        <v/>
      </c>
      <c r="AK24" s="92" t="str">
        <f t="shared" si="8"/>
        <v/>
      </c>
      <c r="AL24" s="86" t="str">
        <f t="shared" si="9"/>
        <v/>
      </c>
      <c r="AM24" s="86" t="str">
        <f t="array" ref="AM24">IF(A24="","",IF(AB24&lt;&gt;1,0,IF(AND(INDEX(Companies!$R$6:$R$55,MATCH(A24,Companies!$A$6:$A$55,0))=1,INDEX(Companies!$I$6:$I$55,MATCH(A24,Companies!$A$6:$A$55,0))&gt;=MAX(10,Rules!$B$22)),1,0)))</f>
        <v/>
      </c>
      <c r="AN24" s="86" t="str">
        <f>IFERROR(__xludf.DUMMYFUNCTION("IF(A24="""","""",IFERROR(IF(AND(OR(C24=""FY0"",C24=""FY-1"",C24=""FY-2""),AD24=1,COUNTIFS($A$6:$A$205,A24,$C$6:$C$205,""FY0"",$AD$6:$AD$205,1)=1,COUNTIFS($A$6:$A$205,A24,$C$6:$C$205,""TTM"",$AD$6:$AD$205,1)=1,G24=IFNA(INDEX(FILTER($G$6:$G$205,$A$6:$A$205="&amp;"A24,$C$6:$C$205=""TTM"",$AD$6:$AD$205=1),1),""""),I24=IFNA(INDEX(FILTER($I$6:$I$205,$A$6:$A$205=A24,$C$6:$C$205=""TTM"",$AD$6:$AD$205=1),1),""""),SUMIFS($D$6:$D$205,$A$6:$A$205,A24,$C$6:$C$205,""FY0"",$AD$6:$AD$205,1)&lt;=SUMIFS($D$6:$D$205,$A$6:$A$205,A24,$"&amp;"C$6:$C$205,""TTM"",$AD$6:$AD$205,1),SUMIFS($D$6:$D$205,$A$6:$A$205,A24,$C$6:$C$205,""TTM"",$AD$6:$AD$205,1)-SUMIFS($D$6:$D$205,$A$6:$A$205,A24,$C$6:$C$205,""FY0"",$AD$6:$AD$205,1)&lt;366,ABS(D24-EDATE(SUMIFS($D$6:$D$205,$A$6:$A$205,A24,$C$6:$C$205,""FY0"",$A"&amp;"D$6:$AD$205,1),IF(C24=""FY0"",0,IF(C24=""FY-1"",-12,-24))))&lt;=31),1,0),0))"),"")</f>
        <v/>
      </c>
    </row>
    <row r="25" ht="31.5" customHeight="1">
      <c r="A25" s="85"/>
      <c r="B25" s="86" t="str">
        <f t="array" ref="B25">IF(A25="","",IF(AB25&lt;&gt;1,"Unmatched issuer",INDEX(Companies!$C$6:$C$55,MATCH(A25,Companies!$A$6:$A$55,0))))</f>
        <v/>
      </c>
      <c r="C25" s="87"/>
      <c r="D25" s="88"/>
      <c r="E25" s="88"/>
      <c r="F25" s="88"/>
      <c r="G25" s="87"/>
      <c r="H25" s="87"/>
      <c r="I25" s="85"/>
      <c r="J25" s="89"/>
      <c r="K25" s="89"/>
      <c r="L25" s="90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5"/>
      <c r="AA25" s="85"/>
      <c r="AB25" s="86" t="str">
        <f>IF(A25="","",COUNTIF(Companies!$A$6:$A$55,A25))</f>
        <v/>
      </c>
      <c r="AC25" s="86" t="str">
        <f t="shared" si="1"/>
        <v/>
      </c>
      <c r="AD25" s="86" t="str">
        <f>IF(A25="","",IFERROR(IF(AND(AB25=1,AC25=1,AM25=1,OR(C25="TTM",C25="FY0",C25="FY-1",C25="FY-2"),ISNUMBER(D25),D25&lt;=Rules!$B$6,ISNUMBER(E25),E25&gt;=D25,E25&lt;=Rules!$B$6,ISNUMBER(F25),ABS(D25-F25-365)&lt;=31,OR(G25="US GAAP",G25="IFRS"),H25="Yes",I25&lt;&gt;"",COUNT(J25:R25)=9,J25&gt;0,L25&gt;-1,L25&lt;1,M25&gt;=0,N25&gt;=0,Q25&gt;=0,R25&gt;=0,M25+O25-Q25&gt;0,N25+P25-R25&gt;0,Z25&lt;&gt;"",AA25&lt;&gt;""),1,0),0))</f>
        <v/>
      </c>
      <c r="AE25" s="91" t="str">
        <f t="shared" si="2"/>
        <v/>
      </c>
      <c r="AF25" s="91" t="str">
        <f t="shared" si="3"/>
        <v/>
      </c>
      <c r="AG25" s="92" t="str">
        <f t="shared" si="4"/>
        <v/>
      </c>
      <c r="AH25" s="92" t="str">
        <f t="shared" si="5"/>
        <v/>
      </c>
      <c r="AI25" s="92" t="str">
        <f t="shared" si="6"/>
        <v/>
      </c>
      <c r="AJ25" s="92" t="str">
        <f t="shared" si="7"/>
        <v/>
      </c>
      <c r="AK25" s="92" t="str">
        <f t="shared" si="8"/>
        <v/>
      </c>
      <c r="AL25" s="86" t="str">
        <f t="shared" si="9"/>
        <v/>
      </c>
      <c r="AM25" s="86" t="str">
        <f t="array" ref="AM25">IF(A25="","",IF(AB25&lt;&gt;1,0,IF(AND(INDEX(Companies!$R$6:$R$55,MATCH(A25,Companies!$A$6:$A$55,0))=1,INDEX(Companies!$I$6:$I$55,MATCH(A25,Companies!$A$6:$A$55,0))&gt;=MAX(10,Rules!$B$22)),1,0)))</f>
        <v/>
      </c>
      <c r="AN25" s="86" t="str">
        <f>IFERROR(__xludf.DUMMYFUNCTION("IF(A25="""","""",IFERROR(IF(AND(OR(C25=""FY0"",C25=""FY-1"",C25=""FY-2""),AD25=1,COUNTIFS($A$6:$A$205,A25,$C$6:$C$205,""FY0"",$AD$6:$AD$205,1)=1,COUNTIFS($A$6:$A$205,A25,$C$6:$C$205,""TTM"",$AD$6:$AD$205,1)=1,G25=IFNA(INDEX(FILTER($G$6:$G$205,$A$6:$A$205="&amp;"A25,$C$6:$C$205=""TTM"",$AD$6:$AD$205=1),1),""""),I25=IFNA(INDEX(FILTER($I$6:$I$205,$A$6:$A$205=A25,$C$6:$C$205=""TTM"",$AD$6:$AD$205=1),1),""""),SUMIFS($D$6:$D$205,$A$6:$A$205,A25,$C$6:$C$205,""FY0"",$AD$6:$AD$205,1)&lt;=SUMIFS($D$6:$D$205,$A$6:$A$205,A25,$"&amp;"C$6:$C$205,""TTM"",$AD$6:$AD$205,1),SUMIFS($D$6:$D$205,$A$6:$A$205,A25,$C$6:$C$205,""TTM"",$AD$6:$AD$205,1)-SUMIFS($D$6:$D$205,$A$6:$A$205,A25,$C$6:$C$205,""FY0"",$AD$6:$AD$205,1)&lt;366,ABS(D25-EDATE(SUMIFS($D$6:$D$205,$A$6:$A$205,A25,$C$6:$C$205,""FY0"",$A"&amp;"D$6:$AD$205,1),IF(C25=""FY0"",0,IF(C25=""FY-1"",-12,-24))))&lt;=31),1,0),0))"),"")</f>
        <v/>
      </c>
    </row>
    <row r="26" ht="31.5" customHeight="1">
      <c r="A26" s="85"/>
      <c r="B26" s="86" t="str">
        <f t="array" ref="B26">IF(A26="","",IF(AB26&lt;&gt;1,"Unmatched issuer",INDEX(Companies!$C$6:$C$55,MATCH(A26,Companies!$A$6:$A$55,0))))</f>
        <v/>
      </c>
      <c r="C26" s="87"/>
      <c r="D26" s="88"/>
      <c r="E26" s="88"/>
      <c r="F26" s="88"/>
      <c r="G26" s="87"/>
      <c r="H26" s="87"/>
      <c r="I26" s="85"/>
      <c r="J26" s="89"/>
      <c r="K26" s="89"/>
      <c r="L26" s="90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5"/>
      <c r="AA26" s="85"/>
      <c r="AB26" s="86" t="str">
        <f>IF(A26="","",COUNTIF(Companies!$A$6:$A$55,A26))</f>
        <v/>
      </c>
      <c r="AC26" s="86" t="str">
        <f t="shared" si="1"/>
        <v/>
      </c>
      <c r="AD26" s="86" t="str">
        <f>IF(A26="","",IFERROR(IF(AND(AB26=1,AC26=1,AM26=1,OR(C26="TTM",C26="FY0",C26="FY-1",C26="FY-2"),ISNUMBER(D26),D26&lt;=Rules!$B$6,ISNUMBER(E26),E26&gt;=D26,E26&lt;=Rules!$B$6,ISNUMBER(F26),ABS(D26-F26-365)&lt;=31,OR(G26="US GAAP",G26="IFRS"),H26="Yes",I26&lt;&gt;"",COUNT(J26:R26)=9,J26&gt;0,L26&gt;-1,L26&lt;1,M26&gt;=0,N26&gt;=0,Q26&gt;=0,R26&gt;=0,M26+O26-Q26&gt;0,N26+P26-R26&gt;0,Z26&lt;&gt;"",AA26&lt;&gt;""),1,0),0))</f>
        <v/>
      </c>
      <c r="AE26" s="91" t="str">
        <f t="shared" si="2"/>
        <v/>
      </c>
      <c r="AF26" s="91" t="str">
        <f t="shared" si="3"/>
        <v/>
      </c>
      <c r="AG26" s="92" t="str">
        <f t="shared" si="4"/>
        <v/>
      </c>
      <c r="AH26" s="92" t="str">
        <f t="shared" si="5"/>
        <v/>
      </c>
      <c r="AI26" s="92" t="str">
        <f t="shared" si="6"/>
        <v/>
      </c>
      <c r="AJ26" s="92" t="str">
        <f t="shared" si="7"/>
        <v/>
      </c>
      <c r="AK26" s="92" t="str">
        <f t="shared" si="8"/>
        <v/>
      </c>
      <c r="AL26" s="86" t="str">
        <f t="shared" si="9"/>
        <v/>
      </c>
      <c r="AM26" s="86" t="str">
        <f t="array" ref="AM26">IF(A26="","",IF(AB26&lt;&gt;1,0,IF(AND(INDEX(Companies!$R$6:$R$55,MATCH(A26,Companies!$A$6:$A$55,0))=1,INDEX(Companies!$I$6:$I$55,MATCH(A26,Companies!$A$6:$A$55,0))&gt;=MAX(10,Rules!$B$22)),1,0)))</f>
        <v/>
      </c>
      <c r="AN26" s="86" t="str">
        <f>IFERROR(__xludf.DUMMYFUNCTION("IF(A26="""","""",IFERROR(IF(AND(OR(C26=""FY0"",C26=""FY-1"",C26=""FY-2""),AD26=1,COUNTIFS($A$6:$A$205,A26,$C$6:$C$205,""FY0"",$AD$6:$AD$205,1)=1,COUNTIFS($A$6:$A$205,A26,$C$6:$C$205,""TTM"",$AD$6:$AD$205,1)=1,G26=IFNA(INDEX(FILTER($G$6:$G$205,$A$6:$A$205="&amp;"A26,$C$6:$C$205=""TTM"",$AD$6:$AD$205=1),1),""""),I26=IFNA(INDEX(FILTER($I$6:$I$205,$A$6:$A$205=A26,$C$6:$C$205=""TTM"",$AD$6:$AD$205=1),1),""""),SUMIFS($D$6:$D$205,$A$6:$A$205,A26,$C$6:$C$205,""FY0"",$AD$6:$AD$205,1)&lt;=SUMIFS($D$6:$D$205,$A$6:$A$205,A26,$"&amp;"C$6:$C$205,""TTM"",$AD$6:$AD$205,1),SUMIFS($D$6:$D$205,$A$6:$A$205,A26,$C$6:$C$205,""TTM"",$AD$6:$AD$205,1)-SUMIFS($D$6:$D$205,$A$6:$A$205,A26,$C$6:$C$205,""FY0"",$AD$6:$AD$205,1)&lt;366,ABS(D26-EDATE(SUMIFS($D$6:$D$205,$A$6:$A$205,A26,$C$6:$C$205,""FY0"",$A"&amp;"D$6:$AD$205,1),IF(C26=""FY0"",0,IF(C26=""FY-1"",-12,-24))))&lt;=31),1,0),0))"),"")</f>
        <v/>
      </c>
    </row>
    <row r="27" ht="31.5" customHeight="1">
      <c r="A27" s="85"/>
      <c r="B27" s="86" t="str">
        <f t="array" ref="B27">IF(A27="","",IF(AB27&lt;&gt;1,"Unmatched issuer",INDEX(Companies!$C$6:$C$55,MATCH(A27,Companies!$A$6:$A$55,0))))</f>
        <v/>
      </c>
      <c r="C27" s="87"/>
      <c r="D27" s="88"/>
      <c r="E27" s="88"/>
      <c r="F27" s="88"/>
      <c r="G27" s="87"/>
      <c r="H27" s="87"/>
      <c r="I27" s="85"/>
      <c r="J27" s="89"/>
      <c r="K27" s="89"/>
      <c r="L27" s="90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5"/>
      <c r="AA27" s="85"/>
      <c r="AB27" s="86" t="str">
        <f>IF(A27="","",COUNTIF(Companies!$A$6:$A$55,A27))</f>
        <v/>
      </c>
      <c r="AC27" s="86" t="str">
        <f t="shared" si="1"/>
        <v/>
      </c>
      <c r="AD27" s="86" t="str">
        <f>IF(A27="","",IFERROR(IF(AND(AB27=1,AC27=1,AM27=1,OR(C27="TTM",C27="FY0",C27="FY-1",C27="FY-2"),ISNUMBER(D27),D27&lt;=Rules!$B$6,ISNUMBER(E27),E27&gt;=D27,E27&lt;=Rules!$B$6,ISNUMBER(F27),ABS(D27-F27-365)&lt;=31,OR(G27="US GAAP",G27="IFRS"),H27="Yes",I27&lt;&gt;"",COUNT(J27:R27)=9,J27&gt;0,L27&gt;-1,L27&lt;1,M27&gt;=0,N27&gt;=0,Q27&gt;=0,R27&gt;=0,M27+O27-Q27&gt;0,N27+P27-R27&gt;0,Z27&lt;&gt;"",AA27&lt;&gt;""),1,0),0))</f>
        <v/>
      </c>
      <c r="AE27" s="91" t="str">
        <f t="shared" si="2"/>
        <v/>
      </c>
      <c r="AF27" s="91" t="str">
        <f t="shared" si="3"/>
        <v/>
      </c>
      <c r="AG27" s="92" t="str">
        <f t="shared" si="4"/>
        <v/>
      </c>
      <c r="AH27" s="92" t="str">
        <f t="shared" si="5"/>
        <v/>
      </c>
      <c r="AI27" s="92" t="str">
        <f t="shared" si="6"/>
        <v/>
      </c>
      <c r="AJ27" s="92" t="str">
        <f t="shared" si="7"/>
        <v/>
      </c>
      <c r="AK27" s="92" t="str">
        <f t="shared" si="8"/>
        <v/>
      </c>
      <c r="AL27" s="86" t="str">
        <f t="shared" si="9"/>
        <v/>
      </c>
      <c r="AM27" s="86" t="str">
        <f t="array" ref="AM27">IF(A27="","",IF(AB27&lt;&gt;1,0,IF(AND(INDEX(Companies!$R$6:$R$55,MATCH(A27,Companies!$A$6:$A$55,0))=1,INDEX(Companies!$I$6:$I$55,MATCH(A27,Companies!$A$6:$A$55,0))&gt;=MAX(10,Rules!$B$22)),1,0)))</f>
        <v/>
      </c>
      <c r="AN27" s="86" t="str">
        <f>IFERROR(__xludf.DUMMYFUNCTION("IF(A27="""","""",IFERROR(IF(AND(OR(C27=""FY0"",C27=""FY-1"",C27=""FY-2""),AD27=1,COUNTIFS($A$6:$A$205,A27,$C$6:$C$205,""FY0"",$AD$6:$AD$205,1)=1,COUNTIFS($A$6:$A$205,A27,$C$6:$C$205,""TTM"",$AD$6:$AD$205,1)=1,G27=IFNA(INDEX(FILTER($G$6:$G$205,$A$6:$A$205="&amp;"A27,$C$6:$C$205=""TTM"",$AD$6:$AD$205=1),1),""""),I27=IFNA(INDEX(FILTER($I$6:$I$205,$A$6:$A$205=A27,$C$6:$C$205=""TTM"",$AD$6:$AD$205=1),1),""""),SUMIFS($D$6:$D$205,$A$6:$A$205,A27,$C$6:$C$205,""FY0"",$AD$6:$AD$205,1)&lt;=SUMIFS($D$6:$D$205,$A$6:$A$205,A27,$"&amp;"C$6:$C$205,""TTM"",$AD$6:$AD$205,1),SUMIFS($D$6:$D$205,$A$6:$A$205,A27,$C$6:$C$205,""TTM"",$AD$6:$AD$205,1)-SUMIFS($D$6:$D$205,$A$6:$A$205,A27,$C$6:$C$205,""FY0"",$AD$6:$AD$205,1)&lt;366,ABS(D27-EDATE(SUMIFS($D$6:$D$205,$A$6:$A$205,A27,$C$6:$C$205,""FY0"",$A"&amp;"D$6:$AD$205,1),IF(C27=""FY0"",0,IF(C27=""FY-1"",-12,-24))))&lt;=31),1,0),0))"),"")</f>
        <v/>
      </c>
    </row>
    <row r="28" ht="31.5" customHeight="1">
      <c r="A28" s="85"/>
      <c r="B28" s="86" t="str">
        <f t="array" ref="B28">IF(A28="","",IF(AB28&lt;&gt;1,"Unmatched issuer",INDEX(Companies!$C$6:$C$55,MATCH(A28,Companies!$A$6:$A$55,0))))</f>
        <v/>
      </c>
      <c r="C28" s="87"/>
      <c r="D28" s="88"/>
      <c r="E28" s="88"/>
      <c r="F28" s="88"/>
      <c r="G28" s="87"/>
      <c r="H28" s="87"/>
      <c r="I28" s="85"/>
      <c r="J28" s="89"/>
      <c r="K28" s="89"/>
      <c r="L28" s="90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5"/>
      <c r="AA28" s="85"/>
      <c r="AB28" s="86" t="str">
        <f>IF(A28="","",COUNTIF(Companies!$A$6:$A$55,A28))</f>
        <v/>
      </c>
      <c r="AC28" s="86" t="str">
        <f t="shared" si="1"/>
        <v/>
      </c>
      <c r="AD28" s="86" t="str">
        <f>IF(A28="","",IFERROR(IF(AND(AB28=1,AC28=1,AM28=1,OR(C28="TTM",C28="FY0",C28="FY-1",C28="FY-2"),ISNUMBER(D28),D28&lt;=Rules!$B$6,ISNUMBER(E28),E28&gt;=D28,E28&lt;=Rules!$B$6,ISNUMBER(F28),ABS(D28-F28-365)&lt;=31,OR(G28="US GAAP",G28="IFRS"),H28="Yes",I28&lt;&gt;"",COUNT(J28:R28)=9,J28&gt;0,L28&gt;-1,L28&lt;1,M28&gt;=0,N28&gt;=0,Q28&gt;=0,R28&gt;=0,M28+O28-Q28&gt;0,N28+P28-R28&gt;0,Z28&lt;&gt;"",AA28&lt;&gt;""),1,0),0))</f>
        <v/>
      </c>
      <c r="AE28" s="91" t="str">
        <f t="shared" si="2"/>
        <v/>
      </c>
      <c r="AF28" s="91" t="str">
        <f t="shared" si="3"/>
        <v/>
      </c>
      <c r="AG28" s="92" t="str">
        <f t="shared" si="4"/>
        <v/>
      </c>
      <c r="AH28" s="92" t="str">
        <f t="shared" si="5"/>
        <v/>
      </c>
      <c r="AI28" s="92" t="str">
        <f t="shared" si="6"/>
        <v/>
      </c>
      <c r="AJ28" s="92" t="str">
        <f t="shared" si="7"/>
        <v/>
      </c>
      <c r="AK28" s="92" t="str">
        <f t="shared" si="8"/>
        <v/>
      </c>
      <c r="AL28" s="86" t="str">
        <f t="shared" si="9"/>
        <v/>
      </c>
      <c r="AM28" s="86" t="str">
        <f t="array" ref="AM28">IF(A28="","",IF(AB28&lt;&gt;1,0,IF(AND(INDEX(Companies!$R$6:$R$55,MATCH(A28,Companies!$A$6:$A$55,0))=1,INDEX(Companies!$I$6:$I$55,MATCH(A28,Companies!$A$6:$A$55,0))&gt;=MAX(10,Rules!$B$22)),1,0)))</f>
        <v/>
      </c>
      <c r="AN28" s="86" t="str">
        <f>IFERROR(__xludf.DUMMYFUNCTION("IF(A28="""","""",IFERROR(IF(AND(OR(C28=""FY0"",C28=""FY-1"",C28=""FY-2""),AD28=1,COUNTIFS($A$6:$A$205,A28,$C$6:$C$205,""FY0"",$AD$6:$AD$205,1)=1,COUNTIFS($A$6:$A$205,A28,$C$6:$C$205,""TTM"",$AD$6:$AD$205,1)=1,G28=IFNA(INDEX(FILTER($G$6:$G$205,$A$6:$A$205="&amp;"A28,$C$6:$C$205=""TTM"",$AD$6:$AD$205=1),1),""""),I28=IFNA(INDEX(FILTER($I$6:$I$205,$A$6:$A$205=A28,$C$6:$C$205=""TTM"",$AD$6:$AD$205=1),1),""""),SUMIFS($D$6:$D$205,$A$6:$A$205,A28,$C$6:$C$205,""FY0"",$AD$6:$AD$205,1)&lt;=SUMIFS($D$6:$D$205,$A$6:$A$205,A28,$"&amp;"C$6:$C$205,""TTM"",$AD$6:$AD$205,1),SUMIFS($D$6:$D$205,$A$6:$A$205,A28,$C$6:$C$205,""TTM"",$AD$6:$AD$205,1)-SUMIFS($D$6:$D$205,$A$6:$A$205,A28,$C$6:$C$205,""FY0"",$AD$6:$AD$205,1)&lt;366,ABS(D28-EDATE(SUMIFS($D$6:$D$205,$A$6:$A$205,A28,$C$6:$C$205,""FY0"",$A"&amp;"D$6:$AD$205,1),IF(C28=""FY0"",0,IF(C28=""FY-1"",-12,-24))))&lt;=31),1,0),0))"),"")</f>
        <v/>
      </c>
    </row>
    <row r="29" ht="31.5" customHeight="1">
      <c r="A29" s="85"/>
      <c r="B29" s="86" t="str">
        <f t="array" ref="B29">IF(A29="","",IF(AB29&lt;&gt;1,"Unmatched issuer",INDEX(Companies!$C$6:$C$55,MATCH(A29,Companies!$A$6:$A$55,0))))</f>
        <v/>
      </c>
      <c r="C29" s="87"/>
      <c r="D29" s="88"/>
      <c r="E29" s="88"/>
      <c r="F29" s="88"/>
      <c r="G29" s="87"/>
      <c r="H29" s="87"/>
      <c r="I29" s="85"/>
      <c r="J29" s="89"/>
      <c r="K29" s="89"/>
      <c r="L29" s="90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5"/>
      <c r="AA29" s="85"/>
      <c r="AB29" s="86" t="str">
        <f>IF(A29="","",COUNTIF(Companies!$A$6:$A$55,A29))</f>
        <v/>
      </c>
      <c r="AC29" s="86" t="str">
        <f t="shared" si="1"/>
        <v/>
      </c>
      <c r="AD29" s="86" t="str">
        <f>IF(A29="","",IFERROR(IF(AND(AB29=1,AC29=1,AM29=1,OR(C29="TTM",C29="FY0",C29="FY-1",C29="FY-2"),ISNUMBER(D29),D29&lt;=Rules!$B$6,ISNUMBER(E29),E29&gt;=D29,E29&lt;=Rules!$B$6,ISNUMBER(F29),ABS(D29-F29-365)&lt;=31,OR(G29="US GAAP",G29="IFRS"),H29="Yes",I29&lt;&gt;"",COUNT(J29:R29)=9,J29&gt;0,L29&gt;-1,L29&lt;1,M29&gt;=0,N29&gt;=0,Q29&gt;=0,R29&gt;=0,M29+O29-Q29&gt;0,N29+P29-R29&gt;0,Z29&lt;&gt;"",AA29&lt;&gt;""),1,0),0))</f>
        <v/>
      </c>
      <c r="AE29" s="91" t="str">
        <f t="shared" si="2"/>
        <v/>
      </c>
      <c r="AF29" s="91" t="str">
        <f t="shared" si="3"/>
        <v/>
      </c>
      <c r="AG29" s="92" t="str">
        <f t="shared" si="4"/>
        <v/>
      </c>
      <c r="AH29" s="92" t="str">
        <f t="shared" si="5"/>
        <v/>
      </c>
      <c r="AI29" s="92" t="str">
        <f t="shared" si="6"/>
        <v/>
      </c>
      <c r="AJ29" s="92" t="str">
        <f t="shared" si="7"/>
        <v/>
      </c>
      <c r="AK29" s="92" t="str">
        <f t="shared" si="8"/>
        <v/>
      </c>
      <c r="AL29" s="86" t="str">
        <f t="shared" si="9"/>
        <v/>
      </c>
      <c r="AM29" s="86" t="str">
        <f t="array" ref="AM29">IF(A29="","",IF(AB29&lt;&gt;1,0,IF(AND(INDEX(Companies!$R$6:$R$55,MATCH(A29,Companies!$A$6:$A$55,0))=1,INDEX(Companies!$I$6:$I$55,MATCH(A29,Companies!$A$6:$A$55,0))&gt;=MAX(10,Rules!$B$22)),1,0)))</f>
        <v/>
      </c>
      <c r="AN29" s="86" t="str">
        <f>IFERROR(__xludf.DUMMYFUNCTION("IF(A29="""","""",IFERROR(IF(AND(OR(C29=""FY0"",C29=""FY-1"",C29=""FY-2""),AD29=1,COUNTIFS($A$6:$A$205,A29,$C$6:$C$205,""FY0"",$AD$6:$AD$205,1)=1,COUNTIFS($A$6:$A$205,A29,$C$6:$C$205,""TTM"",$AD$6:$AD$205,1)=1,G29=IFNA(INDEX(FILTER($G$6:$G$205,$A$6:$A$205="&amp;"A29,$C$6:$C$205=""TTM"",$AD$6:$AD$205=1),1),""""),I29=IFNA(INDEX(FILTER($I$6:$I$205,$A$6:$A$205=A29,$C$6:$C$205=""TTM"",$AD$6:$AD$205=1),1),""""),SUMIFS($D$6:$D$205,$A$6:$A$205,A29,$C$6:$C$205,""FY0"",$AD$6:$AD$205,1)&lt;=SUMIFS($D$6:$D$205,$A$6:$A$205,A29,$"&amp;"C$6:$C$205,""TTM"",$AD$6:$AD$205,1),SUMIFS($D$6:$D$205,$A$6:$A$205,A29,$C$6:$C$205,""TTM"",$AD$6:$AD$205,1)-SUMIFS($D$6:$D$205,$A$6:$A$205,A29,$C$6:$C$205,""FY0"",$AD$6:$AD$205,1)&lt;366,ABS(D29-EDATE(SUMIFS($D$6:$D$205,$A$6:$A$205,A29,$C$6:$C$205,""FY0"",$A"&amp;"D$6:$AD$205,1),IF(C29=""FY0"",0,IF(C29=""FY-1"",-12,-24))))&lt;=31),1,0),0))"),"")</f>
        <v/>
      </c>
    </row>
    <row r="30" ht="31.5" customHeight="1">
      <c r="A30" s="85"/>
      <c r="B30" s="86" t="str">
        <f t="array" ref="B30">IF(A30="","",IF(AB30&lt;&gt;1,"Unmatched issuer",INDEX(Companies!$C$6:$C$55,MATCH(A30,Companies!$A$6:$A$55,0))))</f>
        <v/>
      </c>
      <c r="C30" s="87"/>
      <c r="D30" s="88"/>
      <c r="E30" s="88"/>
      <c r="F30" s="88"/>
      <c r="G30" s="87"/>
      <c r="H30" s="87"/>
      <c r="I30" s="85"/>
      <c r="J30" s="89"/>
      <c r="K30" s="89"/>
      <c r="L30" s="90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5"/>
      <c r="AA30" s="85"/>
      <c r="AB30" s="86" t="str">
        <f>IF(A30="","",COUNTIF(Companies!$A$6:$A$55,A30))</f>
        <v/>
      </c>
      <c r="AC30" s="86" t="str">
        <f t="shared" si="1"/>
        <v/>
      </c>
      <c r="AD30" s="86" t="str">
        <f>IF(A30="","",IFERROR(IF(AND(AB30=1,AC30=1,AM30=1,OR(C30="TTM",C30="FY0",C30="FY-1",C30="FY-2"),ISNUMBER(D30),D30&lt;=Rules!$B$6,ISNUMBER(E30),E30&gt;=D30,E30&lt;=Rules!$B$6,ISNUMBER(F30),ABS(D30-F30-365)&lt;=31,OR(G30="US GAAP",G30="IFRS"),H30="Yes",I30&lt;&gt;"",COUNT(J30:R30)=9,J30&gt;0,L30&gt;-1,L30&lt;1,M30&gt;=0,N30&gt;=0,Q30&gt;=0,R30&gt;=0,M30+O30-Q30&gt;0,N30+P30-R30&gt;0,Z30&lt;&gt;"",AA30&lt;&gt;""),1,0),0))</f>
        <v/>
      </c>
      <c r="AE30" s="91" t="str">
        <f t="shared" si="2"/>
        <v/>
      </c>
      <c r="AF30" s="91" t="str">
        <f t="shared" si="3"/>
        <v/>
      </c>
      <c r="AG30" s="92" t="str">
        <f t="shared" si="4"/>
        <v/>
      </c>
      <c r="AH30" s="92" t="str">
        <f t="shared" si="5"/>
        <v/>
      </c>
      <c r="AI30" s="92" t="str">
        <f t="shared" si="6"/>
        <v/>
      </c>
      <c r="AJ30" s="92" t="str">
        <f t="shared" si="7"/>
        <v/>
      </c>
      <c r="AK30" s="92" t="str">
        <f t="shared" si="8"/>
        <v/>
      </c>
      <c r="AL30" s="86" t="str">
        <f t="shared" si="9"/>
        <v/>
      </c>
      <c r="AM30" s="86" t="str">
        <f t="array" ref="AM30">IF(A30="","",IF(AB30&lt;&gt;1,0,IF(AND(INDEX(Companies!$R$6:$R$55,MATCH(A30,Companies!$A$6:$A$55,0))=1,INDEX(Companies!$I$6:$I$55,MATCH(A30,Companies!$A$6:$A$55,0))&gt;=MAX(10,Rules!$B$22)),1,0)))</f>
        <v/>
      </c>
      <c r="AN30" s="86" t="str">
        <f>IFERROR(__xludf.DUMMYFUNCTION("IF(A30="""","""",IFERROR(IF(AND(OR(C30=""FY0"",C30=""FY-1"",C30=""FY-2""),AD30=1,COUNTIFS($A$6:$A$205,A30,$C$6:$C$205,""FY0"",$AD$6:$AD$205,1)=1,COUNTIFS($A$6:$A$205,A30,$C$6:$C$205,""TTM"",$AD$6:$AD$205,1)=1,G30=IFNA(INDEX(FILTER($G$6:$G$205,$A$6:$A$205="&amp;"A30,$C$6:$C$205=""TTM"",$AD$6:$AD$205=1),1),""""),I30=IFNA(INDEX(FILTER($I$6:$I$205,$A$6:$A$205=A30,$C$6:$C$205=""TTM"",$AD$6:$AD$205=1),1),""""),SUMIFS($D$6:$D$205,$A$6:$A$205,A30,$C$6:$C$205,""FY0"",$AD$6:$AD$205,1)&lt;=SUMIFS($D$6:$D$205,$A$6:$A$205,A30,$"&amp;"C$6:$C$205,""TTM"",$AD$6:$AD$205,1),SUMIFS($D$6:$D$205,$A$6:$A$205,A30,$C$6:$C$205,""TTM"",$AD$6:$AD$205,1)-SUMIFS($D$6:$D$205,$A$6:$A$205,A30,$C$6:$C$205,""FY0"",$AD$6:$AD$205,1)&lt;366,ABS(D30-EDATE(SUMIFS($D$6:$D$205,$A$6:$A$205,A30,$C$6:$C$205,""FY0"",$A"&amp;"D$6:$AD$205,1),IF(C30=""FY0"",0,IF(C30=""FY-1"",-12,-24))))&lt;=31),1,0),0))"),"")</f>
        <v/>
      </c>
    </row>
    <row r="31" ht="31.5" customHeight="1">
      <c r="A31" s="85"/>
      <c r="B31" s="86" t="str">
        <f t="array" ref="B31">IF(A31="","",IF(AB31&lt;&gt;1,"Unmatched issuer",INDEX(Companies!$C$6:$C$55,MATCH(A31,Companies!$A$6:$A$55,0))))</f>
        <v/>
      </c>
      <c r="C31" s="87"/>
      <c r="D31" s="88"/>
      <c r="E31" s="88"/>
      <c r="F31" s="88"/>
      <c r="G31" s="87"/>
      <c r="H31" s="87"/>
      <c r="I31" s="85"/>
      <c r="J31" s="89"/>
      <c r="K31" s="89"/>
      <c r="L31" s="90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5"/>
      <c r="AA31" s="85"/>
      <c r="AB31" s="86" t="str">
        <f>IF(A31="","",COUNTIF(Companies!$A$6:$A$55,A31))</f>
        <v/>
      </c>
      <c r="AC31" s="86" t="str">
        <f t="shared" si="1"/>
        <v/>
      </c>
      <c r="AD31" s="86" t="str">
        <f>IF(A31="","",IFERROR(IF(AND(AB31=1,AC31=1,AM31=1,OR(C31="TTM",C31="FY0",C31="FY-1",C31="FY-2"),ISNUMBER(D31),D31&lt;=Rules!$B$6,ISNUMBER(E31),E31&gt;=D31,E31&lt;=Rules!$B$6,ISNUMBER(F31),ABS(D31-F31-365)&lt;=31,OR(G31="US GAAP",G31="IFRS"),H31="Yes",I31&lt;&gt;"",COUNT(J31:R31)=9,J31&gt;0,L31&gt;-1,L31&lt;1,M31&gt;=0,N31&gt;=0,Q31&gt;=0,R31&gt;=0,M31+O31-Q31&gt;0,N31+P31-R31&gt;0,Z31&lt;&gt;"",AA31&lt;&gt;""),1,0),0))</f>
        <v/>
      </c>
      <c r="AE31" s="91" t="str">
        <f t="shared" si="2"/>
        <v/>
      </c>
      <c r="AF31" s="91" t="str">
        <f t="shared" si="3"/>
        <v/>
      </c>
      <c r="AG31" s="92" t="str">
        <f t="shared" si="4"/>
        <v/>
      </c>
      <c r="AH31" s="92" t="str">
        <f t="shared" si="5"/>
        <v/>
      </c>
      <c r="AI31" s="92" t="str">
        <f t="shared" si="6"/>
        <v/>
      </c>
      <c r="AJ31" s="92" t="str">
        <f t="shared" si="7"/>
        <v/>
      </c>
      <c r="AK31" s="92" t="str">
        <f t="shared" si="8"/>
        <v/>
      </c>
      <c r="AL31" s="86" t="str">
        <f t="shared" si="9"/>
        <v/>
      </c>
      <c r="AM31" s="86" t="str">
        <f t="array" ref="AM31">IF(A31="","",IF(AB31&lt;&gt;1,0,IF(AND(INDEX(Companies!$R$6:$R$55,MATCH(A31,Companies!$A$6:$A$55,0))=1,INDEX(Companies!$I$6:$I$55,MATCH(A31,Companies!$A$6:$A$55,0))&gt;=MAX(10,Rules!$B$22)),1,0)))</f>
        <v/>
      </c>
      <c r="AN31" s="86" t="str">
        <f>IFERROR(__xludf.DUMMYFUNCTION("IF(A31="""","""",IFERROR(IF(AND(OR(C31=""FY0"",C31=""FY-1"",C31=""FY-2""),AD31=1,COUNTIFS($A$6:$A$205,A31,$C$6:$C$205,""FY0"",$AD$6:$AD$205,1)=1,COUNTIFS($A$6:$A$205,A31,$C$6:$C$205,""TTM"",$AD$6:$AD$205,1)=1,G31=IFNA(INDEX(FILTER($G$6:$G$205,$A$6:$A$205="&amp;"A31,$C$6:$C$205=""TTM"",$AD$6:$AD$205=1),1),""""),I31=IFNA(INDEX(FILTER($I$6:$I$205,$A$6:$A$205=A31,$C$6:$C$205=""TTM"",$AD$6:$AD$205=1),1),""""),SUMIFS($D$6:$D$205,$A$6:$A$205,A31,$C$6:$C$205,""FY0"",$AD$6:$AD$205,1)&lt;=SUMIFS($D$6:$D$205,$A$6:$A$205,A31,$"&amp;"C$6:$C$205,""TTM"",$AD$6:$AD$205,1),SUMIFS($D$6:$D$205,$A$6:$A$205,A31,$C$6:$C$205,""TTM"",$AD$6:$AD$205,1)-SUMIFS($D$6:$D$205,$A$6:$A$205,A31,$C$6:$C$205,""FY0"",$AD$6:$AD$205,1)&lt;366,ABS(D31-EDATE(SUMIFS($D$6:$D$205,$A$6:$A$205,A31,$C$6:$C$205,""FY0"",$A"&amp;"D$6:$AD$205,1),IF(C31=""FY0"",0,IF(C31=""FY-1"",-12,-24))))&lt;=31),1,0),0))"),"")</f>
        <v/>
      </c>
    </row>
    <row r="32" ht="31.5" customHeight="1">
      <c r="A32" s="85"/>
      <c r="B32" s="86" t="str">
        <f t="array" ref="B32">IF(A32="","",IF(AB32&lt;&gt;1,"Unmatched issuer",INDEX(Companies!$C$6:$C$55,MATCH(A32,Companies!$A$6:$A$55,0))))</f>
        <v/>
      </c>
      <c r="C32" s="87"/>
      <c r="D32" s="88"/>
      <c r="E32" s="88"/>
      <c r="F32" s="88"/>
      <c r="G32" s="87"/>
      <c r="H32" s="87"/>
      <c r="I32" s="85"/>
      <c r="J32" s="89"/>
      <c r="K32" s="89"/>
      <c r="L32" s="90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5"/>
      <c r="AA32" s="85"/>
      <c r="AB32" s="86" t="str">
        <f>IF(A32="","",COUNTIF(Companies!$A$6:$A$55,A32))</f>
        <v/>
      </c>
      <c r="AC32" s="86" t="str">
        <f t="shared" si="1"/>
        <v/>
      </c>
      <c r="AD32" s="86" t="str">
        <f>IF(A32="","",IFERROR(IF(AND(AB32=1,AC32=1,AM32=1,OR(C32="TTM",C32="FY0",C32="FY-1",C32="FY-2"),ISNUMBER(D32),D32&lt;=Rules!$B$6,ISNUMBER(E32),E32&gt;=D32,E32&lt;=Rules!$B$6,ISNUMBER(F32),ABS(D32-F32-365)&lt;=31,OR(G32="US GAAP",G32="IFRS"),H32="Yes",I32&lt;&gt;"",COUNT(J32:R32)=9,J32&gt;0,L32&gt;-1,L32&lt;1,M32&gt;=0,N32&gt;=0,Q32&gt;=0,R32&gt;=0,M32+O32-Q32&gt;0,N32+P32-R32&gt;0,Z32&lt;&gt;"",AA32&lt;&gt;""),1,0),0))</f>
        <v/>
      </c>
      <c r="AE32" s="91" t="str">
        <f t="shared" si="2"/>
        <v/>
      </c>
      <c r="AF32" s="91" t="str">
        <f t="shared" si="3"/>
        <v/>
      </c>
      <c r="AG32" s="92" t="str">
        <f t="shared" si="4"/>
        <v/>
      </c>
      <c r="AH32" s="92" t="str">
        <f t="shared" si="5"/>
        <v/>
      </c>
      <c r="AI32" s="92" t="str">
        <f t="shared" si="6"/>
        <v/>
      </c>
      <c r="AJ32" s="92" t="str">
        <f t="shared" si="7"/>
        <v/>
      </c>
      <c r="AK32" s="92" t="str">
        <f t="shared" si="8"/>
        <v/>
      </c>
      <c r="AL32" s="86" t="str">
        <f t="shared" si="9"/>
        <v/>
      </c>
      <c r="AM32" s="86" t="str">
        <f t="array" ref="AM32">IF(A32="","",IF(AB32&lt;&gt;1,0,IF(AND(INDEX(Companies!$R$6:$R$55,MATCH(A32,Companies!$A$6:$A$55,0))=1,INDEX(Companies!$I$6:$I$55,MATCH(A32,Companies!$A$6:$A$55,0))&gt;=MAX(10,Rules!$B$22)),1,0)))</f>
        <v/>
      </c>
      <c r="AN32" s="86" t="str">
        <f>IFERROR(__xludf.DUMMYFUNCTION("IF(A32="""","""",IFERROR(IF(AND(OR(C32=""FY0"",C32=""FY-1"",C32=""FY-2""),AD32=1,COUNTIFS($A$6:$A$205,A32,$C$6:$C$205,""FY0"",$AD$6:$AD$205,1)=1,COUNTIFS($A$6:$A$205,A32,$C$6:$C$205,""TTM"",$AD$6:$AD$205,1)=1,G32=IFNA(INDEX(FILTER($G$6:$G$205,$A$6:$A$205="&amp;"A32,$C$6:$C$205=""TTM"",$AD$6:$AD$205=1),1),""""),I32=IFNA(INDEX(FILTER($I$6:$I$205,$A$6:$A$205=A32,$C$6:$C$205=""TTM"",$AD$6:$AD$205=1),1),""""),SUMIFS($D$6:$D$205,$A$6:$A$205,A32,$C$6:$C$205,""FY0"",$AD$6:$AD$205,1)&lt;=SUMIFS($D$6:$D$205,$A$6:$A$205,A32,$"&amp;"C$6:$C$205,""TTM"",$AD$6:$AD$205,1),SUMIFS($D$6:$D$205,$A$6:$A$205,A32,$C$6:$C$205,""TTM"",$AD$6:$AD$205,1)-SUMIFS($D$6:$D$205,$A$6:$A$205,A32,$C$6:$C$205,""FY0"",$AD$6:$AD$205,1)&lt;366,ABS(D32-EDATE(SUMIFS($D$6:$D$205,$A$6:$A$205,A32,$C$6:$C$205,""FY0"",$A"&amp;"D$6:$AD$205,1),IF(C32=""FY0"",0,IF(C32=""FY-1"",-12,-24))))&lt;=31),1,0),0))"),"")</f>
        <v/>
      </c>
    </row>
    <row r="33" ht="31.5" customHeight="1">
      <c r="A33" s="85"/>
      <c r="B33" s="86" t="str">
        <f t="array" ref="B33">IF(A33="","",IF(AB33&lt;&gt;1,"Unmatched issuer",INDEX(Companies!$C$6:$C$55,MATCH(A33,Companies!$A$6:$A$55,0))))</f>
        <v/>
      </c>
      <c r="C33" s="87"/>
      <c r="D33" s="88"/>
      <c r="E33" s="88"/>
      <c r="F33" s="88"/>
      <c r="G33" s="87"/>
      <c r="H33" s="87"/>
      <c r="I33" s="85"/>
      <c r="J33" s="89"/>
      <c r="K33" s="89"/>
      <c r="L33" s="90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5"/>
      <c r="AA33" s="85"/>
      <c r="AB33" s="86" t="str">
        <f>IF(A33="","",COUNTIF(Companies!$A$6:$A$55,A33))</f>
        <v/>
      </c>
      <c r="AC33" s="86" t="str">
        <f t="shared" si="1"/>
        <v/>
      </c>
      <c r="AD33" s="86" t="str">
        <f>IF(A33="","",IFERROR(IF(AND(AB33=1,AC33=1,AM33=1,OR(C33="TTM",C33="FY0",C33="FY-1",C33="FY-2"),ISNUMBER(D33),D33&lt;=Rules!$B$6,ISNUMBER(E33),E33&gt;=D33,E33&lt;=Rules!$B$6,ISNUMBER(F33),ABS(D33-F33-365)&lt;=31,OR(G33="US GAAP",G33="IFRS"),H33="Yes",I33&lt;&gt;"",COUNT(J33:R33)=9,J33&gt;0,L33&gt;-1,L33&lt;1,M33&gt;=0,N33&gt;=0,Q33&gt;=0,R33&gt;=0,M33+O33-Q33&gt;0,N33+P33-R33&gt;0,Z33&lt;&gt;"",AA33&lt;&gt;""),1,0),0))</f>
        <v/>
      </c>
      <c r="AE33" s="91" t="str">
        <f t="shared" si="2"/>
        <v/>
      </c>
      <c r="AF33" s="91" t="str">
        <f t="shared" si="3"/>
        <v/>
      </c>
      <c r="AG33" s="92" t="str">
        <f t="shared" si="4"/>
        <v/>
      </c>
      <c r="AH33" s="92" t="str">
        <f t="shared" si="5"/>
        <v/>
      </c>
      <c r="AI33" s="92" t="str">
        <f t="shared" si="6"/>
        <v/>
      </c>
      <c r="AJ33" s="92" t="str">
        <f t="shared" si="7"/>
        <v/>
      </c>
      <c r="AK33" s="92" t="str">
        <f t="shared" si="8"/>
        <v/>
      </c>
      <c r="AL33" s="86" t="str">
        <f t="shared" si="9"/>
        <v/>
      </c>
      <c r="AM33" s="86" t="str">
        <f t="array" ref="AM33">IF(A33="","",IF(AB33&lt;&gt;1,0,IF(AND(INDEX(Companies!$R$6:$R$55,MATCH(A33,Companies!$A$6:$A$55,0))=1,INDEX(Companies!$I$6:$I$55,MATCH(A33,Companies!$A$6:$A$55,0))&gt;=MAX(10,Rules!$B$22)),1,0)))</f>
        <v/>
      </c>
      <c r="AN33" s="86" t="str">
        <f>IFERROR(__xludf.DUMMYFUNCTION("IF(A33="""","""",IFERROR(IF(AND(OR(C33=""FY0"",C33=""FY-1"",C33=""FY-2""),AD33=1,COUNTIFS($A$6:$A$205,A33,$C$6:$C$205,""FY0"",$AD$6:$AD$205,1)=1,COUNTIFS($A$6:$A$205,A33,$C$6:$C$205,""TTM"",$AD$6:$AD$205,1)=1,G33=IFNA(INDEX(FILTER($G$6:$G$205,$A$6:$A$205="&amp;"A33,$C$6:$C$205=""TTM"",$AD$6:$AD$205=1),1),""""),I33=IFNA(INDEX(FILTER($I$6:$I$205,$A$6:$A$205=A33,$C$6:$C$205=""TTM"",$AD$6:$AD$205=1),1),""""),SUMIFS($D$6:$D$205,$A$6:$A$205,A33,$C$6:$C$205,""FY0"",$AD$6:$AD$205,1)&lt;=SUMIFS($D$6:$D$205,$A$6:$A$205,A33,$"&amp;"C$6:$C$205,""TTM"",$AD$6:$AD$205,1),SUMIFS($D$6:$D$205,$A$6:$A$205,A33,$C$6:$C$205,""TTM"",$AD$6:$AD$205,1)-SUMIFS($D$6:$D$205,$A$6:$A$205,A33,$C$6:$C$205,""FY0"",$AD$6:$AD$205,1)&lt;366,ABS(D33-EDATE(SUMIFS($D$6:$D$205,$A$6:$A$205,A33,$C$6:$C$205,""FY0"",$A"&amp;"D$6:$AD$205,1),IF(C33=""FY0"",0,IF(C33=""FY-1"",-12,-24))))&lt;=31),1,0),0))"),"")</f>
        <v/>
      </c>
    </row>
    <row r="34" ht="31.5" customHeight="1">
      <c r="A34" s="85"/>
      <c r="B34" s="86" t="str">
        <f t="array" ref="B34">IF(A34="","",IF(AB34&lt;&gt;1,"Unmatched issuer",INDEX(Companies!$C$6:$C$55,MATCH(A34,Companies!$A$6:$A$55,0))))</f>
        <v/>
      </c>
      <c r="C34" s="87"/>
      <c r="D34" s="88"/>
      <c r="E34" s="88"/>
      <c r="F34" s="88"/>
      <c r="G34" s="87"/>
      <c r="H34" s="87"/>
      <c r="I34" s="85"/>
      <c r="J34" s="89"/>
      <c r="K34" s="89"/>
      <c r="L34" s="90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90"/>
      <c r="Z34" s="85"/>
      <c r="AA34" s="85"/>
      <c r="AB34" s="86" t="str">
        <f>IF(A34="","",COUNTIF(Companies!$A$6:$A$55,A34))</f>
        <v/>
      </c>
      <c r="AC34" s="86" t="str">
        <f t="shared" si="1"/>
        <v/>
      </c>
      <c r="AD34" s="86" t="str">
        <f>IF(A34="","",IFERROR(IF(AND(AB34=1,AC34=1,AM34=1,OR(C34="TTM",C34="FY0",C34="FY-1",C34="FY-2"),ISNUMBER(D34),D34&lt;=Rules!$B$6,ISNUMBER(E34),E34&gt;=D34,E34&lt;=Rules!$B$6,ISNUMBER(F34),ABS(D34-F34-365)&lt;=31,OR(G34="US GAAP",G34="IFRS"),H34="Yes",I34&lt;&gt;"",COUNT(J34:R34)=9,J34&gt;0,L34&gt;-1,L34&lt;1,M34&gt;=0,N34&gt;=0,Q34&gt;=0,R34&gt;=0,M34+O34-Q34&gt;0,N34+P34-R34&gt;0,Z34&lt;&gt;"",AA34&lt;&gt;""),1,0),0))</f>
        <v/>
      </c>
      <c r="AE34" s="91" t="str">
        <f t="shared" si="2"/>
        <v/>
      </c>
      <c r="AF34" s="91" t="str">
        <f t="shared" si="3"/>
        <v/>
      </c>
      <c r="AG34" s="92" t="str">
        <f t="shared" si="4"/>
        <v/>
      </c>
      <c r="AH34" s="92" t="str">
        <f t="shared" si="5"/>
        <v/>
      </c>
      <c r="AI34" s="92" t="str">
        <f t="shared" si="6"/>
        <v/>
      </c>
      <c r="AJ34" s="92" t="str">
        <f t="shared" si="7"/>
        <v/>
      </c>
      <c r="AK34" s="92" t="str">
        <f t="shared" si="8"/>
        <v/>
      </c>
      <c r="AL34" s="86" t="str">
        <f t="shared" si="9"/>
        <v/>
      </c>
      <c r="AM34" s="86" t="str">
        <f t="array" ref="AM34">IF(A34="","",IF(AB34&lt;&gt;1,0,IF(AND(INDEX(Companies!$R$6:$R$55,MATCH(A34,Companies!$A$6:$A$55,0))=1,INDEX(Companies!$I$6:$I$55,MATCH(A34,Companies!$A$6:$A$55,0))&gt;=MAX(10,Rules!$B$22)),1,0)))</f>
        <v/>
      </c>
      <c r="AN34" s="86" t="str">
        <f>IFERROR(__xludf.DUMMYFUNCTION("IF(A34="""","""",IFERROR(IF(AND(OR(C34=""FY0"",C34=""FY-1"",C34=""FY-2""),AD34=1,COUNTIFS($A$6:$A$205,A34,$C$6:$C$205,""FY0"",$AD$6:$AD$205,1)=1,COUNTIFS($A$6:$A$205,A34,$C$6:$C$205,""TTM"",$AD$6:$AD$205,1)=1,G34=IFNA(INDEX(FILTER($G$6:$G$205,$A$6:$A$205="&amp;"A34,$C$6:$C$205=""TTM"",$AD$6:$AD$205=1),1),""""),I34=IFNA(INDEX(FILTER($I$6:$I$205,$A$6:$A$205=A34,$C$6:$C$205=""TTM"",$AD$6:$AD$205=1),1),""""),SUMIFS($D$6:$D$205,$A$6:$A$205,A34,$C$6:$C$205,""FY0"",$AD$6:$AD$205,1)&lt;=SUMIFS($D$6:$D$205,$A$6:$A$205,A34,$"&amp;"C$6:$C$205,""TTM"",$AD$6:$AD$205,1),SUMIFS($D$6:$D$205,$A$6:$A$205,A34,$C$6:$C$205,""TTM"",$AD$6:$AD$205,1)-SUMIFS($D$6:$D$205,$A$6:$A$205,A34,$C$6:$C$205,""FY0"",$AD$6:$AD$205,1)&lt;366,ABS(D34-EDATE(SUMIFS($D$6:$D$205,$A$6:$A$205,A34,$C$6:$C$205,""FY0"",$A"&amp;"D$6:$AD$205,1),IF(C34=""FY0"",0,IF(C34=""FY-1"",-12,-24))))&lt;=31),1,0),0))"),"")</f>
        <v/>
      </c>
    </row>
    <row r="35" ht="31.5" customHeight="1">
      <c r="A35" s="85"/>
      <c r="B35" s="86" t="str">
        <f t="array" ref="B35">IF(A35="","",IF(AB35&lt;&gt;1,"Unmatched issuer",INDEX(Companies!$C$6:$C$55,MATCH(A35,Companies!$A$6:$A$55,0))))</f>
        <v/>
      </c>
      <c r="C35" s="87"/>
      <c r="D35" s="88"/>
      <c r="E35" s="88"/>
      <c r="F35" s="88"/>
      <c r="G35" s="87"/>
      <c r="H35" s="87"/>
      <c r="I35" s="85"/>
      <c r="J35" s="89"/>
      <c r="K35" s="89"/>
      <c r="L35" s="90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90"/>
      <c r="Z35" s="85"/>
      <c r="AA35" s="85"/>
      <c r="AB35" s="86" t="str">
        <f>IF(A35="","",COUNTIF(Companies!$A$6:$A$55,A35))</f>
        <v/>
      </c>
      <c r="AC35" s="86" t="str">
        <f t="shared" si="1"/>
        <v/>
      </c>
      <c r="AD35" s="86" t="str">
        <f>IF(A35="","",IFERROR(IF(AND(AB35=1,AC35=1,AM35=1,OR(C35="TTM",C35="FY0",C35="FY-1",C35="FY-2"),ISNUMBER(D35),D35&lt;=Rules!$B$6,ISNUMBER(E35),E35&gt;=D35,E35&lt;=Rules!$B$6,ISNUMBER(F35),ABS(D35-F35-365)&lt;=31,OR(G35="US GAAP",G35="IFRS"),H35="Yes",I35&lt;&gt;"",COUNT(J35:R35)=9,J35&gt;0,L35&gt;-1,L35&lt;1,M35&gt;=0,N35&gt;=0,Q35&gt;=0,R35&gt;=0,M35+O35-Q35&gt;0,N35+P35-R35&gt;0,Z35&lt;&gt;"",AA35&lt;&gt;""),1,0),0))</f>
        <v/>
      </c>
      <c r="AE35" s="91" t="str">
        <f t="shared" si="2"/>
        <v/>
      </c>
      <c r="AF35" s="91" t="str">
        <f t="shared" si="3"/>
        <v/>
      </c>
      <c r="AG35" s="92" t="str">
        <f t="shared" si="4"/>
        <v/>
      </c>
      <c r="AH35" s="92" t="str">
        <f t="shared" si="5"/>
        <v/>
      </c>
      <c r="AI35" s="92" t="str">
        <f t="shared" si="6"/>
        <v/>
      </c>
      <c r="AJ35" s="92" t="str">
        <f t="shared" si="7"/>
        <v/>
      </c>
      <c r="AK35" s="92" t="str">
        <f t="shared" si="8"/>
        <v/>
      </c>
      <c r="AL35" s="86" t="str">
        <f t="shared" si="9"/>
        <v/>
      </c>
      <c r="AM35" s="86" t="str">
        <f t="array" ref="AM35">IF(A35="","",IF(AB35&lt;&gt;1,0,IF(AND(INDEX(Companies!$R$6:$R$55,MATCH(A35,Companies!$A$6:$A$55,0))=1,INDEX(Companies!$I$6:$I$55,MATCH(A35,Companies!$A$6:$A$55,0))&gt;=MAX(10,Rules!$B$22)),1,0)))</f>
        <v/>
      </c>
      <c r="AN35" s="86" t="str">
        <f>IFERROR(__xludf.DUMMYFUNCTION("IF(A35="""","""",IFERROR(IF(AND(OR(C35=""FY0"",C35=""FY-1"",C35=""FY-2""),AD35=1,COUNTIFS($A$6:$A$205,A35,$C$6:$C$205,""FY0"",$AD$6:$AD$205,1)=1,COUNTIFS($A$6:$A$205,A35,$C$6:$C$205,""TTM"",$AD$6:$AD$205,1)=1,G35=IFNA(INDEX(FILTER($G$6:$G$205,$A$6:$A$205="&amp;"A35,$C$6:$C$205=""TTM"",$AD$6:$AD$205=1),1),""""),I35=IFNA(INDEX(FILTER($I$6:$I$205,$A$6:$A$205=A35,$C$6:$C$205=""TTM"",$AD$6:$AD$205=1),1),""""),SUMIFS($D$6:$D$205,$A$6:$A$205,A35,$C$6:$C$205,""FY0"",$AD$6:$AD$205,1)&lt;=SUMIFS($D$6:$D$205,$A$6:$A$205,A35,$"&amp;"C$6:$C$205,""TTM"",$AD$6:$AD$205,1),SUMIFS($D$6:$D$205,$A$6:$A$205,A35,$C$6:$C$205,""TTM"",$AD$6:$AD$205,1)-SUMIFS($D$6:$D$205,$A$6:$A$205,A35,$C$6:$C$205,""FY0"",$AD$6:$AD$205,1)&lt;366,ABS(D35-EDATE(SUMIFS($D$6:$D$205,$A$6:$A$205,A35,$C$6:$C$205,""FY0"",$A"&amp;"D$6:$AD$205,1),IF(C35=""FY0"",0,IF(C35=""FY-1"",-12,-24))))&lt;=31),1,0),0))"),"")</f>
        <v/>
      </c>
    </row>
    <row r="36" ht="31.5" customHeight="1">
      <c r="A36" s="85"/>
      <c r="B36" s="86" t="str">
        <f t="array" ref="B36">IF(A36="","",IF(AB36&lt;&gt;1,"Unmatched issuer",INDEX(Companies!$C$6:$C$55,MATCH(A36,Companies!$A$6:$A$55,0))))</f>
        <v/>
      </c>
      <c r="C36" s="87"/>
      <c r="D36" s="88"/>
      <c r="E36" s="88"/>
      <c r="F36" s="88"/>
      <c r="G36" s="87"/>
      <c r="H36" s="87"/>
      <c r="I36" s="85"/>
      <c r="J36" s="89"/>
      <c r="K36" s="89"/>
      <c r="L36" s="90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90"/>
      <c r="Z36" s="85"/>
      <c r="AA36" s="85"/>
      <c r="AB36" s="86" t="str">
        <f>IF(A36="","",COUNTIF(Companies!$A$6:$A$55,A36))</f>
        <v/>
      </c>
      <c r="AC36" s="86" t="str">
        <f t="shared" si="1"/>
        <v/>
      </c>
      <c r="AD36" s="86" t="str">
        <f>IF(A36="","",IFERROR(IF(AND(AB36=1,AC36=1,AM36=1,OR(C36="TTM",C36="FY0",C36="FY-1",C36="FY-2"),ISNUMBER(D36),D36&lt;=Rules!$B$6,ISNUMBER(E36),E36&gt;=D36,E36&lt;=Rules!$B$6,ISNUMBER(F36),ABS(D36-F36-365)&lt;=31,OR(G36="US GAAP",G36="IFRS"),H36="Yes",I36&lt;&gt;"",COUNT(J36:R36)=9,J36&gt;0,L36&gt;-1,L36&lt;1,M36&gt;=0,N36&gt;=0,Q36&gt;=0,R36&gt;=0,M36+O36-Q36&gt;0,N36+P36-R36&gt;0,Z36&lt;&gt;"",AA36&lt;&gt;""),1,0),0))</f>
        <v/>
      </c>
      <c r="AE36" s="91" t="str">
        <f t="shared" si="2"/>
        <v/>
      </c>
      <c r="AF36" s="91" t="str">
        <f t="shared" si="3"/>
        <v/>
      </c>
      <c r="AG36" s="92" t="str">
        <f t="shared" si="4"/>
        <v/>
      </c>
      <c r="AH36" s="92" t="str">
        <f t="shared" si="5"/>
        <v/>
      </c>
      <c r="AI36" s="92" t="str">
        <f t="shared" si="6"/>
        <v/>
      </c>
      <c r="AJ36" s="92" t="str">
        <f t="shared" si="7"/>
        <v/>
      </c>
      <c r="AK36" s="92" t="str">
        <f t="shared" si="8"/>
        <v/>
      </c>
      <c r="AL36" s="86" t="str">
        <f t="shared" si="9"/>
        <v/>
      </c>
      <c r="AM36" s="86" t="str">
        <f t="array" ref="AM36">IF(A36="","",IF(AB36&lt;&gt;1,0,IF(AND(INDEX(Companies!$R$6:$R$55,MATCH(A36,Companies!$A$6:$A$55,0))=1,INDEX(Companies!$I$6:$I$55,MATCH(A36,Companies!$A$6:$A$55,0))&gt;=MAX(10,Rules!$B$22)),1,0)))</f>
        <v/>
      </c>
      <c r="AN36" s="86" t="str">
        <f>IFERROR(__xludf.DUMMYFUNCTION("IF(A36="""","""",IFERROR(IF(AND(OR(C36=""FY0"",C36=""FY-1"",C36=""FY-2""),AD36=1,COUNTIFS($A$6:$A$205,A36,$C$6:$C$205,""FY0"",$AD$6:$AD$205,1)=1,COUNTIFS($A$6:$A$205,A36,$C$6:$C$205,""TTM"",$AD$6:$AD$205,1)=1,G36=IFNA(INDEX(FILTER($G$6:$G$205,$A$6:$A$205="&amp;"A36,$C$6:$C$205=""TTM"",$AD$6:$AD$205=1),1),""""),I36=IFNA(INDEX(FILTER($I$6:$I$205,$A$6:$A$205=A36,$C$6:$C$205=""TTM"",$AD$6:$AD$205=1),1),""""),SUMIFS($D$6:$D$205,$A$6:$A$205,A36,$C$6:$C$205,""FY0"",$AD$6:$AD$205,1)&lt;=SUMIFS($D$6:$D$205,$A$6:$A$205,A36,$"&amp;"C$6:$C$205,""TTM"",$AD$6:$AD$205,1),SUMIFS($D$6:$D$205,$A$6:$A$205,A36,$C$6:$C$205,""TTM"",$AD$6:$AD$205,1)-SUMIFS($D$6:$D$205,$A$6:$A$205,A36,$C$6:$C$205,""FY0"",$AD$6:$AD$205,1)&lt;366,ABS(D36-EDATE(SUMIFS($D$6:$D$205,$A$6:$A$205,A36,$C$6:$C$205,""FY0"",$A"&amp;"D$6:$AD$205,1),IF(C36=""FY0"",0,IF(C36=""FY-1"",-12,-24))))&lt;=31),1,0),0))"),"")</f>
        <v/>
      </c>
    </row>
    <row r="37" ht="31.5" customHeight="1">
      <c r="A37" s="85"/>
      <c r="B37" s="86" t="str">
        <f t="array" ref="B37">IF(A37="","",IF(AB37&lt;&gt;1,"Unmatched issuer",INDEX(Companies!$C$6:$C$55,MATCH(A37,Companies!$A$6:$A$55,0))))</f>
        <v/>
      </c>
      <c r="C37" s="87"/>
      <c r="D37" s="88"/>
      <c r="E37" s="88"/>
      <c r="F37" s="88"/>
      <c r="G37" s="87"/>
      <c r="H37" s="87"/>
      <c r="I37" s="85"/>
      <c r="J37" s="89"/>
      <c r="K37" s="89"/>
      <c r="L37" s="90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5"/>
      <c r="AA37" s="85"/>
      <c r="AB37" s="86" t="str">
        <f>IF(A37="","",COUNTIF(Companies!$A$6:$A$55,A37))</f>
        <v/>
      </c>
      <c r="AC37" s="86" t="str">
        <f t="shared" si="1"/>
        <v/>
      </c>
      <c r="AD37" s="86" t="str">
        <f>IF(A37="","",IFERROR(IF(AND(AB37=1,AC37=1,AM37=1,OR(C37="TTM",C37="FY0",C37="FY-1",C37="FY-2"),ISNUMBER(D37),D37&lt;=Rules!$B$6,ISNUMBER(E37),E37&gt;=D37,E37&lt;=Rules!$B$6,ISNUMBER(F37),ABS(D37-F37-365)&lt;=31,OR(G37="US GAAP",G37="IFRS"),H37="Yes",I37&lt;&gt;"",COUNT(J37:R37)=9,J37&gt;0,L37&gt;-1,L37&lt;1,M37&gt;=0,N37&gt;=0,Q37&gt;=0,R37&gt;=0,M37+O37-Q37&gt;0,N37+P37-R37&gt;0,Z37&lt;&gt;"",AA37&lt;&gt;""),1,0),0))</f>
        <v/>
      </c>
      <c r="AE37" s="91" t="str">
        <f t="shared" si="2"/>
        <v/>
      </c>
      <c r="AF37" s="91" t="str">
        <f t="shared" si="3"/>
        <v/>
      </c>
      <c r="AG37" s="92" t="str">
        <f t="shared" si="4"/>
        <v/>
      </c>
      <c r="AH37" s="92" t="str">
        <f t="shared" si="5"/>
        <v/>
      </c>
      <c r="AI37" s="92" t="str">
        <f t="shared" si="6"/>
        <v/>
      </c>
      <c r="AJ37" s="92" t="str">
        <f t="shared" si="7"/>
        <v/>
      </c>
      <c r="AK37" s="92" t="str">
        <f t="shared" si="8"/>
        <v/>
      </c>
      <c r="AL37" s="86" t="str">
        <f t="shared" si="9"/>
        <v/>
      </c>
      <c r="AM37" s="86" t="str">
        <f t="array" ref="AM37">IF(A37="","",IF(AB37&lt;&gt;1,0,IF(AND(INDEX(Companies!$R$6:$R$55,MATCH(A37,Companies!$A$6:$A$55,0))=1,INDEX(Companies!$I$6:$I$55,MATCH(A37,Companies!$A$6:$A$55,0))&gt;=MAX(10,Rules!$B$22)),1,0)))</f>
        <v/>
      </c>
      <c r="AN37" s="86" t="str">
        <f>IFERROR(__xludf.DUMMYFUNCTION("IF(A37="""","""",IFERROR(IF(AND(OR(C37=""FY0"",C37=""FY-1"",C37=""FY-2""),AD37=1,COUNTIFS($A$6:$A$205,A37,$C$6:$C$205,""FY0"",$AD$6:$AD$205,1)=1,COUNTIFS($A$6:$A$205,A37,$C$6:$C$205,""TTM"",$AD$6:$AD$205,1)=1,G37=IFNA(INDEX(FILTER($G$6:$G$205,$A$6:$A$205="&amp;"A37,$C$6:$C$205=""TTM"",$AD$6:$AD$205=1),1),""""),I37=IFNA(INDEX(FILTER($I$6:$I$205,$A$6:$A$205=A37,$C$6:$C$205=""TTM"",$AD$6:$AD$205=1),1),""""),SUMIFS($D$6:$D$205,$A$6:$A$205,A37,$C$6:$C$205,""FY0"",$AD$6:$AD$205,1)&lt;=SUMIFS($D$6:$D$205,$A$6:$A$205,A37,$"&amp;"C$6:$C$205,""TTM"",$AD$6:$AD$205,1),SUMIFS($D$6:$D$205,$A$6:$A$205,A37,$C$6:$C$205,""TTM"",$AD$6:$AD$205,1)-SUMIFS($D$6:$D$205,$A$6:$A$205,A37,$C$6:$C$205,""FY0"",$AD$6:$AD$205,1)&lt;366,ABS(D37-EDATE(SUMIFS($D$6:$D$205,$A$6:$A$205,A37,$C$6:$C$205,""FY0"",$A"&amp;"D$6:$AD$205,1),IF(C37=""FY0"",0,IF(C37=""FY-1"",-12,-24))))&lt;=31),1,0),0))"),"")</f>
        <v/>
      </c>
    </row>
    <row r="38" ht="31.5" customHeight="1">
      <c r="A38" s="85"/>
      <c r="B38" s="86" t="str">
        <f t="array" ref="B38">IF(A38="","",IF(AB38&lt;&gt;1,"Unmatched issuer",INDEX(Companies!$C$6:$C$55,MATCH(A38,Companies!$A$6:$A$55,0))))</f>
        <v/>
      </c>
      <c r="C38" s="87"/>
      <c r="D38" s="88"/>
      <c r="E38" s="88"/>
      <c r="F38" s="88"/>
      <c r="G38" s="87"/>
      <c r="H38" s="87"/>
      <c r="I38" s="85"/>
      <c r="J38" s="89"/>
      <c r="K38" s="89"/>
      <c r="L38" s="90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90"/>
      <c r="Z38" s="85"/>
      <c r="AA38" s="85"/>
      <c r="AB38" s="86" t="str">
        <f>IF(A38="","",COUNTIF(Companies!$A$6:$A$55,A38))</f>
        <v/>
      </c>
      <c r="AC38" s="86" t="str">
        <f t="shared" si="1"/>
        <v/>
      </c>
      <c r="AD38" s="86" t="str">
        <f>IF(A38="","",IFERROR(IF(AND(AB38=1,AC38=1,AM38=1,OR(C38="TTM",C38="FY0",C38="FY-1",C38="FY-2"),ISNUMBER(D38),D38&lt;=Rules!$B$6,ISNUMBER(E38),E38&gt;=D38,E38&lt;=Rules!$B$6,ISNUMBER(F38),ABS(D38-F38-365)&lt;=31,OR(G38="US GAAP",G38="IFRS"),H38="Yes",I38&lt;&gt;"",COUNT(J38:R38)=9,J38&gt;0,L38&gt;-1,L38&lt;1,M38&gt;=0,N38&gt;=0,Q38&gt;=0,R38&gt;=0,M38+O38-Q38&gt;0,N38+P38-R38&gt;0,Z38&lt;&gt;"",AA38&lt;&gt;""),1,0),0))</f>
        <v/>
      </c>
      <c r="AE38" s="91" t="str">
        <f t="shared" si="2"/>
        <v/>
      </c>
      <c r="AF38" s="91" t="str">
        <f t="shared" si="3"/>
        <v/>
      </c>
      <c r="AG38" s="92" t="str">
        <f t="shared" si="4"/>
        <v/>
      </c>
      <c r="AH38" s="92" t="str">
        <f t="shared" si="5"/>
        <v/>
      </c>
      <c r="AI38" s="92" t="str">
        <f t="shared" si="6"/>
        <v/>
      </c>
      <c r="AJ38" s="92" t="str">
        <f t="shared" si="7"/>
        <v/>
      </c>
      <c r="AK38" s="92" t="str">
        <f t="shared" si="8"/>
        <v/>
      </c>
      <c r="AL38" s="86" t="str">
        <f t="shared" si="9"/>
        <v/>
      </c>
      <c r="AM38" s="86" t="str">
        <f t="array" ref="AM38">IF(A38="","",IF(AB38&lt;&gt;1,0,IF(AND(INDEX(Companies!$R$6:$R$55,MATCH(A38,Companies!$A$6:$A$55,0))=1,INDEX(Companies!$I$6:$I$55,MATCH(A38,Companies!$A$6:$A$55,0))&gt;=MAX(10,Rules!$B$22)),1,0)))</f>
        <v/>
      </c>
      <c r="AN38" s="86" t="str">
        <f>IFERROR(__xludf.DUMMYFUNCTION("IF(A38="""","""",IFERROR(IF(AND(OR(C38=""FY0"",C38=""FY-1"",C38=""FY-2""),AD38=1,COUNTIFS($A$6:$A$205,A38,$C$6:$C$205,""FY0"",$AD$6:$AD$205,1)=1,COUNTIFS($A$6:$A$205,A38,$C$6:$C$205,""TTM"",$AD$6:$AD$205,1)=1,G38=IFNA(INDEX(FILTER($G$6:$G$205,$A$6:$A$205="&amp;"A38,$C$6:$C$205=""TTM"",$AD$6:$AD$205=1),1),""""),I38=IFNA(INDEX(FILTER($I$6:$I$205,$A$6:$A$205=A38,$C$6:$C$205=""TTM"",$AD$6:$AD$205=1),1),""""),SUMIFS($D$6:$D$205,$A$6:$A$205,A38,$C$6:$C$205,""FY0"",$AD$6:$AD$205,1)&lt;=SUMIFS($D$6:$D$205,$A$6:$A$205,A38,$"&amp;"C$6:$C$205,""TTM"",$AD$6:$AD$205,1),SUMIFS($D$6:$D$205,$A$6:$A$205,A38,$C$6:$C$205,""TTM"",$AD$6:$AD$205,1)-SUMIFS($D$6:$D$205,$A$6:$A$205,A38,$C$6:$C$205,""FY0"",$AD$6:$AD$205,1)&lt;366,ABS(D38-EDATE(SUMIFS($D$6:$D$205,$A$6:$A$205,A38,$C$6:$C$205,""FY0"",$A"&amp;"D$6:$AD$205,1),IF(C38=""FY0"",0,IF(C38=""FY-1"",-12,-24))))&lt;=31),1,0),0))"),"")</f>
        <v/>
      </c>
    </row>
    <row r="39" ht="31.5" customHeight="1">
      <c r="A39" s="85"/>
      <c r="B39" s="86" t="str">
        <f t="array" ref="B39">IF(A39="","",IF(AB39&lt;&gt;1,"Unmatched issuer",INDEX(Companies!$C$6:$C$55,MATCH(A39,Companies!$A$6:$A$55,0))))</f>
        <v/>
      </c>
      <c r="C39" s="87"/>
      <c r="D39" s="88"/>
      <c r="E39" s="88"/>
      <c r="F39" s="88"/>
      <c r="G39" s="87"/>
      <c r="H39" s="87"/>
      <c r="I39" s="85"/>
      <c r="J39" s="89"/>
      <c r="K39" s="89"/>
      <c r="L39" s="90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5"/>
      <c r="AA39" s="85"/>
      <c r="AB39" s="86" t="str">
        <f>IF(A39="","",COUNTIF(Companies!$A$6:$A$55,A39))</f>
        <v/>
      </c>
      <c r="AC39" s="86" t="str">
        <f t="shared" si="1"/>
        <v/>
      </c>
      <c r="AD39" s="86" t="str">
        <f>IF(A39="","",IFERROR(IF(AND(AB39=1,AC39=1,AM39=1,OR(C39="TTM",C39="FY0",C39="FY-1",C39="FY-2"),ISNUMBER(D39),D39&lt;=Rules!$B$6,ISNUMBER(E39),E39&gt;=D39,E39&lt;=Rules!$B$6,ISNUMBER(F39),ABS(D39-F39-365)&lt;=31,OR(G39="US GAAP",G39="IFRS"),H39="Yes",I39&lt;&gt;"",COUNT(J39:R39)=9,J39&gt;0,L39&gt;-1,L39&lt;1,M39&gt;=0,N39&gt;=0,Q39&gt;=0,R39&gt;=0,M39+O39-Q39&gt;0,N39+P39-R39&gt;0,Z39&lt;&gt;"",AA39&lt;&gt;""),1,0),0))</f>
        <v/>
      </c>
      <c r="AE39" s="91" t="str">
        <f t="shared" si="2"/>
        <v/>
      </c>
      <c r="AF39" s="91" t="str">
        <f t="shared" si="3"/>
        <v/>
      </c>
      <c r="AG39" s="92" t="str">
        <f t="shared" si="4"/>
        <v/>
      </c>
      <c r="AH39" s="92" t="str">
        <f t="shared" si="5"/>
        <v/>
      </c>
      <c r="AI39" s="92" t="str">
        <f t="shared" si="6"/>
        <v/>
      </c>
      <c r="AJ39" s="92" t="str">
        <f t="shared" si="7"/>
        <v/>
      </c>
      <c r="AK39" s="92" t="str">
        <f t="shared" si="8"/>
        <v/>
      </c>
      <c r="AL39" s="86" t="str">
        <f t="shared" si="9"/>
        <v/>
      </c>
      <c r="AM39" s="86" t="str">
        <f t="array" ref="AM39">IF(A39="","",IF(AB39&lt;&gt;1,0,IF(AND(INDEX(Companies!$R$6:$R$55,MATCH(A39,Companies!$A$6:$A$55,0))=1,INDEX(Companies!$I$6:$I$55,MATCH(A39,Companies!$A$6:$A$55,0))&gt;=MAX(10,Rules!$B$22)),1,0)))</f>
        <v/>
      </c>
      <c r="AN39" s="86" t="str">
        <f>IFERROR(__xludf.DUMMYFUNCTION("IF(A39="""","""",IFERROR(IF(AND(OR(C39=""FY0"",C39=""FY-1"",C39=""FY-2""),AD39=1,COUNTIFS($A$6:$A$205,A39,$C$6:$C$205,""FY0"",$AD$6:$AD$205,1)=1,COUNTIFS($A$6:$A$205,A39,$C$6:$C$205,""TTM"",$AD$6:$AD$205,1)=1,G39=IFNA(INDEX(FILTER($G$6:$G$205,$A$6:$A$205="&amp;"A39,$C$6:$C$205=""TTM"",$AD$6:$AD$205=1),1),""""),I39=IFNA(INDEX(FILTER($I$6:$I$205,$A$6:$A$205=A39,$C$6:$C$205=""TTM"",$AD$6:$AD$205=1),1),""""),SUMIFS($D$6:$D$205,$A$6:$A$205,A39,$C$6:$C$205,""FY0"",$AD$6:$AD$205,1)&lt;=SUMIFS($D$6:$D$205,$A$6:$A$205,A39,$"&amp;"C$6:$C$205,""TTM"",$AD$6:$AD$205,1),SUMIFS($D$6:$D$205,$A$6:$A$205,A39,$C$6:$C$205,""TTM"",$AD$6:$AD$205,1)-SUMIFS($D$6:$D$205,$A$6:$A$205,A39,$C$6:$C$205,""FY0"",$AD$6:$AD$205,1)&lt;366,ABS(D39-EDATE(SUMIFS($D$6:$D$205,$A$6:$A$205,A39,$C$6:$C$205,""FY0"",$A"&amp;"D$6:$AD$205,1),IF(C39=""FY0"",0,IF(C39=""FY-1"",-12,-24))))&lt;=31),1,0),0))"),"")</f>
        <v/>
      </c>
    </row>
    <row r="40" ht="31.5" customHeight="1">
      <c r="A40" s="85"/>
      <c r="B40" s="86" t="str">
        <f t="array" ref="B40">IF(A40="","",IF(AB40&lt;&gt;1,"Unmatched issuer",INDEX(Companies!$C$6:$C$55,MATCH(A40,Companies!$A$6:$A$55,0))))</f>
        <v/>
      </c>
      <c r="C40" s="87"/>
      <c r="D40" s="88"/>
      <c r="E40" s="88"/>
      <c r="F40" s="88"/>
      <c r="G40" s="87"/>
      <c r="H40" s="87"/>
      <c r="I40" s="85"/>
      <c r="J40" s="89"/>
      <c r="K40" s="89"/>
      <c r="L40" s="90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5"/>
      <c r="AA40" s="85"/>
      <c r="AB40" s="86" t="str">
        <f>IF(A40="","",COUNTIF(Companies!$A$6:$A$55,A40))</f>
        <v/>
      </c>
      <c r="AC40" s="86" t="str">
        <f t="shared" si="1"/>
        <v/>
      </c>
      <c r="AD40" s="86" t="str">
        <f>IF(A40="","",IFERROR(IF(AND(AB40=1,AC40=1,AM40=1,OR(C40="TTM",C40="FY0",C40="FY-1",C40="FY-2"),ISNUMBER(D40),D40&lt;=Rules!$B$6,ISNUMBER(E40),E40&gt;=D40,E40&lt;=Rules!$B$6,ISNUMBER(F40),ABS(D40-F40-365)&lt;=31,OR(G40="US GAAP",G40="IFRS"),H40="Yes",I40&lt;&gt;"",COUNT(J40:R40)=9,J40&gt;0,L40&gt;-1,L40&lt;1,M40&gt;=0,N40&gt;=0,Q40&gt;=0,R40&gt;=0,M40+O40-Q40&gt;0,N40+P40-R40&gt;0,Z40&lt;&gt;"",AA40&lt;&gt;""),1,0),0))</f>
        <v/>
      </c>
      <c r="AE40" s="91" t="str">
        <f t="shared" si="2"/>
        <v/>
      </c>
      <c r="AF40" s="91" t="str">
        <f t="shared" si="3"/>
        <v/>
      </c>
      <c r="AG40" s="92" t="str">
        <f t="shared" si="4"/>
        <v/>
      </c>
      <c r="AH40" s="92" t="str">
        <f t="shared" si="5"/>
        <v/>
      </c>
      <c r="AI40" s="92" t="str">
        <f t="shared" si="6"/>
        <v/>
      </c>
      <c r="AJ40" s="92" t="str">
        <f t="shared" si="7"/>
        <v/>
      </c>
      <c r="AK40" s="92" t="str">
        <f t="shared" si="8"/>
        <v/>
      </c>
      <c r="AL40" s="86" t="str">
        <f t="shared" si="9"/>
        <v/>
      </c>
      <c r="AM40" s="86" t="str">
        <f t="array" ref="AM40">IF(A40="","",IF(AB40&lt;&gt;1,0,IF(AND(INDEX(Companies!$R$6:$R$55,MATCH(A40,Companies!$A$6:$A$55,0))=1,INDEX(Companies!$I$6:$I$55,MATCH(A40,Companies!$A$6:$A$55,0))&gt;=MAX(10,Rules!$B$22)),1,0)))</f>
        <v/>
      </c>
      <c r="AN40" s="86" t="str">
        <f>IFERROR(__xludf.DUMMYFUNCTION("IF(A40="""","""",IFERROR(IF(AND(OR(C40=""FY0"",C40=""FY-1"",C40=""FY-2""),AD40=1,COUNTIFS($A$6:$A$205,A40,$C$6:$C$205,""FY0"",$AD$6:$AD$205,1)=1,COUNTIFS($A$6:$A$205,A40,$C$6:$C$205,""TTM"",$AD$6:$AD$205,1)=1,G40=IFNA(INDEX(FILTER($G$6:$G$205,$A$6:$A$205="&amp;"A40,$C$6:$C$205=""TTM"",$AD$6:$AD$205=1),1),""""),I40=IFNA(INDEX(FILTER($I$6:$I$205,$A$6:$A$205=A40,$C$6:$C$205=""TTM"",$AD$6:$AD$205=1),1),""""),SUMIFS($D$6:$D$205,$A$6:$A$205,A40,$C$6:$C$205,""FY0"",$AD$6:$AD$205,1)&lt;=SUMIFS($D$6:$D$205,$A$6:$A$205,A40,$"&amp;"C$6:$C$205,""TTM"",$AD$6:$AD$205,1),SUMIFS($D$6:$D$205,$A$6:$A$205,A40,$C$6:$C$205,""TTM"",$AD$6:$AD$205,1)-SUMIFS($D$6:$D$205,$A$6:$A$205,A40,$C$6:$C$205,""FY0"",$AD$6:$AD$205,1)&lt;366,ABS(D40-EDATE(SUMIFS($D$6:$D$205,$A$6:$A$205,A40,$C$6:$C$205,""FY0"",$A"&amp;"D$6:$AD$205,1),IF(C40=""FY0"",0,IF(C40=""FY-1"",-12,-24))))&lt;=31),1,0),0))"),"")</f>
        <v/>
      </c>
    </row>
    <row r="41" ht="31.5" customHeight="1">
      <c r="A41" s="85"/>
      <c r="B41" s="86" t="str">
        <f t="array" ref="B41">IF(A41="","",IF(AB41&lt;&gt;1,"Unmatched issuer",INDEX(Companies!$C$6:$C$55,MATCH(A41,Companies!$A$6:$A$55,0))))</f>
        <v/>
      </c>
      <c r="C41" s="87"/>
      <c r="D41" s="88"/>
      <c r="E41" s="88"/>
      <c r="F41" s="88"/>
      <c r="G41" s="87"/>
      <c r="H41" s="87"/>
      <c r="I41" s="85"/>
      <c r="J41" s="89"/>
      <c r="K41" s="89"/>
      <c r="L41" s="90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5"/>
      <c r="AA41" s="85"/>
      <c r="AB41" s="86" t="str">
        <f>IF(A41="","",COUNTIF(Companies!$A$6:$A$55,A41))</f>
        <v/>
      </c>
      <c r="AC41" s="86" t="str">
        <f t="shared" si="1"/>
        <v/>
      </c>
      <c r="AD41" s="86" t="str">
        <f>IF(A41="","",IFERROR(IF(AND(AB41=1,AC41=1,AM41=1,OR(C41="TTM",C41="FY0",C41="FY-1",C41="FY-2"),ISNUMBER(D41),D41&lt;=Rules!$B$6,ISNUMBER(E41),E41&gt;=D41,E41&lt;=Rules!$B$6,ISNUMBER(F41),ABS(D41-F41-365)&lt;=31,OR(G41="US GAAP",G41="IFRS"),H41="Yes",I41&lt;&gt;"",COUNT(J41:R41)=9,J41&gt;0,L41&gt;-1,L41&lt;1,M41&gt;=0,N41&gt;=0,Q41&gt;=0,R41&gt;=0,M41+O41-Q41&gt;0,N41+P41-R41&gt;0,Z41&lt;&gt;"",AA41&lt;&gt;""),1,0),0))</f>
        <v/>
      </c>
      <c r="AE41" s="91" t="str">
        <f t="shared" si="2"/>
        <v/>
      </c>
      <c r="AF41" s="91" t="str">
        <f t="shared" si="3"/>
        <v/>
      </c>
      <c r="AG41" s="92" t="str">
        <f t="shared" si="4"/>
        <v/>
      </c>
      <c r="AH41" s="92" t="str">
        <f t="shared" si="5"/>
        <v/>
      </c>
      <c r="AI41" s="92" t="str">
        <f t="shared" si="6"/>
        <v/>
      </c>
      <c r="AJ41" s="92" t="str">
        <f t="shared" si="7"/>
        <v/>
      </c>
      <c r="AK41" s="92" t="str">
        <f t="shared" si="8"/>
        <v/>
      </c>
      <c r="AL41" s="86" t="str">
        <f t="shared" si="9"/>
        <v/>
      </c>
      <c r="AM41" s="86" t="str">
        <f t="array" ref="AM41">IF(A41="","",IF(AB41&lt;&gt;1,0,IF(AND(INDEX(Companies!$R$6:$R$55,MATCH(A41,Companies!$A$6:$A$55,0))=1,INDEX(Companies!$I$6:$I$55,MATCH(A41,Companies!$A$6:$A$55,0))&gt;=MAX(10,Rules!$B$22)),1,0)))</f>
        <v/>
      </c>
      <c r="AN41" s="86" t="str">
        <f>IFERROR(__xludf.DUMMYFUNCTION("IF(A41="""","""",IFERROR(IF(AND(OR(C41=""FY0"",C41=""FY-1"",C41=""FY-2""),AD41=1,COUNTIFS($A$6:$A$205,A41,$C$6:$C$205,""FY0"",$AD$6:$AD$205,1)=1,COUNTIFS($A$6:$A$205,A41,$C$6:$C$205,""TTM"",$AD$6:$AD$205,1)=1,G41=IFNA(INDEX(FILTER($G$6:$G$205,$A$6:$A$205="&amp;"A41,$C$6:$C$205=""TTM"",$AD$6:$AD$205=1),1),""""),I41=IFNA(INDEX(FILTER($I$6:$I$205,$A$6:$A$205=A41,$C$6:$C$205=""TTM"",$AD$6:$AD$205=1),1),""""),SUMIFS($D$6:$D$205,$A$6:$A$205,A41,$C$6:$C$205,""FY0"",$AD$6:$AD$205,1)&lt;=SUMIFS($D$6:$D$205,$A$6:$A$205,A41,$"&amp;"C$6:$C$205,""TTM"",$AD$6:$AD$205,1),SUMIFS($D$6:$D$205,$A$6:$A$205,A41,$C$6:$C$205,""TTM"",$AD$6:$AD$205,1)-SUMIFS($D$6:$D$205,$A$6:$A$205,A41,$C$6:$C$205,""FY0"",$AD$6:$AD$205,1)&lt;366,ABS(D41-EDATE(SUMIFS($D$6:$D$205,$A$6:$A$205,A41,$C$6:$C$205,""FY0"",$A"&amp;"D$6:$AD$205,1),IF(C41=""FY0"",0,IF(C41=""FY-1"",-12,-24))))&lt;=31),1,0),0))"),"")</f>
        <v/>
      </c>
    </row>
    <row r="42" ht="31.5" customHeight="1">
      <c r="A42" s="85"/>
      <c r="B42" s="86" t="str">
        <f t="array" ref="B42">IF(A42="","",IF(AB42&lt;&gt;1,"Unmatched issuer",INDEX(Companies!$C$6:$C$55,MATCH(A42,Companies!$A$6:$A$55,0))))</f>
        <v/>
      </c>
      <c r="C42" s="87"/>
      <c r="D42" s="88"/>
      <c r="E42" s="88"/>
      <c r="F42" s="88"/>
      <c r="G42" s="87"/>
      <c r="H42" s="87"/>
      <c r="I42" s="85"/>
      <c r="J42" s="89"/>
      <c r="K42" s="89"/>
      <c r="L42" s="90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/>
      <c r="Z42" s="85"/>
      <c r="AA42" s="85"/>
      <c r="AB42" s="86" t="str">
        <f>IF(A42="","",COUNTIF(Companies!$A$6:$A$55,A42))</f>
        <v/>
      </c>
      <c r="AC42" s="86" t="str">
        <f t="shared" si="1"/>
        <v/>
      </c>
      <c r="AD42" s="86" t="str">
        <f>IF(A42="","",IFERROR(IF(AND(AB42=1,AC42=1,AM42=1,OR(C42="TTM",C42="FY0",C42="FY-1",C42="FY-2"),ISNUMBER(D42),D42&lt;=Rules!$B$6,ISNUMBER(E42),E42&gt;=D42,E42&lt;=Rules!$B$6,ISNUMBER(F42),ABS(D42-F42-365)&lt;=31,OR(G42="US GAAP",G42="IFRS"),H42="Yes",I42&lt;&gt;"",COUNT(J42:R42)=9,J42&gt;0,L42&gt;-1,L42&lt;1,M42&gt;=0,N42&gt;=0,Q42&gt;=0,R42&gt;=0,M42+O42-Q42&gt;0,N42+P42-R42&gt;0,Z42&lt;&gt;"",AA42&lt;&gt;""),1,0),0))</f>
        <v/>
      </c>
      <c r="AE42" s="91" t="str">
        <f t="shared" si="2"/>
        <v/>
      </c>
      <c r="AF42" s="91" t="str">
        <f t="shared" si="3"/>
        <v/>
      </c>
      <c r="AG42" s="92" t="str">
        <f t="shared" si="4"/>
        <v/>
      </c>
      <c r="AH42" s="92" t="str">
        <f t="shared" si="5"/>
        <v/>
      </c>
      <c r="AI42" s="92" t="str">
        <f t="shared" si="6"/>
        <v/>
      </c>
      <c r="AJ42" s="92" t="str">
        <f t="shared" si="7"/>
        <v/>
      </c>
      <c r="AK42" s="92" t="str">
        <f t="shared" si="8"/>
        <v/>
      </c>
      <c r="AL42" s="86" t="str">
        <f t="shared" si="9"/>
        <v/>
      </c>
      <c r="AM42" s="86" t="str">
        <f t="array" ref="AM42">IF(A42="","",IF(AB42&lt;&gt;1,0,IF(AND(INDEX(Companies!$R$6:$R$55,MATCH(A42,Companies!$A$6:$A$55,0))=1,INDEX(Companies!$I$6:$I$55,MATCH(A42,Companies!$A$6:$A$55,0))&gt;=MAX(10,Rules!$B$22)),1,0)))</f>
        <v/>
      </c>
      <c r="AN42" s="86" t="str">
        <f>IFERROR(__xludf.DUMMYFUNCTION("IF(A42="""","""",IFERROR(IF(AND(OR(C42=""FY0"",C42=""FY-1"",C42=""FY-2""),AD42=1,COUNTIFS($A$6:$A$205,A42,$C$6:$C$205,""FY0"",$AD$6:$AD$205,1)=1,COUNTIFS($A$6:$A$205,A42,$C$6:$C$205,""TTM"",$AD$6:$AD$205,1)=1,G42=IFNA(INDEX(FILTER($G$6:$G$205,$A$6:$A$205="&amp;"A42,$C$6:$C$205=""TTM"",$AD$6:$AD$205=1),1),""""),I42=IFNA(INDEX(FILTER($I$6:$I$205,$A$6:$A$205=A42,$C$6:$C$205=""TTM"",$AD$6:$AD$205=1),1),""""),SUMIFS($D$6:$D$205,$A$6:$A$205,A42,$C$6:$C$205,""FY0"",$AD$6:$AD$205,1)&lt;=SUMIFS($D$6:$D$205,$A$6:$A$205,A42,$"&amp;"C$6:$C$205,""TTM"",$AD$6:$AD$205,1),SUMIFS($D$6:$D$205,$A$6:$A$205,A42,$C$6:$C$205,""TTM"",$AD$6:$AD$205,1)-SUMIFS($D$6:$D$205,$A$6:$A$205,A42,$C$6:$C$205,""FY0"",$AD$6:$AD$205,1)&lt;366,ABS(D42-EDATE(SUMIFS($D$6:$D$205,$A$6:$A$205,A42,$C$6:$C$205,""FY0"",$A"&amp;"D$6:$AD$205,1),IF(C42=""FY0"",0,IF(C42=""FY-1"",-12,-24))))&lt;=31),1,0),0))"),"")</f>
        <v/>
      </c>
    </row>
    <row r="43" ht="31.5" customHeight="1">
      <c r="A43" s="85"/>
      <c r="B43" s="86" t="str">
        <f t="array" ref="B43">IF(A43="","",IF(AB43&lt;&gt;1,"Unmatched issuer",INDEX(Companies!$C$6:$C$55,MATCH(A43,Companies!$A$6:$A$55,0))))</f>
        <v/>
      </c>
      <c r="C43" s="87"/>
      <c r="D43" s="88"/>
      <c r="E43" s="88"/>
      <c r="F43" s="88"/>
      <c r="G43" s="87"/>
      <c r="H43" s="87"/>
      <c r="I43" s="85"/>
      <c r="J43" s="89"/>
      <c r="K43" s="89"/>
      <c r="L43" s="90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90"/>
      <c r="Z43" s="85"/>
      <c r="AA43" s="85"/>
      <c r="AB43" s="86" t="str">
        <f>IF(A43="","",COUNTIF(Companies!$A$6:$A$55,A43))</f>
        <v/>
      </c>
      <c r="AC43" s="86" t="str">
        <f t="shared" si="1"/>
        <v/>
      </c>
      <c r="AD43" s="86" t="str">
        <f>IF(A43="","",IFERROR(IF(AND(AB43=1,AC43=1,AM43=1,OR(C43="TTM",C43="FY0",C43="FY-1",C43="FY-2"),ISNUMBER(D43),D43&lt;=Rules!$B$6,ISNUMBER(E43),E43&gt;=D43,E43&lt;=Rules!$B$6,ISNUMBER(F43),ABS(D43-F43-365)&lt;=31,OR(G43="US GAAP",G43="IFRS"),H43="Yes",I43&lt;&gt;"",COUNT(J43:R43)=9,J43&gt;0,L43&gt;-1,L43&lt;1,M43&gt;=0,N43&gt;=0,Q43&gt;=0,R43&gt;=0,M43+O43-Q43&gt;0,N43+P43-R43&gt;0,Z43&lt;&gt;"",AA43&lt;&gt;""),1,0),0))</f>
        <v/>
      </c>
      <c r="AE43" s="91" t="str">
        <f t="shared" si="2"/>
        <v/>
      </c>
      <c r="AF43" s="91" t="str">
        <f t="shared" si="3"/>
        <v/>
      </c>
      <c r="AG43" s="92" t="str">
        <f t="shared" si="4"/>
        <v/>
      </c>
      <c r="AH43" s="92" t="str">
        <f t="shared" si="5"/>
        <v/>
      </c>
      <c r="AI43" s="92" t="str">
        <f t="shared" si="6"/>
        <v/>
      </c>
      <c r="AJ43" s="92" t="str">
        <f t="shared" si="7"/>
        <v/>
      </c>
      <c r="AK43" s="92" t="str">
        <f t="shared" si="8"/>
        <v/>
      </c>
      <c r="AL43" s="86" t="str">
        <f t="shared" si="9"/>
        <v/>
      </c>
      <c r="AM43" s="86" t="str">
        <f t="array" ref="AM43">IF(A43="","",IF(AB43&lt;&gt;1,0,IF(AND(INDEX(Companies!$R$6:$R$55,MATCH(A43,Companies!$A$6:$A$55,0))=1,INDEX(Companies!$I$6:$I$55,MATCH(A43,Companies!$A$6:$A$55,0))&gt;=MAX(10,Rules!$B$22)),1,0)))</f>
        <v/>
      </c>
      <c r="AN43" s="86" t="str">
        <f>IFERROR(__xludf.DUMMYFUNCTION("IF(A43="""","""",IFERROR(IF(AND(OR(C43=""FY0"",C43=""FY-1"",C43=""FY-2""),AD43=1,COUNTIFS($A$6:$A$205,A43,$C$6:$C$205,""FY0"",$AD$6:$AD$205,1)=1,COUNTIFS($A$6:$A$205,A43,$C$6:$C$205,""TTM"",$AD$6:$AD$205,1)=1,G43=IFNA(INDEX(FILTER($G$6:$G$205,$A$6:$A$205="&amp;"A43,$C$6:$C$205=""TTM"",$AD$6:$AD$205=1),1),""""),I43=IFNA(INDEX(FILTER($I$6:$I$205,$A$6:$A$205=A43,$C$6:$C$205=""TTM"",$AD$6:$AD$205=1),1),""""),SUMIFS($D$6:$D$205,$A$6:$A$205,A43,$C$6:$C$205,""FY0"",$AD$6:$AD$205,1)&lt;=SUMIFS($D$6:$D$205,$A$6:$A$205,A43,$"&amp;"C$6:$C$205,""TTM"",$AD$6:$AD$205,1),SUMIFS($D$6:$D$205,$A$6:$A$205,A43,$C$6:$C$205,""TTM"",$AD$6:$AD$205,1)-SUMIFS($D$6:$D$205,$A$6:$A$205,A43,$C$6:$C$205,""FY0"",$AD$6:$AD$205,1)&lt;366,ABS(D43-EDATE(SUMIFS($D$6:$D$205,$A$6:$A$205,A43,$C$6:$C$205,""FY0"",$A"&amp;"D$6:$AD$205,1),IF(C43=""FY0"",0,IF(C43=""FY-1"",-12,-24))))&lt;=31),1,0),0))"),"")</f>
        <v/>
      </c>
    </row>
    <row r="44" ht="31.5" customHeight="1">
      <c r="A44" s="85"/>
      <c r="B44" s="86" t="str">
        <f t="array" ref="B44">IF(A44="","",IF(AB44&lt;&gt;1,"Unmatched issuer",INDEX(Companies!$C$6:$C$55,MATCH(A44,Companies!$A$6:$A$55,0))))</f>
        <v/>
      </c>
      <c r="C44" s="87"/>
      <c r="D44" s="88"/>
      <c r="E44" s="88"/>
      <c r="F44" s="88"/>
      <c r="G44" s="87"/>
      <c r="H44" s="87"/>
      <c r="I44" s="85"/>
      <c r="J44" s="89"/>
      <c r="K44" s="89"/>
      <c r="L44" s="90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90"/>
      <c r="Z44" s="85"/>
      <c r="AA44" s="85"/>
      <c r="AB44" s="86" t="str">
        <f>IF(A44="","",COUNTIF(Companies!$A$6:$A$55,A44))</f>
        <v/>
      </c>
      <c r="AC44" s="86" t="str">
        <f t="shared" si="1"/>
        <v/>
      </c>
      <c r="AD44" s="86" t="str">
        <f>IF(A44="","",IFERROR(IF(AND(AB44=1,AC44=1,AM44=1,OR(C44="TTM",C44="FY0",C44="FY-1",C44="FY-2"),ISNUMBER(D44),D44&lt;=Rules!$B$6,ISNUMBER(E44),E44&gt;=D44,E44&lt;=Rules!$B$6,ISNUMBER(F44),ABS(D44-F44-365)&lt;=31,OR(G44="US GAAP",G44="IFRS"),H44="Yes",I44&lt;&gt;"",COUNT(J44:R44)=9,J44&gt;0,L44&gt;-1,L44&lt;1,M44&gt;=0,N44&gt;=0,Q44&gt;=0,R44&gt;=0,M44+O44-Q44&gt;0,N44+P44-R44&gt;0,Z44&lt;&gt;"",AA44&lt;&gt;""),1,0),0))</f>
        <v/>
      </c>
      <c r="AE44" s="91" t="str">
        <f t="shared" si="2"/>
        <v/>
      </c>
      <c r="AF44" s="91" t="str">
        <f t="shared" si="3"/>
        <v/>
      </c>
      <c r="AG44" s="92" t="str">
        <f t="shared" si="4"/>
        <v/>
      </c>
      <c r="AH44" s="92" t="str">
        <f t="shared" si="5"/>
        <v/>
      </c>
      <c r="AI44" s="92" t="str">
        <f t="shared" si="6"/>
        <v/>
      </c>
      <c r="AJ44" s="92" t="str">
        <f t="shared" si="7"/>
        <v/>
      </c>
      <c r="AK44" s="92" t="str">
        <f t="shared" si="8"/>
        <v/>
      </c>
      <c r="AL44" s="86" t="str">
        <f t="shared" si="9"/>
        <v/>
      </c>
      <c r="AM44" s="86" t="str">
        <f t="array" ref="AM44">IF(A44="","",IF(AB44&lt;&gt;1,0,IF(AND(INDEX(Companies!$R$6:$R$55,MATCH(A44,Companies!$A$6:$A$55,0))=1,INDEX(Companies!$I$6:$I$55,MATCH(A44,Companies!$A$6:$A$55,0))&gt;=MAX(10,Rules!$B$22)),1,0)))</f>
        <v/>
      </c>
      <c r="AN44" s="86" t="str">
        <f>IFERROR(__xludf.DUMMYFUNCTION("IF(A44="""","""",IFERROR(IF(AND(OR(C44=""FY0"",C44=""FY-1"",C44=""FY-2""),AD44=1,COUNTIFS($A$6:$A$205,A44,$C$6:$C$205,""FY0"",$AD$6:$AD$205,1)=1,COUNTIFS($A$6:$A$205,A44,$C$6:$C$205,""TTM"",$AD$6:$AD$205,1)=1,G44=IFNA(INDEX(FILTER($G$6:$G$205,$A$6:$A$205="&amp;"A44,$C$6:$C$205=""TTM"",$AD$6:$AD$205=1),1),""""),I44=IFNA(INDEX(FILTER($I$6:$I$205,$A$6:$A$205=A44,$C$6:$C$205=""TTM"",$AD$6:$AD$205=1),1),""""),SUMIFS($D$6:$D$205,$A$6:$A$205,A44,$C$6:$C$205,""FY0"",$AD$6:$AD$205,1)&lt;=SUMIFS($D$6:$D$205,$A$6:$A$205,A44,$"&amp;"C$6:$C$205,""TTM"",$AD$6:$AD$205,1),SUMIFS($D$6:$D$205,$A$6:$A$205,A44,$C$6:$C$205,""TTM"",$AD$6:$AD$205,1)-SUMIFS($D$6:$D$205,$A$6:$A$205,A44,$C$6:$C$205,""FY0"",$AD$6:$AD$205,1)&lt;366,ABS(D44-EDATE(SUMIFS($D$6:$D$205,$A$6:$A$205,A44,$C$6:$C$205,""FY0"",$A"&amp;"D$6:$AD$205,1),IF(C44=""FY0"",0,IF(C44=""FY-1"",-12,-24))))&lt;=31),1,0),0))"),"")</f>
        <v/>
      </c>
    </row>
    <row r="45" ht="31.5" customHeight="1">
      <c r="A45" s="85"/>
      <c r="B45" s="86" t="str">
        <f t="array" ref="B45">IF(A45="","",IF(AB45&lt;&gt;1,"Unmatched issuer",INDEX(Companies!$C$6:$C$55,MATCH(A45,Companies!$A$6:$A$55,0))))</f>
        <v/>
      </c>
      <c r="C45" s="87"/>
      <c r="D45" s="88"/>
      <c r="E45" s="88"/>
      <c r="F45" s="88"/>
      <c r="G45" s="87"/>
      <c r="H45" s="87"/>
      <c r="I45" s="85"/>
      <c r="J45" s="89"/>
      <c r="K45" s="89"/>
      <c r="L45" s="90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90"/>
      <c r="Z45" s="85"/>
      <c r="AA45" s="85"/>
      <c r="AB45" s="86" t="str">
        <f>IF(A45="","",COUNTIF(Companies!$A$6:$A$55,A45))</f>
        <v/>
      </c>
      <c r="AC45" s="86" t="str">
        <f t="shared" si="1"/>
        <v/>
      </c>
      <c r="AD45" s="86" t="str">
        <f>IF(A45="","",IFERROR(IF(AND(AB45=1,AC45=1,AM45=1,OR(C45="TTM",C45="FY0",C45="FY-1",C45="FY-2"),ISNUMBER(D45),D45&lt;=Rules!$B$6,ISNUMBER(E45),E45&gt;=D45,E45&lt;=Rules!$B$6,ISNUMBER(F45),ABS(D45-F45-365)&lt;=31,OR(G45="US GAAP",G45="IFRS"),H45="Yes",I45&lt;&gt;"",COUNT(J45:R45)=9,J45&gt;0,L45&gt;-1,L45&lt;1,M45&gt;=0,N45&gt;=0,Q45&gt;=0,R45&gt;=0,M45+O45-Q45&gt;0,N45+P45-R45&gt;0,Z45&lt;&gt;"",AA45&lt;&gt;""),1,0),0))</f>
        <v/>
      </c>
      <c r="AE45" s="91" t="str">
        <f t="shared" si="2"/>
        <v/>
      </c>
      <c r="AF45" s="91" t="str">
        <f t="shared" si="3"/>
        <v/>
      </c>
      <c r="AG45" s="92" t="str">
        <f t="shared" si="4"/>
        <v/>
      </c>
      <c r="AH45" s="92" t="str">
        <f t="shared" si="5"/>
        <v/>
      </c>
      <c r="AI45" s="92" t="str">
        <f t="shared" si="6"/>
        <v/>
      </c>
      <c r="AJ45" s="92" t="str">
        <f t="shared" si="7"/>
        <v/>
      </c>
      <c r="AK45" s="92" t="str">
        <f t="shared" si="8"/>
        <v/>
      </c>
      <c r="AL45" s="86" t="str">
        <f t="shared" si="9"/>
        <v/>
      </c>
      <c r="AM45" s="86" t="str">
        <f t="array" ref="AM45">IF(A45="","",IF(AB45&lt;&gt;1,0,IF(AND(INDEX(Companies!$R$6:$R$55,MATCH(A45,Companies!$A$6:$A$55,0))=1,INDEX(Companies!$I$6:$I$55,MATCH(A45,Companies!$A$6:$A$55,0))&gt;=MAX(10,Rules!$B$22)),1,0)))</f>
        <v/>
      </c>
      <c r="AN45" s="86" t="str">
        <f>IFERROR(__xludf.DUMMYFUNCTION("IF(A45="""","""",IFERROR(IF(AND(OR(C45=""FY0"",C45=""FY-1"",C45=""FY-2""),AD45=1,COUNTIFS($A$6:$A$205,A45,$C$6:$C$205,""FY0"",$AD$6:$AD$205,1)=1,COUNTIFS($A$6:$A$205,A45,$C$6:$C$205,""TTM"",$AD$6:$AD$205,1)=1,G45=IFNA(INDEX(FILTER($G$6:$G$205,$A$6:$A$205="&amp;"A45,$C$6:$C$205=""TTM"",$AD$6:$AD$205=1),1),""""),I45=IFNA(INDEX(FILTER($I$6:$I$205,$A$6:$A$205=A45,$C$6:$C$205=""TTM"",$AD$6:$AD$205=1),1),""""),SUMIFS($D$6:$D$205,$A$6:$A$205,A45,$C$6:$C$205,""FY0"",$AD$6:$AD$205,1)&lt;=SUMIFS($D$6:$D$205,$A$6:$A$205,A45,$"&amp;"C$6:$C$205,""TTM"",$AD$6:$AD$205,1),SUMIFS($D$6:$D$205,$A$6:$A$205,A45,$C$6:$C$205,""TTM"",$AD$6:$AD$205,1)-SUMIFS($D$6:$D$205,$A$6:$A$205,A45,$C$6:$C$205,""FY0"",$AD$6:$AD$205,1)&lt;366,ABS(D45-EDATE(SUMIFS($D$6:$D$205,$A$6:$A$205,A45,$C$6:$C$205,""FY0"",$A"&amp;"D$6:$AD$205,1),IF(C45=""FY0"",0,IF(C45=""FY-1"",-12,-24))))&lt;=31),1,0),0))"),"")</f>
        <v/>
      </c>
    </row>
    <row r="46" ht="31.5" customHeight="1">
      <c r="A46" s="85"/>
      <c r="B46" s="86" t="str">
        <f t="array" ref="B46">IF(A46="","",IF(AB46&lt;&gt;1,"Unmatched issuer",INDEX(Companies!$C$6:$C$55,MATCH(A46,Companies!$A$6:$A$55,0))))</f>
        <v/>
      </c>
      <c r="C46" s="87"/>
      <c r="D46" s="88"/>
      <c r="E46" s="88"/>
      <c r="F46" s="88"/>
      <c r="G46" s="87"/>
      <c r="H46" s="87"/>
      <c r="I46" s="85"/>
      <c r="J46" s="89"/>
      <c r="K46" s="89"/>
      <c r="L46" s="90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90"/>
      <c r="Z46" s="85"/>
      <c r="AA46" s="85"/>
      <c r="AB46" s="86" t="str">
        <f>IF(A46="","",COUNTIF(Companies!$A$6:$A$55,A46))</f>
        <v/>
      </c>
      <c r="AC46" s="86" t="str">
        <f t="shared" si="1"/>
        <v/>
      </c>
      <c r="AD46" s="86" t="str">
        <f>IF(A46="","",IFERROR(IF(AND(AB46=1,AC46=1,AM46=1,OR(C46="TTM",C46="FY0",C46="FY-1",C46="FY-2"),ISNUMBER(D46),D46&lt;=Rules!$B$6,ISNUMBER(E46),E46&gt;=D46,E46&lt;=Rules!$B$6,ISNUMBER(F46),ABS(D46-F46-365)&lt;=31,OR(G46="US GAAP",G46="IFRS"),H46="Yes",I46&lt;&gt;"",COUNT(J46:R46)=9,J46&gt;0,L46&gt;-1,L46&lt;1,M46&gt;=0,N46&gt;=0,Q46&gt;=0,R46&gt;=0,M46+O46-Q46&gt;0,N46+P46-R46&gt;0,Z46&lt;&gt;"",AA46&lt;&gt;""),1,0),0))</f>
        <v/>
      </c>
      <c r="AE46" s="91" t="str">
        <f t="shared" si="2"/>
        <v/>
      </c>
      <c r="AF46" s="91" t="str">
        <f t="shared" si="3"/>
        <v/>
      </c>
      <c r="AG46" s="92" t="str">
        <f t="shared" si="4"/>
        <v/>
      </c>
      <c r="AH46" s="92" t="str">
        <f t="shared" si="5"/>
        <v/>
      </c>
      <c r="AI46" s="92" t="str">
        <f t="shared" si="6"/>
        <v/>
      </c>
      <c r="AJ46" s="92" t="str">
        <f t="shared" si="7"/>
        <v/>
      </c>
      <c r="AK46" s="92" t="str">
        <f t="shared" si="8"/>
        <v/>
      </c>
      <c r="AL46" s="86" t="str">
        <f t="shared" si="9"/>
        <v/>
      </c>
      <c r="AM46" s="86" t="str">
        <f t="array" ref="AM46">IF(A46="","",IF(AB46&lt;&gt;1,0,IF(AND(INDEX(Companies!$R$6:$R$55,MATCH(A46,Companies!$A$6:$A$55,0))=1,INDEX(Companies!$I$6:$I$55,MATCH(A46,Companies!$A$6:$A$55,0))&gt;=MAX(10,Rules!$B$22)),1,0)))</f>
        <v/>
      </c>
      <c r="AN46" s="86" t="str">
        <f>IFERROR(__xludf.DUMMYFUNCTION("IF(A46="""","""",IFERROR(IF(AND(OR(C46=""FY0"",C46=""FY-1"",C46=""FY-2""),AD46=1,COUNTIFS($A$6:$A$205,A46,$C$6:$C$205,""FY0"",$AD$6:$AD$205,1)=1,COUNTIFS($A$6:$A$205,A46,$C$6:$C$205,""TTM"",$AD$6:$AD$205,1)=1,G46=IFNA(INDEX(FILTER($G$6:$G$205,$A$6:$A$205="&amp;"A46,$C$6:$C$205=""TTM"",$AD$6:$AD$205=1),1),""""),I46=IFNA(INDEX(FILTER($I$6:$I$205,$A$6:$A$205=A46,$C$6:$C$205=""TTM"",$AD$6:$AD$205=1),1),""""),SUMIFS($D$6:$D$205,$A$6:$A$205,A46,$C$6:$C$205,""FY0"",$AD$6:$AD$205,1)&lt;=SUMIFS($D$6:$D$205,$A$6:$A$205,A46,$"&amp;"C$6:$C$205,""TTM"",$AD$6:$AD$205,1),SUMIFS($D$6:$D$205,$A$6:$A$205,A46,$C$6:$C$205,""TTM"",$AD$6:$AD$205,1)-SUMIFS($D$6:$D$205,$A$6:$A$205,A46,$C$6:$C$205,""FY0"",$AD$6:$AD$205,1)&lt;366,ABS(D46-EDATE(SUMIFS($D$6:$D$205,$A$6:$A$205,A46,$C$6:$C$205,""FY0"",$A"&amp;"D$6:$AD$205,1),IF(C46=""FY0"",0,IF(C46=""FY-1"",-12,-24))))&lt;=31),1,0),0))"),"")</f>
        <v/>
      </c>
    </row>
    <row r="47" ht="31.5" customHeight="1">
      <c r="A47" s="85"/>
      <c r="B47" s="86" t="str">
        <f t="array" ref="B47">IF(A47="","",IF(AB47&lt;&gt;1,"Unmatched issuer",INDEX(Companies!$C$6:$C$55,MATCH(A47,Companies!$A$6:$A$55,0))))</f>
        <v/>
      </c>
      <c r="C47" s="87"/>
      <c r="D47" s="88"/>
      <c r="E47" s="88"/>
      <c r="F47" s="88"/>
      <c r="G47" s="87"/>
      <c r="H47" s="87"/>
      <c r="I47" s="85"/>
      <c r="J47" s="89"/>
      <c r="K47" s="89"/>
      <c r="L47" s="90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90"/>
      <c r="Z47" s="85"/>
      <c r="AA47" s="85"/>
      <c r="AB47" s="86" t="str">
        <f>IF(A47="","",COUNTIF(Companies!$A$6:$A$55,A47))</f>
        <v/>
      </c>
      <c r="AC47" s="86" t="str">
        <f t="shared" si="1"/>
        <v/>
      </c>
      <c r="AD47" s="86" t="str">
        <f>IF(A47="","",IFERROR(IF(AND(AB47=1,AC47=1,AM47=1,OR(C47="TTM",C47="FY0",C47="FY-1",C47="FY-2"),ISNUMBER(D47),D47&lt;=Rules!$B$6,ISNUMBER(E47),E47&gt;=D47,E47&lt;=Rules!$B$6,ISNUMBER(F47),ABS(D47-F47-365)&lt;=31,OR(G47="US GAAP",G47="IFRS"),H47="Yes",I47&lt;&gt;"",COUNT(J47:R47)=9,J47&gt;0,L47&gt;-1,L47&lt;1,M47&gt;=0,N47&gt;=0,Q47&gt;=0,R47&gt;=0,M47+O47-Q47&gt;0,N47+P47-R47&gt;0,Z47&lt;&gt;"",AA47&lt;&gt;""),1,0),0))</f>
        <v/>
      </c>
      <c r="AE47" s="91" t="str">
        <f t="shared" si="2"/>
        <v/>
      </c>
      <c r="AF47" s="91" t="str">
        <f t="shared" si="3"/>
        <v/>
      </c>
      <c r="AG47" s="92" t="str">
        <f t="shared" si="4"/>
        <v/>
      </c>
      <c r="AH47" s="92" t="str">
        <f t="shared" si="5"/>
        <v/>
      </c>
      <c r="AI47" s="92" t="str">
        <f t="shared" si="6"/>
        <v/>
      </c>
      <c r="AJ47" s="92" t="str">
        <f t="shared" si="7"/>
        <v/>
      </c>
      <c r="AK47" s="92" t="str">
        <f t="shared" si="8"/>
        <v/>
      </c>
      <c r="AL47" s="86" t="str">
        <f t="shared" si="9"/>
        <v/>
      </c>
      <c r="AM47" s="86" t="str">
        <f t="array" ref="AM47">IF(A47="","",IF(AB47&lt;&gt;1,0,IF(AND(INDEX(Companies!$R$6:$R$55,MATCH(A47,Companies!$A$6:$A$55,0))=1,INDEX(Companies!$I$6:$I$55,MATCH(A47,Companies!$A$6:$A$55,0))&gt;=MAX(10,Rules!$B$22)),1,0)))</f>
        <v/>
      </c>
      <c r="AN47" s="86" t="str">
        <f>IFERROR(__xludf.DUMMYFUNCTION("IF(A47="""","""",IFERROR(IF(AND(OR(C47=""FY0"",C47=""FY-1"",C47=""FY-2""),AD47=1,COUNTIFS($A$6:$A$205,A47,$C$6:$C$205,""FY0"",$AD$6:$AD$205,1)=1,COUNTIFS($A$6:$A$205,A47,$C$6:$C$205,""TTM"",$AD$6:$AD$205,1)=1,G47=IFNA(INDEX(FILTER($G$6:$G$205,$A$6:$A$205="&amp;"A47,$C$6:$C$205=""TTM"",$AD$6:$AD$205=1),1),""""),I47=IFNA(INDEX(FILTER($I$6:$I$205,$A$6:$A$205=A47,$C$6:$C$205=""TTM"",$AD$6:$AD$205=1),1),""""),SUMIFS($D$6:$D$205,$A$6:$A$205,A47,$C$6:$C$205,""FY0"",$AD$6:$AD$205,1)&lt;=SUMIFS($D$6:$D$205,$A$6:$A$205,A47,$"&amp;"C$6:$C$205,""TTM"",$AD$6:$AD$205,1),SUMIFS($D$6:$D$205,$A$6:$A$205,A47,$C$6:$C$205,""TTM"",$AD$6:$AD$205,1)-SUMIFS($D$6:$D$205,$A$6:$A$205,A47,$C$6:$C$205,""FY0"",$AD$6:$AD$205,1)&lt;366,ABS(D47-EDATE(SUMIFS($D$6:$D$205,$A$6:$A$205,A47,$C$6:$C$205,""FY0"",$A"&amp;"D$6:$AD$205,1),IF(C47=""FY0"",0,IF(C47=""FY-1"",-12,-24))))&lt;=31),1,0),0))"),"")</f>
        <v/>
      </c>
    </row>
    <row r="48" ht="31.5" customHeight="1">
      <c r="A48" s="85"/>
      <c r="B48" s="86" t="str">
        <f t="array" ref="B48">IF(A48="","",IF(AB48&lt;&gt;1,"Unmatched issuer",INDEX(Companies!$C$6:$C$55,MATCH(A48,Companies!$A$6:$A$55,0))))</f>
        <v/>
      </c>
      <c r="C48" s="87"/>
      <c r="D48" s="88"/>
      <c r="E48" s="88"/>
      <c r="F48" s="88"/>
      <c r="G48" s="87"/>
      <c r="H48" s="87"/>
      <c r="I48" s="85"/>
      <c r="J48" s="89"/>
      <c r="K48" s="89"/>
      <c r="L48" s="90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90"/>
      <c r="Z48" s="85"/>
      <c r="AA48" s="85"/>
      <c r="AB48" s="86" t="str">
        <f>IF(A48="","",COUNTIF(Companies!$A$6:$A$55,A48))</f>
        <v/>
      </c>
      <c r="AC48" s="86" t="str">
        <f t="shared" si="1"/>
        <v/>
      </c>
      <c r="AD48" s="86" t="str">
        <f>IF(A48="","",IFERROR(IF(AND(AB48=1,AC48=1,AM48=1,OR(C48="TTM",C48="FY0",C48="FY-1",C48="FY-2"),ISNUMBER(D48),D48&lt;=Rules!$B$6,ISNUMBER(E48),E48&gt;=D48,E48&lt;=Rules!$B$6,ISNUMBER(F48),ABS(D48-F48-365)&lt;=31,OR(G48="US GAAP",G48="IFRS"),H48="Yes",I48&lt;&gt;"",COUNT(J48:R48)=9,J48&gt;0,L48&gt;-1,L48&lt;1,M48&gt;=0,N48&gt;=0,Q48&gt;=0,R48&gt;=0,M48+O48-Q48&gt;0,N48+P48-R48&gt;0,Z48&lt;&gt;"",AA48&lt;&gt;""),1,0),0))</f>
        <v/>
      </c>
      <c r="AE48" s="91" t="str">
        <f t="shared" si="2"/>
        <v/>
      </c>
      <c r="AF48" s="91" t="str">
        <f t="shared" si="3"/>
        <v/>
      </c>
      <c r="AG48" s="92" t="str">
        <f t="shared" si="4"/>
        <v/>
      </c>
      <c r="AH48" s="92" t="str">
        <f t="shared" si="5"/>
        <v/>
      </c>
      <c r="AI48" s="92" t="str">
        <f t="shared" si="6"/>
        <v/>
      </c>
      <c r="AJ48" s="92" t="str">
        <f t="shared" si="7"/>
        <v/>
      </c>
      <c r="AK48" s="92" t="str">
        <f t="shared" si="8"/>
        <v/>
      </c>
      <c r="AL48" s="86" t="str">
        <f t="shared" si="9"/>
        <v/>
      </c>
      <c r="AM48" s="86" t="str">
        <f t="array" ref="AM48">IF(A48="","",IF(AB48&lt;&gt;1,0,IF(AND(INDEX(Companies!$R$6:$R$55,MATCH(A48,Companies!$A$6:$A$55,0))=1,INDEX(Companies!$I$6:$I$55,MATCH(A48,Companies!$A$6:$A$55,0))&gt;=MAX(10,Rules!$B$22)),1,0)))</f>
        <v/>
      </c>
      <c r="AN48" s="86" t="str">
        <f>IFERROR(__xludf.DUMMYFUNCTION("IF(A48="""","""",IFERROR(IF(AND(OR(C48=""FY0"",C48=""FY-1"",C48=""FY-2""),AD48=1,COUNTIFS($A$6:$A$205,A48,$C$6:$C$205,""FY0"",$AD$6:$AD$205,1)=1,COUNTIFS($A$6:$A$205,A48,$C$6:$C$205,""TTM"",$AD$6:$AD$205,1)=1,G48=IFNA(INDEX(FILTER($G$6:$G$205,$A$6:$A$205="&amp;"A48,$C$6:$C$205=""TTM"",$AD$6:$AD$205=1),1),""""),I48=IFNA(INDEX(FILTER($I$6:$I$205,$A$6:$A$205=A48,$C$6:$C$205=""TTM"",$AD$6:$AD$205=1),1),""""),SUMIFS($D$6:$D$205,$A$6:$A$205,A48,$C$6:$C$205,""FY0"",$AD$6:$AD$205,1)&lt;=SUMIFS($D$6:$D$205,$A$6:$A$205,A48,$"&amp;"C$6:$C$205,""TTM"",$AD$6:$AD$205,1),SUMIFS($D$6:$D$205,$A$6:$A$205,A48,$C$6:$C$205,""TTM"",$AD$6:$AD$205,1)-SUMIFS($D$6:$D$205,$A$6:$A$205,A48,$C$6:$C$205,""FY0"",$AD$6:$AD$205,1)&lt;366,ABS(D48-EDATE(SUMIFS($D$6:$D$205,$A$6:$A$205,A48,$C$6:$C$205,""FY0"",$A"&amp;"D$6:$AD$205,1),IF(C48=""FY0"",0,IF(C48=""FY-1"",-12,-24))))&lt;=31),1,0),0))"),"")</f>
        <v/>
      </c>
    </row>
    <row r="49" ht="31.5" customHeight="1">
      <c r="A49" s="85"/>
      <c r="B49" s="86" t="str">
        <f t="array" ref="B49">IF(A49="","",IF(AB49&lt;&gt;1,"Unmatched issuer",INDEX(Companies!$C$6:$C$55,MATCH(A49,Companies!$A$6:$A$55,0))))</f>
        <v/>
      </c>
      <c r="C49" s="87"/>
      <c r="D49" s="88"/>
      <c r="E49" s="88"/>
      <c r="F49" s="88"/>
      <c r="G49" s="87"/>
      <c r="H49" s="87"/>
      <c r="I49" s="85"/>
      <c r="J49" s="89"/>
      <c r="K49" s="89"/>
      <c r="L49" s="90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90"/>
      <c r="Z49" s="85"/>
      <c r="AA49" s="85"/>
      <c r="AB49" s="86" t="str">
        <f>IF(A49="","",COUNTIF(Companies!$A$6:$A$55,A49))</f>
        <v/>
      </c>
      <c r="AC49" s="86" t="str">
        <f t="shared" si="1"/>
        <v/>
      </c>
      <c r="AD49" s="86" t="str">
        <f>IF(A49="","",IFERROR(IF(AND(AB49=1,AC49=1,AM49=1,OR(C49="TTM",C49="FY0",C49="FY-1",C49="FY-2"),ISNUMBER(D49),D49&lt;=Rules!$B$6,ISNUMBER(E49),E49&gt;=D49,E49&lt;=Rules!$B$6,ISNUMBER(F49),ABS(D49-F49-365)&lt;=31,OR(G49="US GAAP",G49="IFRS"),H49="Yes",I49&lt;&gt;"",COUNT(J49:R49)=9,J49&gt;0,L49&gt;-1,L49&lt;1,M49&gt;=0,N49&gt;=0,Q49&gt;=0,R49&gt;=0,M49+O49-Q49&gt;0,N49+P49-R49&gt;0,Z49&lt;&gt;"",AA49&lt;&gt;""),1,0),0))</f>
        <v/>
      </c>
      <c r="AE49" s="91" t="str">
        <f t="shared" si="2"/>
        <v/>
      </c>
      <c r="AF49" s="91" t="str">
        <f t="shared" si="3"/>
        <v/>
      </c>
      <c r="AG49" s="92" t="str">
        <f t="shared" si="4"/>
        <v/>
      </c>
      <c r="AH49" s="92" t="str">
        <f t="shared" si="5"/>
        <v/>
      </c>
      <c r="AI49" s="92" t="str">
        <f t="shared" si="6"/>
        <v/>
      </c>
      <c r="AJ49" s="92" t="str">
        <f t="shared" si="7"/>
        <v/>
      </c>
      <c r="AK49" s="92" t="str">
        <f t="shared" si="8"/>
        <v/>
      </c>
      <c r="AL49" s="86" t="str">
        <f t="shared" si="9"/>
        <v/>
      </c>
      <c r="AM49" s="86" t="str">
        <f t="array" ref="AM49">IF(A49="","",IF(AB49&lt;&gt;1,0,IF(AND(INDEX(Companies!$R$6:$R$55,MATCH(A49,Companies!$A$6:$A$55,0))=1,INDEX(Companies!$I$6:$I$55,MATCH(A49,Companies!$A$6:$A$55,0))&gt;=MAX(10,Rules!$B$22)),1,0)))</f>
        <v/>
      </c>
      <c r="AN49" s="86" t="str">
        <f>IFERROR(__xludf.DUMMYFUNCTION("IF(A49="""","""",IFERROR(IF(AND(OR(C49=""FY0"",C49=""FY-1"",C49=""FY-2""),AD49=1,COUNTIFS($A$6:$A$205,A49,$C$6:$C$205,""FY0"",$AD$6:$AD$205,1)=1,COUNTIFS($A$6:$A$205,A49,$C$6:$C$205,""TTM"",$AD$6:$AD$205,1)=1,G49=IFNA(INDEX(FILTER($G$6:$G$205,$A$6:$A$205="&amp;"A49,$C$6:$C$205=""TTM"",$AD$6:$AD$205=1),1),""""),I49=IFNA(INDEX(FILTER($I$6:$I$205,$A$6:$A$205=A49,$C$6:$C$205=""TTM"",$AD$6:$AD$205=1),1),""""),SUMIFS($D$6:$D$205,$A$6:$A$205,A49,$C$6:$C$205,""FY0"",$AD$6:$AD$205,1)&lt;=SUMIFS($D$6:$D$205,$A$6:$A$205,A49,$"&amp;"C$6:$C$205,""TTM"",$AD$6:$AD$205,1),SUMIFS($D$6:$D$205,$A$6:$A$205,A49,$C$6:$C$205,""TTM"",$AD$6:$AD$205,1)-SUMIFS($D$6:$D$205,$A$6:$A$205,A49,$C$6:$C$205,""FY0"",$AD$6:$AD$205,1)&lt;366,ABS(D49-EDATE(SUMIFS($D$6:$D$205,$A$6:$A$205,A49,$C$6:$C$205,""FY0"",$A"&amp;"D$6:$AD$205,1),IF(C49=""FY0"",0,IF(C49=""FY-1"",-12,-24))))&lt;=31),1,0),0))"),"")</f>
        <v/>
      </c>
    </row>
    <row r="50" ht="31.5" customHeight="1">
      <c r="A50" s="85"/>
      <c r="B50" s="86" t="str">
        <f t="array" ref="B50">IF(A50="","",IF(AB50&lt;&gt;1,"Unmatched issuer",INDEX(Companies!$C$6:$C$55,MATCH(A50,Companies!$A$6:$A$55,0))))</f>
        <v/>
      </c>
      <c r="C50" s="87"/>
      <c r="D50" s="88"/>
      <c r="E50" s="88"/>
      <c r="F50" s="88"/>
      <c r="G50" s="87"/>
      <c r="H50" s="87"/>
      <c r="I50" s="85"/>
      <c r="J50" s="89"/>
      <c r="K50" s="89"/>
      <c r="L50" s="90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90"/>
      <c r="Z50" s="85"/>
      <c r="AA50" s="85"/>
      <c r="AB50" s="86" t="str">
        <f>IF(A50="","",COUNTIF(Companies!$A$6:$A$55,A50))</f>
        <v/>
      </c>
      <c r="AC50" s="86" t="str">
        <f t="shared" si="1"/>
        <v/>
      </c>
      <c r="AD50" s="86" t="str">
        <f>IF(A50="","",IFERROR(IF(AND(AB50=1,AC50=1,AM50=1,OR(C50="TTM",C50="FY0",C50="FY-1",C50="FY-2"),ISNUMBER(D50),D50&lt;=Rules!$B$6,ISNUMBER(E50),E50&gt;=D50,E50&lt;=Rules!$B$6,ISNUMBER(F50),ABS(D50-F50-365)&lt;=31,OR(G50="US GAAP",G50="IFRS"),H50="Yes",I50&lt;&gt;"",COUNT(J50:R50)=9,J50&gt;0,L50&gt;-1,L50&lt;1,M50&gt;=0,N50&gt;=0,Q50&gt;=0,R50&gt;=0,M50+O50-Q50&gt;0,N50+P50-R50&gt;0,Z50&lt;&gt;"",AA50&lt;&gt;""),1,0),0))</f>
        <v/>
      </c>
      <c r="AE50" s="91" t="str">
        <f t="shared" si="2"/>
        <v/>
      </c>
      <c r="AF50" s="91" t="str">
        <f t="shared" si="3"/>
        <v/>
      </c>
      <c r="AG50" s="92" t="str">
        <f t="shared" si="4"/>
        <v/>
      </c>
      <c r="AH50" s="92" t="str">
        <f t="shared" si="5"/>
        <v/>
      </c>
      <c r="AI50" s="92" t="str">
        <f t="shared" si="6"/>
        <v/>
      </c>
      <c r="AJ50" s="92" t="str">
        <f t="shared" si="7"/>
        <v/>
      </c>
      <c r="AK50" s="92" t="str">
        <f t="shared" si="8"/>
        <v/>
      </c>
      <c r="AL50" s="86" t="str">
        <f t="shared" si="9"/>
        <v/>
      </c>
      <c r="AM50" s="86" t="str">
        <f t="array" ref="AM50">IF(A50="","",IF(AB50&lt;&gt;1,0,IF(AND(INDEX(Companies!$R$6:$R$55,MATCH(A50,Companies!$A$6:$A$55,0))=1,INDEX(Companies!$I$6:$I$55,MATCH(A50,Companies!$A$6:$A$55,0))&gt;=MAX(10,Rules!$B$22)),1,0)))</f>
        <v/>
      </c>
      <c r="AN50" s="86" t="str">
        <f>IFERROR(__xludf.DUMMYFUNCTION("IF(A50="""","""",IFERROR(IF(AND(OR(C50=""FY0"",C50=""FY-1"",C50=""FY-2""),AD50=1,COUNTIFS($A$6:$A$205,A50,$C$6:$C$205,""FY0"",$AD$6:$AD$205,1)=1,COUNTIFS($A$6:$A$205,A50,$C$6:$C$205,""TTM"",$AD$6:$AD$205,1)=1,G50=IFNA(INDEX(FILTER($G$6:$G$205,$A$6:$A$205="&amp;"A50,$C$6:$C$205=""TTM"",$AD$6:$AD$205=1),1),""""),I50=IFNA(INDEX(FILTER($I$6:$I$205,$A$6:$A$205=A50,$C$6:$C$205=""TTM"",$AD$6:$AD$205=1),1),""""),SUMIFS($D$6:$D$205,$A$6:$A$205,A50,$C$6:$C$205,""FY0"",$AD$6:$AD$205,1)&lt;=SUMIFS($D$6:$D$205,$A$6:$A$205,A50,$"&amp;"C$6:$C$205,""TTM"",$AD$6:$AD$205,1),SUMIFS($D$6:$D$205,$A$6:$A$205,A50,$C$6:$C$205,""TTM"",$AD$6:$AD$205,1)-SUMIFS($D$6:$D$205,$A$6:$A$205,A50,$C$6:$C$205,""FY0"",$AD$6:$AD$205,1)&lt;366,ABS(D50-EDATE(SUMIFS($D$6:$D$205,$A$6:$A$205,A50,$C$6:$C$205,""FY0"",$A"&amp;"D$6:$AD$205,1),IF(C50=""FY0"",0,IF(C50=""FY-1"",-12,-24))))&lt;=31),1,0),0))"),"")</f>
        <v/>
      </c>
    </row>
    <row r="51" ht="31.5" customHeight="1">
      <c r="A51" s="85"/>
      <c r="B51" s="86" t="str">
        <f t="array" ref="B51">IF(A51="","",IF(AB51&lt;&gt;1,"Unmatched issuer",INDEX(Companies!$C$6:$C$55,MATCH(A51,Companies!$A$6:$A$55,0))))</f>
        <v/>
      </c>
      <c r="C51" s="87"/>
      <c r="D51" s="88"/>
      <c r="E51" s="88"/>
      <c r="F51" s="88"/>
      <c r="G51" s="87"/>
      <c r="H51" s="87"/>
      <c r="I51" s="85"/>
      <c r="J51" s="89"/>
      <c r="K51" s="89"/>
      <c r="L51" s="90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90"/>
      <c r="Z51" s="85"/>
      <c r="AA51" s="85"/>
      <c r="AB51" s="86" t="str">
        <f>IF(A51="","",COUNTIF(Companies!$A$6:$A$55,A51))</f>
        <v/>
      </c>
      <c r="AC51" s="86" t="str">
        <f t="shared" si="1"/>
        <v/>
      </c>
      <c r="AD51" s="86" t="str">
        <f>IF(A51="","",IFERROR(IF(AND(AB51=1,AC51=1,AM51=1,OR(C51="TTM",C51="FY0",C51="FY-1",C51="FY-2"),ISNUMBER(D51),D51&lt;=Rules!$B$6,ISNUMBER(E51),E51&gt;=D51,E51&lt;=Rules!$B$6,ISNUMBER(F51),ABS(D51-F51-365)&lt;=31,OR(G51="US GAAP",G51="IFRS"),H51="Yes",I51&lt;&gt;"",COUNT(J51:R51)=9,J51&gt;0,L51&gt;-1,L51&lt;1,M51&gt;=0,N51&gt;=0,Q51&gt;=0,R51&gt;=0,M51+O51-Q51&gt;0,N51+P51-R51&gt;0,Z51&lt;&gt;"",AA51&lt;&gt;""),1,0),0))</f>
        <v/>
      </c>
      <c r="AE51" s="91" t="str">
        <f t="shared" si="2"/>
        <v/>
      </c>
      <c r="AF51" s="91" t="str">
        <f t="shared" si="3"/>
        <v/>
      </c>
      <c r="AG51" s="92" t="str">
        <f t="shared" si="4"/>
        <v/>
      </c>
      <c r="AH51" s="92" t="str">
        <f t="shared" si="5"/>
        <v/>
      </c>
      <c r="AI51" s="92" t="str">
        <f t="shared" si="6"/>
        <v/>
      </c>
      <c r="AJ51" s="92" t="str">
        <f t="shared" si="7"/>
        <v/>
      </c>
      <c r="AK51" s="92" t="str">
        <f t="shared" si="8"/>
        <v/>
      </c>
      <c r="AL51" s="86" t="str">
        <f t="shared" si="9"/>
        <v/>
      </c>
      <c r="AM51" s="86" t="str">
        <f t="array" ref="AM51">IF(A51="","",IF(AB51&lt;&gt;1,0,IF(AND(INDEX(Companies!$R$6:$R$55,MATCH(A51,Companies!$A$6:$A$55,0))=1,INDEX(Companies!$I$6:$I$55,MATCH(A51,Companies!$A$6:$A$55,0))&gt;=MAX(10,Rules!$B$22)),1,0)))</f>
        <v/>
      </c>
      <c r="AN51" s="86" t="str">
        <f>IFERROR(__xludf.DUMMYFUNCTION("IF(A51="""","""",IFERROR(IF(AND(OR(C51=""FY0"",C51=""FY-1"",C51=""FY-2""),AD51=1,COUNTIFS($A$6:$A$205,A51,$C$6:$C$205,""FY0"",$AD$6:$AD$205,1)=1,COUNTIFS($A$6:$A$205,A51,$C$6:$C$205,""TTM"",$AD$6:$AD$205,1)=1,G51=IFNA(INDEX(FILTER($G$6:$G$205,$A$6:$A$205="&amp;"A51,$C$6:$C$205=""TTM"",$AD$6:$AD$205=1),1),""""),I51=IFNA(INDEX(FILTER($I$6:$I$205,$A$6:$A$205=A51,$C$6:$C$205=""TTM"",$AD$6:$AD$205=1),1),""""),SUMIFS($D$6:$D$205,$A$6:$A$205,A51,$C$6:$C$205,""FY0"",$AD$6:$AD$205,1)&lt;=SUMIFS($D$6:$D$205,$A$6:$A$205,A51,$"&amp;"C$6:$C$205,""TTM"",$AD$6:$AD$205,1),SUMIFS($D$6:$D$205,$A$6:$A$205,A51,$C$6:$C$205,""TTM"",$AD$6:$AD$205,1)-SUMIFS($D$6:$D$205,$A$6:$A$205,A51,$C$6:$C$205,""FY0"",$AD$6:$AD$205,1)&lt;366,ABS(D51-EDATE(SUMIFS($D$6:$D$205,$A$6:$A$205,A51,$C$6:$C$205,""FY0"",$A"&amp;"D$6:$AD$205,1),IF(C51=""FY0"",0,IF(C51=""FY-1"",-12,-24))))&lt;=31),1,0),0))"),"")</f>
        <v/>
      </c>
    </row>
    <row r="52" ht="31.5" customHeight="1">
      <c r="A52" s="85"/>
      <c r="B52" s="86" t="str">
        <f t="array" ref="B52">IF(A52="","",IF(AB52&lt;&gt;1,"Unmatched issuer",INDEX(Companies!$C$6:$C$55,MATCH(A52,Companies!$A$6:$A$55,0))))</f>
        <v/>
      </c>
      <c r="C52" s="87"/>
      <c r="D52" s="88"/>
      <c r="E52" s="88"/>
      <c r="F52" s="88"/>
      <c r="G52" s="87"/>
      <c r="H52" s="87"/>
      <c r="I52" s="85"/>
      <c r="J52" s="89"/>
      <c r="K52" s="89"/>
      <c r="L52" s="90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90"/>
      <c r="Z52" s="85"/>
      <c r="AA52" s="85"/>
      <c r="AB52" s="86" t="str">
        <f>IF(A52="","",COUNTIF(Companies!$A$6:$A$55,A52))</f>
        <v/>
      </c>
      <c r="AC52" s="86" t="str">
        <f t="shared" si="1"/>
        <v/>
      </c>
      <c r="AD52" s="86" t="str">
        <f>IF(A52="","",IFERROR(IF(AND(AB52=1,AC52=1,AM52=1,OR(C52="TTM",C52="FY0",C52="FY-1",C52="FY-2"),ISNUMBER(D52),D52&lt;=Rules!$B$6,ISNUMBER(E52),E52&gt;=D52,E52&lt;=Rules!$B$6,ISNUMBER(F52),ABS(D52-F52-365)&lt;=31,OR(G52="US GAAP",G52="IFRS"),H52="Yes",I52&lt;&gt;"",COUNT(J52:R52)=9,J52&gt;0,L52&gt;-1,L52&lt;1,M52&gt;=0,N52&gt;=0,Q52&gt;=0,R52&gt;=0,M52+O52-Q52&gt;0,N52+P52-R52&gt;0,Z52&lt;&gt;"",AA52&lt;&gt;""),1,0),0))</f>
        <v/>
      </c>
      <c r="AE52" s="91" t="str">
        <f t="shared" si="2"/>
        <v/>
      </c>
      <c r="AF52" s="91" t="str">
        <f t="shared" si="3"/>
        <v/>
      </c>
      <c r="AG52" s="92" t="str">
        <f t="shared" si="4"/>
        <v/>
      </c>
      <c r="AH52" s="92" t="str">
        <f t="shared" si="5"/>
        <v/>
      </c>
      <c r="AI52" s="92" t="str">
        <f t="shared" si="6"/>
        <v/>
      </c>
      <c r="AJ52" s="92" t="str">
        <f t="shared" si="7"/>
        <v/>
      </c>
      <c r="AK52" s="92" t="str">
        <f t="shared" si="8"/>
        <v/>
      </c>
      <c r="AL52" s="86" t="str">
        <f t="shared" si="9"/>
        <v/>
      </c>
      <c r="AM52" s="86" t="str">
        <f t="array" ref="AM52">IF(A52="","",IF(AB52&lt;&gt;1,0,IF(AND(INDEX(Companies!$R$6:$R$55,MATCH(A52,Companies!$A$6:$A$55,0))=1,INDEX(Companies!$I$6:$I$55,MATCH(A52,Companies!$A$6:$A$55,0))&gt;=MAX(10,Rules!$B$22)),1,0)))</f>
        <v/>
      </c>
      <c r="AN52" s="86" t="str">
        <f>IFERROR(__xludf.DUMMYFUNCTION("IF(A52="""","""",IFERROR(IF(AND(OR(C52=""FY0"",C52=""FY-1"",C52=""FY-2""),AD52=1,COUNTIFS($A$6:$A$205,A52,$C$6:$C$205,""FY0"",$AD$6:$AD$205,1)=1,COUNTIFS($A$6:$A$205,A52,$C$6:$C$205,""TTM"",$AD$6:$AD$205,1)=1,G52=IFNA(INDEX(FILTER($G$6:$G$205,$A$6:$A$205="&amp;"A52,$C$6:$C$205=""TTM"",$AD$6:$AD$205=1),1),""""),I52=IFNA(INDEX(FILTER($I$6:$I$205,$A$6:$A$205=A52,$C$6:$C$205=""TTM"",$AD$6:$AD$205=1),1),""""),SUMIFS($D$6:$D$205,$A$6:$A$205,A52,$C$6:$C$205,""FY0"",$AD$6:$AD$205,1)&lt;=SUMIFS($D$6:$D$205,$A$6:$A$205,A52,$"&amp;"C$6:$C$205,""TTM"",$AD$6:$AD$205,1),SUMIFS($D$6:$D$205,$A$6:$A$205,A52,$C$6:$C$205,""TTM"",$AD$6:$AD$205,1)-SUMIFS($D$6:$D$205,$A$6:$A$205,A52,$C$6:$C$205,""FY0"",$AD$6:$AD$205,1)&lt;366,ABS(D52-EDATE(SUMIFS($D$6:$D$205,$A$6:$A$205,A52,$C$6:$C$205,""FY0"",$A"&amp;"D$6:$AD$205,1),IF(C52=""FY0"",0,IF(C52=""FY-1"",-12,-24))))&lt;=31),1,0),0))"),"")</f>
        <v/>
      </c>
    </row>
    <row r="53" ht="31.5" customHeight="1">
      <c r="A53" s="85"/>
      <c r="B53" s="86" t="str">
        <f t="array" ref="B53">IF(A53="","",IF(AB53&lt;&gt;1,"Unmatched issuer",INDEX(Companies!$C$6:$C$55,MATCH(A53,Companies!$A$6:$A$55,0))))</f>
        <v/>
      </c>
      <c r="C53" s="87"/>
      <c r="D53" s="88"/>
      <c r="E53" s="88"/>
      <c r="F53" s="88"/>
      <c r="G53" s="87"/>
      <c r="H53" s="87"/>
      <c r="I53" s="85"/>
      <c r="J53" s="89"/>
      <c r="K53" s="89"/>
      <c r="L53" s="90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90"/>
      <c r="Z53" s="85"/>
      <c r="AA53" s="85"/>
      <c r="AB53" s="86" t="str">
        <f>IF(A53="","",COUNTIF(Companies!$A$6:$A$55,A53))</f>
        <v/>
      </c>
      <c r="AC53" s="86" t="str">
        <f t="shared" si="1"/>
        <v/>
      </c>
      <c r="AD53" s="86" t="str">
        <f>IF(A53="","",IFERROR(IF(AND(AB53=1,AC53=1,AM53=1,OR(C53="TTM",C53="FY0",C53="FY-1",C53="FY-2"),ISNUMBER(D53),D53&lt;=Rules!$B$6,ISNUMBER(E53),E53&gt;=D53,E53&lt;=Rules!$B$6,ISNUMBER(F53),ABS(D53-F53-365)&lt;=31,OR(G53="US GAAP",G53="IFRS"),H53="Yes",I53&lt;&gt;"",COUNT(J53:R53)=9,J53&gt;0,L53&gt;-1,L53&lt;1,M53&gt;=0,N53&gt;=0,Q53&gt;=0,R53&gt;=0,M53+O53-Q53&gt;0,N53+P53-R53&gt;0,Z53&lt;&gt;"",AA53&lt;&gt;""),1,0),0))</f>
        <v/>
      </c>
      <c r="AE53" s="91" t="str">
        <f t="shared" si="2"/>
        <v/>
      </c>
      <c r="AF53" s="91" t="str">
        <f t="shared" si="3"/>
        <v/>
      </c>
      <c r="AG53" s="92" t="str">
        <f t="shared" si="4"/>
        <v/>
      </c>
      <c r="AH53" s="92" t="str">
        <f t="shared" si="5"/>
        <v/>
      </c>
      <c r="AI53" s="92" t="str">
        <f t="shared" si="6"/>
        <v/>
      </c>
      <c r="AJ53" s="92" t="str">
        <f t="shared" si="7"/>
        <v/>
      </c>
      <c r="AK53" s="92" t="str">
        <f t="shared" si="8"/>
        <v/>
      </c>
      <c r="AL53" s="86" t="str">
        <f t="shared" si="9"/>
        <v/>
      </c>
      <c r="AM53" s="86" t="str">
        <f t="array" ref="AM53">IF(A53="","",IF(AB53&lt;&gt;1,0,IF(AND(INDEX(Companies!$R$6:$R$55,MATCH(A53,Companies!$A$6:$A$55,0))=1,INDEX(Companies!$I$6:$I$55,MATCH(A53,Companies!$A$6:$A$55,0))&gt;=MAX(10,Rules!$B$22)),1,0)))</f>
        <v/>
      </c>
      <c r="AN53" s="86" t="str">
        <f>IFERROR(__xludf.DUMMYFUNCTION("IF(A53="""","""",IFERROR(IF(AND(OR(C53=""FY0"",C53=""FY-1"",C53=""FY-2""),AD53=1,COUNTIFS($A$6:$A$205,A53,$C$6:$C$205,""FY0"",$AD$6:$AD$205,1)=1,COUNTIFS($A$6:$A$205,A53,$C$6:$C$205,""TTM"",$AD$6:$AD$205,1)=1,G53=IFNA(INDEX(FILTER($G$6:$G$205,$A$6:$A$205="&amp;"A53,$C$6:$C$205=""TTM"",$AD$6:$AD$205=1),1),""""),I53=IFNA(INDEX(FILTER($I$6:$I$205,$A$6:$A$205=A53,$C$6:$C$205=""TTM"",$AD$6:$AD$205=1),1),""""),SUMIFS($D$6:$D$205,$A$6:$A$205,A53,$C$6:$C$205,""FY0"",$AD$6:$AD$205,1)&lt;=SUMIFS($D$6:$D$205,$A$6:$A$205,A53,$"&amp;"C$6:$C$205,""TTM"",$AD$6:$AD$205,1),SUMIFS($D$6:$D$205,$A$6:$A$205,A53,$C$6:$C$205,""TTM"",$AD$6:$AD$205,1)-SUMIFS($D$6:$D$205,$A$6:$A$205,A53,$C$6:$C$205,""FY0"",$AD$6:$AD$205,1)&lt;366,ABS(D53-EDATE(SUMIFS($D$6:$D$205,$A$6:$A$205,A53,$C$6:$C$205,""FY0"",$A"&amp;"D$6:$AD$205,1),IF(C53=""FY0"",0,IF(C53=""FY-1"",-12,-24))))&lt;=31),1,0),0))"),"")</f>
        <v/>
      </c>
    </row>
    <row r="54" ht="31.5" customHeight="1">
      <c r="A54" s="85"/>
      <c r="B54" s="86" t="str">
        <f t="array" ref="B54">IF(A54="","",IF(AB54&lt;&gt;1,"Unmatched issuer",INDEX(Companies!$C$6:$C$55,MATCH(A54,Companies!$A$6:$A$55,0))))</f>
        <v/>
      </c>
      <c r="C54" s="87"/>
      <c r="D54" s="88"/>
      <c r="E54" s="88"/>
      <c r="F54" s="88"/>
      <c r="G54" s="87"/>
      <c r="H54" s="87"/>
      <c r="I54" s="85"/>
      <c r="J54" s="89"/>
      <c r="K54" s="89"/>
      <c r="L54" s="90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90"/>
      <c r="Z54" s="85"/>
      <c r="AA54" s="85"/>
      <c r="AB54" s="86" t="str">
        <f>IF(A54="","",COUNTIF(Companies!$A$6:$A$55,A54))</f>
        <v/>
      </c>
      <c r="AC54" s="86" t="str">
        <f t="shared" si="1"/>
        <v/>
      </c>
      <c r="AD54" s="86" t="str">
        <f>IF(A54="","",IFERROR(IF(AND(AB54=1,AC54=1,AM54=1,OR(C54="TTM",C54="FY0",C54="FY-1",C54="FY-2"),ISNUMBER(D54),D54&lt;=Rules!$B$6,ISNUMBER(E54),E54&gt;=D54,E54&lt;=Rules!$B$6,ISNUMBER(F54),ABS(D54-F54-365)&lt;=31,OR(G54="US GAAP",G54="IFRS"),H54="Yes",I54&lt;&gt;"",COUNT(J54:R54)=9,J54&gt;0,L54&gt;-1,L54&lt;1,M54&gt;=0,N54&gt;=0,Q54&gt;=0,R54&gt;=0,M54+O54-Q54&gt;0,N54+P54-R54&gt;0,Z54&lt;&gt;"",AA54&lt;&gt;""),1,0),0))</f>
        <v/>
      </c>
      <c r="AE54" s="91" t="str">
        <f t="shared" si="2"/>
        <v/>
      </c>
      <c r="AF54" s="91" t="str">
        <f t="shared" si="3"/>
        <v/>
      </c>
      <c r="AG54" s="92" t="str">
        <f t="shared" si="4"/>
        <v/>
      </c>
      <c r="AH54" s="92" t="str">
        <f t="shared" si="5"/>
        <v/>
      </c>
      <c r="AI54" s="92" t="str">
        <f t="shared" si="6"/>
        <v/>
      </c>
      <c r="AJ54" s="92" t="str">
        <f t="shared" si="7"/>
        <v/>
      </c>
      <c r="AK54" s="92" t="str">
        <f t="shared" si="8"/>
        <v/>
      </c>
      <c r="AL54" s="86" t="str">
        <f t="shared" si="9"/>
        <v/>
      </c>
      <c r="AM54" s="86" t="str">
        <f t="array" ref="AM54">IF(A54="","",IF(AB54&lt;&gt;1,0,IF(AND(INDEX(Companies!$R$6:$R$55,MATCH(A54,Companies!$A$6:$A$55,0))=1,INDEX(Companies!$I$6:$I$55,MATCH(A54,Companies!$A$6:$A$55,0))&gt;=MAX(10,Rules!$B$22)),1,0)))</f>
        <v/>
      </c>
      <c r="AN54" s="86" t="str">
        <f>IFERROR(__xludf.DUMMYFUNCTION("IF(A54="""","""",IFERROR(IF(AND(OR(C54=""FY0"",C54=""FY-1"",C54=""FY-2""),AD54=1,COUNTIFS($A$6:$A$205,A54,$C$6:$C$205,""FY0"",$AD$6:$AD$205,1)=1,COUNTIFS($A$6:$A$205,A54,$C$6:$C$205,""TTM"",$AD$6:$AD$205,1)=1,G54=IFNA(INDEX(FILTER($G$6:$G$205,$A$6:$A$205="&amp;"A54,$C$6:$C$205=""TTM"",$AD$6:$AD$205=1),1),""""),I54=IFNA(INDEX(FILTER($I$6:$I$205,$A$6:$A$205=A54,$C$6:$C$205=""TTM"",$AD$6:$AD$205=1),1),""""),SUMIFS($D$6:$D$205,$A$6:$A$205,A54,$C$6:$C$205,""FY0"",$AD$6:$AD$205,1)&lt;=SUMIFS($D$6:$D$205,$A$6:$A$205,A54,$"&amp;"C$6:$C$205,""TTM"",$AD$6:$AD$205,1),SUMIFS($D$6:$D$205,$A$6:$A$205,A54,$C$6:$C$205,""TTM"",$AD$6:$AD$205,1)-SUMIFS($D$6:$D$205,$A$6:$A$205,A54,$C$6:$C$205,""FY0"",$AD$6:$AD$205,1)&lt;366,ABS(D54-EDATE(SUMIFS($D$6:$D$205,$A$6:$A$205,A54,$C$6:$C$205,""FY0"",$A"&amp;"D$6:$AD$205,1),IF(C54=""FY0"",0,IF(C54=""FY-1"",-12,-24))))&lt;=31),1,0),0))"),"")</f>
        <v/>
      </c>
    </row>
    <row r="55" ht="31.5" customHeight="1">
      <c r="A55" s="85"/>
      <c r="B55" s="86" t="str">
        <f t="array" ref="B55">IF(A55="","",IF(AB55&lt;&gt;1,"Unmatched issuer",INDEX(Companies!$C$6:$C$55,MATCH(A55,Companies!$A$6:$A$55,0))))</f>
        <v/>
      </c>
      <c r="C55" s="87"/>
      <c r="D55" s="88"/>
      <c r="E55" s="88"/>
      <c r="F55" s="88"/>
      <c r="G55" s="87"/>
      <c r="H55" s="87"/>
      <c r="I55" s="85"/>
      <c r="J55" s="89"/>
      <c r="K55" s="89"/>
      <c r="L55" s="90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90"/>
      <c r="Z55" s="85"/>
      <c r="AA55" s="85"/>
      <c r="AB55" s="86" t="str">
        <f>IF(A55="","",COUNTIF(Companies!$A$6:$A$55,A55))</f>
        <v/>
      </c>
      <c r="AC55" s="86" t="str">
        <f t="shared" si="1"/>
        <v/>
      </c>
      <c r="AD55" s="86" t="str">
        <f>IF(A55="","",IFERROR(IF(AND(AB55=1,AC55=1,AM55=1,OR(C55="TTM",C55="FY0",C55="FY-1",C55="FY-2"),ISNUMBER(D55),D55&lt;=Rules!$B$6,ISNUMBER(E55),E55&gt;=D55,E55&lt;=Rules!$B$6,ISNUMBER(F55),ABS(D55-F55-365)&lt;=31,OR(G55="US GAAP",G55="IFRS"),H55="Yes",I55&lt;&gt;"",COUNT(J55:R55)=9,J55&gt;0,L55&gt;-1,L55&lt;1,M55&gt;=0,N55&gt;=0,Q55&gt;=0,R55&gt;=0,M55+O55-Q55&gt;0,N55+P55-R55&gt;0,Z55&lt;&gt;"",AA55&lt;&gt;""),1,0),0))</f>
        <v/>
      </c>
      <c r="AE55" s="91" t="str">
        <f t="shared" si="2"/>
        <v/>
      </c>
      <c r="AF55" s="91" t="str">
        <f t="shared" si="3"/>
        <v/>
      </c>
      <c r="AG55" s="92" t="str">
        <f t="shared" si="4"/>
        <v/>
      </c>
      <c r="AH55" s="92" t="str">
        <f t="shared" si="5"/>
        <v/>
      </c>
      <c r="AI55" s="92" t="str">
        <f t="shared" si="6"/>
        <v/>
      </c>
      <c r="AJ55" s="92" t="str">
        <f t="shared" si="7"/>
        <v/>
      </c>
      <c r="AK55" s="92" t="str">
        <f t="shared" si="8"/>
        <v/>
      </c>
      <c r="AL55" s="86" t="str">
        <f t="shared" si="9"/>
        <v/>
      </c>
      <c r="AM55" s="86" t="str">
        <f t="array" ref="AM55">IF(A55="","",IF(AB55&lt;&gt;1,0,IF(AND(INDEX(Companies!$R$6:$R$55,MATCH(A55,Companies!$A$6:$A$55,0))=1,INDEX(Companies!$I$6:$I$55,MATCH(A55,Companies!$A$6:$A$55,0))&gt;=MAX(10,Rules!$B$22)),1,0)))</f>
        <v/>
      </c>
      <c r="AN55" s="86" t="str">
        <f>IFERROR(__xludf.DUMMYFUNCTION("IF(A55="""","""",IFERROR(IF(AND(OR(C55=""FY0"",C55=""FY-1"",C55=""FY-2""),AD55=1,COUNTIFS($A$6:$A$205,A55,$C$6:$C$205,""FY0"",$AD$6:$AD$205,1)=1,COUNTIFS($A$6:$A$205,A55,$C$6:$C$205,""TTM"",$AD$6:$AD$205,1)=1,G55=IFNA(INDEX(FILTER($G$6:$G$205,$A$6:$A$205="&amp;"A55,$C$6:$C$205=""TTM"",$AD$6:$AD$205=1),1),""""),I55=IFNA(INDEX(FILTER($I$6:$I$205,$A$6:$A$205=A55,$C$6:$C$205=""TTM"",$AD$6:$AD$205=1),1),""""),SUMIFS($D$6:$D$205,$A$6:$A$205,A55,$C$6:$C$205,""FY0"",$AD$6:$AD$205,1)&lt;=SUMIFS($D$6:$D$205,$A$6:$A$205,A55,$"&amp;"C$6:$C$205,""TTM"",$AD$6:$AD$205,1),SUMIFS($D$6:$D$205,$A$6:$A$205,A55,$C$6:$C$205,""TTM"",$AD$6:$AD$205,1)-SUMIFS($D$6:$D$205,$A$6:$A$205,A55,$C$6:$C$205,""FY0"",$AD$6:$AD$205,1)&lt;366,ABS(D55-EDATE(SUMIFS($D$6:$D$205,$A$6:$A$205,A55,$C$6:$C$205,""FY0"",$A"&amp;"D$6:$AD$205,1),IF(C55=""FY0"",0,IF(C55=""FY-1"",-12,-24))))&lt;=31),1,0),0))"),"")</f>
        <v/>
      </c>
    </row>
    <row r="56" ht="31.5" customHeight="1">
      <c r="A56" s="85"/>
      <c r="B56" s="86" t="str">
        <f t="array" ref="B56">IF(A56="","",IF(AB56&lt;&gt;1,"Unmatched issuer",INDEX(Companies!$C$6:$C$55,MATCH(A56,Companies!$A$6:$A$55,0))))</f>
        <v/>
      </c>
      <c r="C56" s="87"/>
      <c r="D56" s="88"/>
      <c r="E56" s="88"/>
      <c r="F56" s="88"/>
      <c r="G56" s="87"/>
      <c r="H56" s="87"/>
      <c r="I56" s="85"/>
      <c r="J56" s="89"/>
      <c r="K56" s="89"/>
      <c r="L56" s="90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90"/>
      <c r="Z56" s="85"/>
      <c r="AA56" s="85"/>
      <c r="AB56" s="86" t="str">
        <f>IF(A56="","",COUNTIF(Companies!$A$6:$A$55,A56))</f>
        <v/>
      </c>
      <c r="AC56" s="86" t="str">
        <f t="shared" si="1"/>
        <v/>
      </c>
      <c r="AD56" s="86" t="str">
        <f>IF(A56="","",IFERROR(IF(AND(AB56=1,AC56=1,AM56=1,OR(C56="TTM",C56="FY0",C56="FY-1",C56="FY-2"),ISNUMBER(D56),D56&lt;=Rules!$B$6,ISNUMBER(E56),E56&gt;=D56,E56&lt;=Rules!$B$6,ISNUMBER(F56),ABS(D56-F56-365)&lt;=31,OR(G56="US GAAP",G56="IFRS"),H56="Yes",I56&lt;&gt;"",COUNT(J56:R56)=9,J56&gt;0,L56&gt;-1,L56&lt;1,M56&gt;=0,N56&gt;=0,Q56&gt;=0,R56&gt;=0,M56+O56-Q56&gt;0,N56+P56-R56&gt;0,Z56&lt;&gt;"",AA56&lt;&gt;""),1,0),0))</f>
        <v/>
      </c>
      <c r="AE56" s="91" t="str">
        <f t="shared" si="2"/>
        <v/>
      </c>
      <c r="AF56" s="91" t="str">
        <f t="shared" si="3"/>
        <v/>
      </c>
      <c r="AG56" s="92" t="str">
        <f t="shared" si="4"/>
        <v/>
      </c>
      <c r="AH56" s="92" t="str">
        <f t="shared" si="5"/>
        <v/>
      </c>
      <c r="AI56" s="92" t="str">
        <f t="shared" si="6"/>
        <v/>
      </c>
      <c r="AJ56" s="92" t="str">
        <f t="shared" si="7"/>
        <v/>
      </c>
      <c r="AK56" s="92" t="str">
        <f t="shared" si="8"/>
        <v/>
      </c>
      <c r="AL56" s="86" t="str">
        <f t="shared" si="9"/>
        <v/>
      </c>
      <c r="AM56" s="86" t="str">
        <f t="array" ref="AM56">IF(A56="","",IF(AB56&lt;&gt;1,0,IF(AND(INDEX(Companies!$R$6:$R$55,MATCH(A56,Companies!$A$6:$A$55,0))=1,INDEX(Companies!$I$6:$I$55,MATCH(A56,Companies!$A$6:$A$55,0))&gt;=MAX(10,Rules!$B$22)),1,0)))</f>
        <v/>
      </c>
      <c r="AN56" s="86" t="str">
        <f>IFERROR(__xludf.DUMMYFUNCTION("IF(A56="""","""",IFERROR(IF(AND(OR(C56=""FY0"",C56=""FY-1"",C56=""FY-2""),AD56=1,COUNTIFS($A$6:$A$205,A56,$C$6:$C$205,""FY0"",$AD$6:$AD$205,1)=1,COUNTIFS($A$6:$A$205,A56,$C$6:$C$205,""TTM"",$AD$6:$AD$205,1)=1,G56=IFNA(INDEX(FILTER($G$6:$G$205,$A$6:$A$205="&amp;"A56,$C$6:$C$205=""TTM"",$AD$6:$AD$205=1),1),""""),I56=IFNA(INDEX(FILTER($I$6:$I$205,$A$6:$A$205=A56,$C$6:$C$205=""TTM"",$AD$6:$AD$205=1),1),""""),SUMIFS($D$6:$D$205,$A$6:$A$205,A56,$C$6:$C$205,""FY0"",$AD$6:$AD$205,1)&lt;=SUMIFS($D$6:$D$205,$A$6:$A$205,A56,$"&amp;"C$6:$C$205,""TTM"",$AD$6:$AD$205,1),SUMIFS($D$6:$D$205,$A$6:$A$205,A56,$C$6:$C$205,""TTM"",$AD$6:$AD$205,1)-SUMIFS($D$6:$D$205,$A$6:$A$205,A56,$C$6:$C$205,""FY0"",$AD$6:$AD$205,1)&lt;366,ABS(D56-EDATE(SUMIFS($D$6:$D$205,$A$6:$A$205,A56,$C$6:$C$205,""FY0"",$A"&amp;"D$6:$AD$205,1),IF(C56=""FY0"",0,IF(C56=""FY-1"",-12,-24))))&lt;=31),1,0),0))"),"")</f>
        <v/>
      </c>
    </row>
    <row r="57" ht="31.5" customHeight="1">
      <c r="A57" s="85"/>
      <c r="B57" s="86" t="str">
        <f t="array" ref="B57">IF(A57="","",IF(AB57&lt;&gt;1,"Unmatched issuer",INDEX(Companies!$C$6:$C$55,MATCH(A57,Companies!$A$6:$A$55,0))))</f>
        <v/>
      </c>
      <c r="C57" s="87"/>
      <c r="D57" s="88"/>
      <c r="E57" s="88"/>
      <c r="F57" s="88"/>
      <c r="G57" s="87"/>
      <c r="H57" s="87"/>
      <c r="I57" s="85"/>
      <c r="J57" s="89"/>
      <c r="K57" s="89"/>
      <c r="L57" s="90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90"/>
      <c r="Z57" s="85"/>
      <c r="AA57" s="85"/>
      <c r="AB57" s="86" t="str">
        <f>IF(A57="","",COUNTIF(Companies!$A$6:$A$55,A57))</f>
        <v/>
      </c>
      <c r="AC57" s="86" t="str">
        <f t="shared" si="1"/>
        <v/>
      </c>
      <c r="AD57" s="86" t="str">
        <f>IF(A57="","",IFERROR(IF(AND(AB57=1,AC57=1,AM57=1,OR(C57="TTM",C57="FY0",C57="FY-1",C57="FY-2"),ISNUMBER(D57),D57&lt;=Rules!$B$6,ISNUMBER(E57),E57&gt;=D57,E57&lt;=Rules!$B$6,ISNUMBER(F57),ABS(D57-F57-365)&lt;=31,OR(G57="US GAAP",G57="IFRS"),H57="Yes",I57&lt;&gt;"",COUNT(J57:R57)=9,J57&gt;0,L57&gt;-1,L57&lt;1,M57&gt;=0,N57&gt;=0,Q57&gt;=0,R57&gt;=0,M57+O57-Q57&gt;0,N57+P57-R57&gt;0,Z57&lt;&gt;"",AA57&lt;&gt;""),1,0),0))</f>
        <v/>
      </c>
      <c r="AE57" s="91" t="str">
        <f t="shared" si="2"/>
        <v/>
      </c>
      <c r="AF57" s="91" t="str">
        <f t="shared" si="3"/>
        <v/>
      </c>
      <c r="AG57" s="92" t="str">
        <f t="shared" si="4"/>
        <v/>
      </c>
      <c r="AH57" s="92" t="str">
        <f t="shared" si="5"/>
        <v/>
      </c>
      <c r="AI57" s="92" t="str">
        <f t="shared" si="6"/>
        <v/>
      </c>
      <c r="AJ57" s="92" t="str">
        <f t="shared" si="7"/>
        <v/>
      </c>
      <c r="AK57" s="92" t="str">
        <f t="shared" si="8"/>
        <v/>
      </c>
      <c r="AL57" s="86" t="str">
        <f t="shared" si="9"/>
        <v/>
      </c>
      <c r="AM57" s="86" t="str">
        <f t="array" ref="AM57">IF(A57="","",IF(AB57&lt;&gt;1,0,IF(AND(INDEX(Companies!$R$6:$R$55,MATCH(A57,Companies!$A$6:$A$55,0))=1,INDEX(Companies!$I$6:$I$55,MATCH(A57,Companies!$A$6:$A$55,0))&gt;=MAX(10,Rules!$B$22)),1,0)))</f>
        <v/>
      </c>
      <c r="AN57" s="86" t="str">
        <f>IFERROR(__xludf.DUMMYFUNCTION("IF(A57="""","""",IFERROR(IF(AND(OR(C57=""FY0"",C57=""FY-1"",C57=""FY-2""),AD57=1,COUNTIFS($A$6:$A$205,A57,$C$6:$C$205,""FY0"",$AD$6:$AD$205,1)=1,COUNTIFS($A$6:$A$205,A57,$C$6:$C$205,""TTM"",$AD$6:$AD$205,1)=1,G57=IFNA(INDEX(FILTER($G$6:$G$205,$A$6:$A$205="&amp;"A57,$C$6:$C$205=""TTM"",$AD$6:$AD$205=1),1),""""),I57=IFNA(INDEX(FILTER($I$6:$I$205,$A$6:$A$205=A57,$C$6:$C$205=""TTM"",$AD$6:$AD$205=1),1),""""),SUMIFS($D$6:$D$205,$A$6:$A$205,A57,$C$6:$C$205,""FY0"",$AD$6:$AD$205,1)&lt;=SUMIFS($D$6:$D$205,$A$6:$A$205,A57,$"&amp;"C$6:$C$205,""TTM"",$AD$6:$AD$205,1),SUMIFS($D$6:$D$205,$A$6:$A$205,A57,$C$6:$C$205,""TTM"",$AD$6:$AD$205,1)-SUMIFS($D$6:$D$205,$A$6:$A$205,A57,$C$6:$C$205,""FY0"",$AD$6:$AD$205,1)&lt;366,ABS(D57-EDATE(SUMIFS($D$6:$D$205,$A$6:$A$205,A57,$C$6:$C$205,""FY0"",$A"&amp;"D$6:$AD$205,1),IF(C57=""FY0"",0,IF(C57=""FY-1"",-12,-24))))&lt;=31),1,0),0))"),"")</f>
        <v/>
      </c>
    </row>
    <row r="58" ht="31.5" customHeight="1">
      <c r="A58" s="85"/>
      <c r="B58" s="86" t="str">
        <f t="array" ref="B58">IF(A58="","",IF(AB58&lt;&gt;1,"Unmatched issuer",INDEX(Companies!$C$6:$C$55,MATCH(A58,Companies!$A$6:$A$55,0))))</f>
        <v/>
      </c>
      <c r="C58" s="87"/>
      <c r="D58" s="88"/>
      <c r="E58" s="88"/>
      <c r="F58" s="88"/>
      <c r="G58" s="87"/>
      <c r="H58" s="87"/>
      <c r="I58" s="85"/>
      <c r="J58" s="89"/>
      <c r="K58" s="89"/>
      <c r="L58" s="90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90"/>
      <c r="Z58" s="85"/>
      <c r="AA58" s="85"/>
      <c r="AB58" s="86" t="str">
        <f>IF(A58="","",COUNTIF(Companies!$A$6:$A$55,A58))</f>
        <v/>
      </c>
      <c r="AC58" s="86" t="str">
        <f t="shared" si="1"/>
        <v/>
      </c>
      <c r="AD58" s="86" t="str">
        <f>IF(A58="","",IFERROR(IF(AND(AB58=1,AC58=1,AM58=1,OR(C58="TTM",C58="FY0",C58="FY-1",C58="FY-2"),ISNUMBER(D58),D58&lt;=Rules!$B$6,ISNUMBER(E58),E58&gt;=D58,E58&lt;=Rules!$B$6,ISNUMBER(F58),ABS(D58-F58-365)&lt;=31,OR(G58="US GAAP",G58="IFRS"),H58="Yes",I58&lt;&gt;"",COUNT(J58:R58)=9,J58&gt;0,L58&gt;-1,L58&lt;1,M58&gt;=0,N58&gt;=0,Q58&gt;=0,R58&gt;=0,M58+O58-Q58&gt;0,N58+P58-R58&gt;0,Z58&lt;&gt;"",AA58&lt;&gt;""),1,0),0))</f>
        <v/>
      </c>
      <c r="AE58" s="91" t="str">
        <f t="shared" si="2"/>
        <v/>
      </c>
      <c r="AF58" s="91" t="str">
        <f t="shared" si="3"/>
        <v/>
      </c>
      <c r="AG58" s="92" t="str">
        <f t="shared" si="4"/>
        <v/>
      </c>
      <c r="AH58" s="92" t="str">
        <f t="shared" si="5"/>
        <v/>
      </c>
      <c r="AI58" s="92" t="str">
        <f t="shared" si="6"/>
        <v/>
      </c>
      <c r="AJ58" s="92" t="str">
        <f t="shared" si="7"/>
        <v/>
      </c>
      <c r="AK58" s="92" t="str">
        <f t="shared" si="8"/>
        <v/>
      </c>
      <c r="AL58" s="86" t="str">
        <f t="shared" si="9"/>
        <v/>
      </c>
      <c r="AM58" s="86" t="str">
        <f t="array" ref="AM58">IF(A58="","",IF(AB58&lt;&gt;1,0,IF(AND(INDEX(Companies!$R$6:$R$55,MATCH(A58,Companies!$A$6:$A$55,0))=1,INDEX(Companies!$I$6:$I$55,MATCH(A58,Companies!$A$6:$A$55,0))&gt;=MAX(10,Rules!$B$22)),1,0)))</f>
        <v/>
      </c>
      <c r="AN58" s="86" t="str">
        <f>IFERROR(__xludf.DUMMYFUNCTION("IF(A58="""","""",IFERROR(IF(AND(OR(C58=""FY0"",C58=""FY-1"",C58=""FY-2""),AD58=1,COUNTIFS($A$6:$A$205,A58,$C$6:$C$205,""FY0"",$AD$6:$AD$205,1)=1,COUNTIFS($A$6:$A$205,A58,$C$6:$C$205,""TTM"",$AD$6:$AD$205,1)=1,G58=IFNA(INDEX(FILTER($G$6:$G$205,$A$6:$A$205="&amp;"A58,$C$6:$C$205=""TTM"",$AD$6:$AD$205=1),1),""""),I58=IFNA(INDEX(FILTER($I$6:$I$205,$A$6:$A$205=A58,$C$6:$C$205=""TTM"",$AD$6:$AD$205=1),1),""""),SUMIFS($D$6:$D$205,$A$6:$A$205,A58,$C$6:$C$205,""FY0"",$AD$6:$AD$205,1)&lt;=SUMIFS($D$6:$D$205,$A$6:$A$205,A58,$"&amp;"C$6:$C$205,""TTM"",$AD$6:$AD$205,1),SUMIFS($D$6:$D$205,$A$6:$A$205,A58,$C$6:$C$205,""TTM"",$AD$6:$AD$205,1)-SUMIFS($D$6:$D$205,$A$6:$A$205,A58,$C$6:$C$205,""FY0"",$AD$6:$AD$205,1)&lt;366,ABS(D58-EDATE(SUMIFS($D$6:$D$205,$A$6:$A$205,A58,$C$6:$C$205,""FY0"",$A"&amp;"D$6:$AD$205,1),IF(C58=""FY0"",0,IF(C58=""FY-1"",-12,-24))))&lt;=31),1,0),0))"),"")</f>
        <v/>
      </c>
    </row>
    <row r="59" ht="31.5" customHeight="1">
      <c r="A59" s="85"/>
      <c r="B59" s="86" t="str">
        <f t="array" ref="B59">IF(A59="","",IF(AB59&lt;&gt;1,"Unmatched issuer",INDEX(Companies!$C$6:$C$55,MATCH(A59,Companies!$A$6:$A$55,0))))</f>
        <v/>
      </c>
      <c r="C59" s="87"/>
      <c r="D59" s="88"/>
      <c r="E59" s="88"/>
      <c r="F59" s="88"/>
      <c r="G59" s="87"/>
      <c r="H59" s="87"/>
      <c r="I59" s="85"/>
      <c r="J59" s="89"/>
      <c r="K59" s="89"/>
      <c r="L59" s="90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90"/>
      <c r="Z59" s="85"/>
      <c r="AA59" s="85"/>
      <c r="AB59" s="86" t="str">
        <f>IF(A59="","",COUNTIF(Companies!$A$6:$A$55,A59))</f>
        <v/>
      </c>
      <c r="AC59" s="86" t="str">
        <f t="shared" si="1"/>
        <v/>
      </c>
      <c r="AD59" s="86" t="str">
        <f>IF(A59="","",IFERROR(IF(AND(AB59=1,AC59=1,AM59=1,OR(C59="TTM",C59="FY0",C59="FY-1",C59="FY-2"),ISNUMBER(D59),D59&lt;=Rules!$B$6,ISNUMBER(E59),E59&gt;=D59,E59&lt;=Rules!$B$6,ISNUMBER(F59),ABS(D59-F59-365)&lt;=31,OR(G59="US GAAP",G59="IFRS"),H59="Yes",I59&lt;&gt;"",COUNT(J59:R59)=9,J59&gt;0,L59&gt;-1,L59&lt;1,M59&gt;=0,N59&gt;=0,Q59&gt;=0,R59&gt;=0,M59+O59-Q59&gt;0,N59+P59-R59&gt;0,Z59&lt;&gt;"",AA59&lt;&gt;""),1,0),0))</f>
        <v/>
      </c>
      <c r="AE59" s="91" t="str">
        <f t="shared" si="2"/>
        <v/>
      </c>
      <c r="AF59" s="91" t="str">
        <f t="shared" si="3"/>
        <v/>
      </c>
      <c r="AG59" s="92" t="str">
        <f t="shared" si="4"/>
        <v/>
      </c>
      <c r="AH59" s="92" t="str">
        <f t="shared" si="5"/>
        <v/>
      </c>
      <c r="AI59" s="92" t="str">
        <f t="shared" si="6"/>
        <v/>
      </c>
      <c r="AJ59" s="92" t="str">
        <f t="shared" si="7"/>
        <v/>
      </c>
      <c r="AK59" s="92" t="str">
        <f t="shared" si="8"/>
        <v/>
      </c>
      <c r="AL59" s="86" t="str">
        <f t="shared" si="9"/>
        <v/>
      </c>
      <c r="AM59" s="86" t="str">
        <f t="array" ref="AM59">IF(A59="","",IF(AB59&lt;&gt;1,0,IF(AND(INDEX(Companies!$R$6:$R$55,MATCH(A59,Companies!$A$6:$A$55,0))=1,INDEX(Companies!$I$6:$I$55,MATCH(A59,Companies!$A$6:$A$55,0))&gt;=MAX(10,Rules!$B$22)),1,0)))</f>
        <v/>
      </c>
      <c r="AN59" s="86" t="str">
        <f>IFERROR(__xludf.DUMMYFUNCTION("IF(A59="""","""",IFERROR(IF(AND(OR(C59=""FY0"",C59=""FY-1"",C59=""FY-2""),AD59=1,COUNTIFS($A$6:$A$205,A59,$C$6:$C$205,""FY0"",$AD$6:$AD$205,1)=1,COUNTIFS($A$6:$A$205,A59,$C$6:$C$205,""TTM"",$AD$6:$AD$205,1)=1,G59=IFNA(INDEX(FILTER($G$6:$G$205,$A$6:$A$205="&amp;"A59,$C$6:$C$205=""TTM"",$AD$6:$AD$205=1),1),""""),I59=IFNA(INDEX(FILTER($I$6:$I$205,$A$6:$A$205=A59,$C$6:$C$205=""TTM"",$AD$6:$AD$205=1),1),""""),SUMIFS($D$6:$D$205,$A$6:$A$205,A59,$C$6:$C$205,""FY0"",$AD$6:$AD$205,1)&lt;=SUMIFS($D$6:$D$205,$A$6:$A$205,A59,$"&amp;"C$6:$C$205,""TTM"",$AD$6:$AD$205,1),SUMIFS($D$6:$D$205,$A$6:$A$205,A59,$C$6:$C$205,""TTM"",$AD$6:$AD$205,1)-SUMIFS($D$6:$D$205,$A$6:$A$205,A59,$C$6:$C$205,""FY0"",$AD$6:$AD$205,1)&lt;366,ABS(D59-EDATE(SUMIFS($D$6:$D$205,$A$6:$A$205,A59,$C$6:$C$205,""FY0"",$A"&amp;"D$6:$AD$205,1),IF(C59=""FY0"",0,IF(C59=""FY-1"",-12,-24))))&lt;=31),1,0),0))"),"")</f>
        <v/>
      </c>
    </row>
    <row r="60" ht="31.5" customHeight="1">
      <c r="A60" s="85"/>
      <c r="B60" s="86" t="str">
        <f t="array" ref="B60">IF(A60="","",IF(AB60&lt;&gt;1,"Unmatched issuer",INDEX(Companies!$C$6:$C$55,MATCH(A60,Companies!$A$6:$A$55,0))))</f>
        <v/>
      </c>
      <c r="C60" s="87"/>
      <c r="D60" s="88"/>
      <c r="E60" s="88"/>
      <c r="F60" s="88"/>
      <c r="G60" s="87"/>
      <c r="H60" s="87"/>
      <c r="I60" s="85"/>
      <c r="J60" s="89"/>
      <c r="K60" s="89"/>
      <c r="L60" s="90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90"/>
      <c r="Z60" s="85"/>
      <c r="AA60" s="85"/>
      <c r="AB60" s="86" t="str">
        <f>IF(A60="","",COUNTIF(Companies!$A$6:$A$55,A60))</f>
        <v/>
      </c>
      <c r="AC60" s="86" t="str">
        <f t="shared" si="1"/>
        <v/>
      </c>
      <c r="AD60" s="86" t="str">
        <f>IF(A60="","",IFERROR(IF(AND(AB60=1,AC60=1,AM60=1,OR(C60="TTM",C60="FY0",C60="FY-1",C60="FY-2"),ISNUMBER(D60),D60&lt;=Rules!$B$6,ISNUMBER(E60),E60&gt;=D60,E60&lt;=Rules!$B$6,ISNUMBER(F60),ABS(D60-F60-365)&lt;=31,OR(G60="US GAAP",G60="IFRS"),H60="Yes",I60&lt;&gt;"",COUNT(J60:R60)=9,J60&gt;0,L60&gt;-1,L60&lt;1,M60&gt;=0,N60&gt;=0,Q60&gt;=0,R60&gt;=0,M60+O60-Q60&gt;0,N60+P60-R60&gt;0,Z60&lt;&gt;"",AA60&lt;&gt;""),1,0),0))</f>
        <v/>
      </c>
      <c r="AE60" s="91" t="str">
        <f t="shared" si="2"/>
        <v/>
      </c>
      <c r="AF60" s="91" t="str">
        <f t="shared" si="3"/>
        <v/>
      </c>
      <c r="AG60" s="92" t="str">
        <f t="shared" si="4"/>
        <v/>
      </c>
      <c r="AH60" s="92" t="str">
        <f t="shared" si="5"/>
        <v/>
      </c>
      <c r="AI60" s="92" t="str">
        <f t="shared" si="6"/>
        <v/>
      </c>
      <c r="AJ60" s="92" t="str">
        <f t="shared" si="7"/>
        <v/>
      </c>
      <c r="AK60" s="92" t="str">
        <f t="shared" si="8"/>
        <v/>
      </c>
      <c r="AL60" s="86" t="str">
        <f t="shared" si="9"/>
        <v/>
      </c>
      <c r="AM60" s="86" t="str">
        <f t="array" ref="AM60">IF(A60="","",IF(AB60&lt;&gt;1,0,IF(AND(INDEX(Companies!$R$6:$R$55,MATCH(A60,Companies!$A$6:$A$55,0))=1,INDEX(Companies!$I$6:$I$55,MATCH(A60,Companies!$A$6:$A$55,0))&gt;=MAX(10,Rules!$B$22)),1,0)))</f>
        <v/>
      </c>
      <c r="AN60" s="86" t="str">
        <f>IFERROR(__xludf.DUMMYFUNCTION("IF(A60="""","""",IFERROR(IF(AND(OR(C60=""FY0"",C60=""FY-1"",C60=""FY-2""),AD60=1,COUNTIFS($A$6:$A$205,A60,$C$6:$C$205,""FY0"",$AD$6:$AD$205,1)=1,COUNTIFS($A$6:$A$205,A60,$C$6:$C$205,""TTM"",$AD$6:$AD$205,1)=1,G60=IFNA(INDEX(FILTER($G$6:$G$205,$A$6:$A$205="&amp;"A60,$C$6:$C$205=""TTM"",$AD$6:$AD$205=1),1),""""),I60=IFNA(INDEX(FILTER($I$6:$I$205,$A$6:$A$205=A60,$C$6:$C$205=""TTM"",$AD$6:$AD$205=1),1),""""),SUMIFS($D$6:$D$205,$A$6:$A$205,A60,$C$6:$C$205,""FY0"",$AD$6:$AD$205,1)&lt;=SUMIFS($D$6:$D$205,$A$6:$A$205,A60,$"&amp;"C$6:$C$205,""TTM"",$AD$6:$AD$205,1),SUMIFS($D$6:$D$205,$A$6:$A$205,A60,$C$6:$C$205,""TTM"",$AD$6:$AD$205,1)-SUMIFS($D$6:$D$205,$A$6:$A$205,A60,$C$6:$C$205,""FY0"",$AD$6:$AD$205,1)&lt;366,ABS(D60-EDATE(SUMIFS($D$6:$D$205,$A$6:$A$205,A60,$C$6:$C$205,""FY0"",$A"&amp;"D$6:$AD$205,1),IF(C60=""FY0"",0,IF(C60=""FY-1"",-12,-24))))&lt;=31),1,0),0))"),"")</f>
        <v/>
      </c>
    </row>
    <row r="61" ht="31.5" customHeight="1">
      <c r="A61" s="85"/>
      <c r="B61" s="86" t="str">
        <f t="array" ref="B61">IF(A61="","",IF(AB61&lt;&gt;1,"Unmatched issuer",INDEX(Companies!$C$6:$C$55,MATCH(A61,Companies!$A$6:$A$55,0))))</f>
        <v/>
      </c>
      <c r="C61" s="87"/>
      <c r="D61" s="88"/>
      <c r="E61" s="88"/>
      <c r="F61" s="88"/>
      <c r="G61" s="87"/>
      <c r="H61" s="87"/>
      <c r="I61" s="85"/>
      <c r="J61" s="89"/>
      <c r="K61" s="89"/>
      <c r="L61" s="90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90"/>
      <c r="Z61" s="85"/>
      <c r="AA61" s="85"/>
      <c r="AB61" s="86" t="str">
        <f>IF(A61="","",COUNTIF(Companies!$A$6:$A$55,A61))</f>
        <v/>
      </c>
      <c r="AC61" s="86" t="str">
        <f t="shared" si="1"/>
        <v/>
      </c>
      <c r="AD61" s="86" t="str">
        <f>IF(A61="","",IFERROR(IF(AND(AB61=1,AC61=1,AM61=1,OR(C61="TTM",C61="FY0",C61="FY-1",C61="FY-2"),ISNUMBER(D61),D61&lt;=Rules!$B$6,ISNUMBER(E61),E61&gt;=D61,E61&lt;=Rules!$B$6,ISNUMBER(F61),ABS(D61-F61-365)&lt;=31,OR(G61="US GAAP",G61="IFRS"),H61="Yes",I61&lt;&gt;"",COUNT(J61:R61)=9,J61&gt;0,L61&gt;-1,L61&lt;1,M61&gt;=0,N61&gt;=0,Q61&gt;=0,R61&gt;=0,M61+O61-Q61&gt;0,N61+P61-R61&gt;0,Z61&lt;&gt;"",AA61&lt;&gt;""),1,0),0))</f>
        <v/>
      </c>
      <c r="AE61" s="91" t="str">
        <f t="shared" si="2"/>
        <v/>
      </c>
      <c r="AF61" s="91" t="str">
        <f t="shared" si="3"/>
        <v/>
      </c>
      <c r="AG61" s="92" t="str">
        <f t="shared" si="4"/>
        <v/>
      </c>
      <c r="AH61" s="92" t="str">
        <f t="shared" si="5"/>
        <v/>
      </c>
      <c r="AI61" s="92" t="str">
        <f t="shared" si="6"/>
        <v/>
      </c>
      <c r="AJ61" s="92" t="str">
        <f t="shared" si="7"/>
        <v/>
      </c>
      <c r="AK61" s="92" t="str">
        <f t="shared" si="8"/>
        <v/>
      </c>
      <c r="AL61" s="86" t="str">
        <f t="shared" si="9"/>
        <v/>
      </c>
      <c r="AM61" s="86" t="str">
        <f t="array" ref="AM61">IF(A61="","",IF(AB61&lt;&gt;1,0,IF(AND(INDEX(Companies!$R$6:$R$55,MATCH(A61,Companies!$A$6:$A$55,0))=1,INDEX(Companies!$I$6:$I$55,MATCH(A61,Companies!$A$6:$A$55,0))&gt;=MAX(10,Rules!$B$22)),1,0)))</f>
        <v/>
      </c>
      <c r="AN61" s="86" t="str">
        <f>IFERROR(__xludf.DUMMYFUNCTION("IF(A61="""","""",IFERROR(IF(AND(OR(C61=""FY0"",C61=""FY-1"",C61=""FY-2""),AD61=1,COUNTIFS($A$6:$A$205,A61,$C$6:$C$205,""FY0"",$AD$6:$AD$205,1)=1,COUNTIFS($A$6:$A$205,A61,$C$6:$C$205,""TTM"",$AD$6:$AD$205,1)=1,G61=IFNA(INDEX(FILTER($G$6:$G$205,$A$6:$A$205="&amp;"A61,$C$6:$C$205=""TTM"",$AD$6:$AD$205=1),1),""""),I61=IFNA(INDEX(FILTER($I$6:$I$205,$A$6:$A$205=A61,$C$6:$C$205=""TTM"",$AD$6:$AD$205=1),1),""""),SUMIFS($D$6:$D$205,$A$6:$A$205,A61,$C$6:$C$205,""FY0"",$AD$6:$AD$205,1)&lt;=SUMIFS($D$6:$D$205,$A$6:$A$205,A61,$"&amp;"C$6:$C$205,""TTM"",$AD$6:$AD$205,1),SUMIFS($D$6:$D$205,$A$6:$A$205,A61,$C$6:$C$205,""TTM"",$AD$6:$AD$205,1)-SUMIFS($D$6:$D$205,$A$6:$A$205,A61,$C$6:$C$205,""FY0"",$AD$6:$AD$205,1)&lt;366,ABS(D61-EDATE(SUMIFS($D$6:$D$205,$A$6:$A$205,A61,$C$6:$C$205,""FY0"",$A"&amp;"D$6:$AD$205,1),IF(C61=""FY0"",0,IF(C61=""FY-1"",-12,-24))))&lt;=31),1,0),0))"),"")</f>
        <v/>
      </c>
    </row>
    <row r="62" ht="31.5" customHeight="1">
      <c r="A62" s="85"/>
      <c r="B62" s="86" t="str">
        <f t="array" ref="B62">IF(A62="","",IF(AB62&lt;&gt;1,"Unmatched issuer",INDEX(Companies!$C$6:$C$55,MATCH(A62,Companies!$A$6:$A$55,0))))</f>
        <v/>
      </c>
      <c r="C62" s="87"/>
      <c r="D62" s="88"/>
      <c r="E62" s="88"/>
      <c r="F62" s="88"/>
      <c r="G62" s="87"/>
      <c r="H62" s="87"/>
      <c r="I62" s="85"/>
      <c r="J62" s="89"/>
      <c r="K62" s="89"/>
      <c r="L62" s="90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90"/>
      <c r="Z62" s="85"/>
      <c r="AA62" s="85"/>
      <c r="AB62" s="86" t="str">
        <f>IF(A62="","",COUNTIF(Companies!$A$6:$A$55,A62))</f>
        <v/>
      </c>
      <c r="AC62" s="86" t="str">
        <f t="shared" si="1"/>
        <v/>
      </c>
      <c r="AD62" s="86" t="str">
        <f>IF(A62="","",IFERROR(IF(AND(AB62=1,AC62=1,AM62=1,OR(C62="TTM",C62="FY0",C62="FY-1",C62="FY-2"),ISNUMBER(D62),D62&lt;=Rules!$B$6,ISNUMBER(E62),E62&gt;=D62,E62&lt;=Rules!$B$6,ISNUMBER(F62),ABS(D62-F62-365)&lt;=31,OR(G62="US GAAP",G62="IFRS"),H62="Yes",I62&lt;&gt;"",COUNT(J62:R62)=9,J62&gt;0,L62&gt;-1,L62&lt;1,M62&gt;=0,N62&gt;=0,Q62&gt;=0,R62&gt;=0,M62+O62-Q62&gt;0,N62+P62-R62&gt;0,Z62&lt;&gt;"",AA62&lt;&gt;""),1,0),0))</f>
        <v/>
      </c>
      <c r="AE62" s="91" t="str">
        <f t="shared" si="2"/>
        <v/>
      </c>
      <c r="AF62" s="91" t="str">
        <f t="shared" si="3"/>
        <v/>
      </c>
      <c r="AG62" s="92" t="str">
        <f t="shared" si="4"/>
        <v/>
      </c>
      <c r="AH62" s="92" t="str">
        <f t="shared" si="5"/>
        <v/>
      </c>
      <c r="AI62" s="92" t="str">
        <f t="shared" si="6"/>
        <v/>
      </c>
      <c r="AJ62" s="92" t="str">
        <f t="shared" si="7"/>
        <v/>
      </c>
      <c r="AK62" s="92" t="str">
        <f t="shared" si="8"/>
        <v/>
      </c>
      <c r="AL62" s="86" t="str">
        <f t="shared" si="9"/>
        <v/>
      </c>
      <c r="AM62" s="86" t="str">
        <f t="array" ref="AM62">IF(A62="","",IF(AB62&lt;&gt;1,0,IF(AND(INDEX(Companies!$R$6:$R$55,MATCH(A62,Companies!$A$6:$A$55,0))=1,INDEX(Companies!$I$6:$I$55,MATCH(A62,Companies!$A$6:$A$55,0))&gt;=MAX(10,Rules!$B$22)),1,0)))</f>
        <v/>
      </c>
      <c r="AN62" s="86" t="str">
        <f>IFERROR(__xludf.DUMMYFUNCTION("IF(A62="""","""",IFERROR(IF(AND(OR(C62=""FY0"",C62=""FY-1"",C62=""FY-2""),AD62=1,COUNTIFS($A$6:$A$205,A62,$C$6:$C$205,""FY0"",$AD$6:$AD$205,1)=1,COUNTIFS($A$6:$A$205,A62,$C$6:$C$205,""TTM"",$AD$6:$AD$205,1)=1,G62=IFNA(INDEX(FILTER($G$6:$G$205,$A$6:$A$205="&amp;"A62,$C$6:$C$205=""TTM"",$AD$6:$AD$205=1),1),""""),I62=IFNA(INDEX(FILTER($I$6:$I$205,$A$6:$A$205=A62,$C$6:$C$205=""TTM"",$AD$6:$AD$205=1),1),""""),SUMIFS($D$6:$D$205,$A$6:$A$205,A62,$C$6:$C$205,""FY0"",$AD$6:$AD$205,1)&lt;=SUMIFS($D$6:$D$205,$A$6:$A$205,A62,$"&amp;"C$6:$C$205,""TTM"",$AD$6:$AD$205,1),SUMIFS($D$6:$D$205,$A$6:$A$205,A62,$C$6:$C$205,""TTM"",$AD$6:$AD$205,1)-SUMIFS($D$6:$D$205,$A$6:$A$205,A62,$C$6:$C$205,""FY0"",$AD$6:$AD$205,1)&lt;366,ABS(D62-EDATE(SUMIFS($D$6:$D$205,$A$6:$A$205,A62,$C$6:$C$205,""FY0"",$A"&amp;"D$6:$AD$205,1),IF(C62=""FY0"",0,IF(C62=""FY-1"",-12,-24))))&lt;=31),1,0),0))"),"")</f>
        <v/>
      </c>
    </row>
    <row r="63" ht="31.5" customHeight="1">
      <c r="A63" s="85"/>
      <c r="B63" s="86" t="str">
        <f t="array" ref="B63">IF(A63="","",IF(AB63&lt;&gt;1,"Unmatched issuer",INDEX(Companies!$C$6:$C$55,MATCH(A63,Companies!$A$6:$A$55,0))))</f>
        <v/>
      </c>
      <c r="C63" s="87"/>
      <c r="D63" s="88"/>
      <c r="E63" s="88"/>
      <c r="F63" s="88"/>
      <c r="G63" s="87"/>
      <c r="H63" s="87"/>
      <c r="I63" s="85"/>
      <c r="J63" s="89"/>
      <c r="K63" s="89"/>
      <c r="L63" s="90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90"/>
      <c r="Z63" s="85"/>
      <c r="AA63" s="85"/>
      <c r="AB63" s="86" t="str">
        <f>IF(A63="","",COUNTIF(Companies!$A$6:$A$55,A63))</f>
        <v/>
      </c>
      <c r="AC63" s="86" t="str">
        <f t="shared" si="1"/>
        <v/>
      </c>
      <c r="AD63" s="86" t="str">
        <f>IF(A63="","",IFERROR(IF(AND(AB63=1,AC63=1,AM63=1,OR(C63="TTM",C63="FY0",C63="FY-1",C63="FY-2"),ISNUMBER(D63),D63&lt;=Rules!$B$6,ISNUMBER(E63),E63&gt;=D63,E63&lt;=Rules!$B$6,ISNUMBER(F63),ABS(D63-F63-365)&lt;=31,OR(G63="US GAAP",G63="IFRS"),H63="Yes",I63&lt;&gt;"",COUNT(J63:R63)=9,J63&gt;0,L63&gt;-1,L63&lt;1,M63&gt;=0,N63&gt;=0,Q63&gt;=0,R63&gt;=0,M63+O63-Q63&gt;0,N63+P63-R63&gt;0,Z63&lt;&gt;"",AA63&lt;&gt;""),1,0),0))</f>
        <v/>
      </c>
      <c r="AE63" s="91" t="str">
        <f t="shared" si="2"/>
        <v/>
      </c>
      <c r="AF63" s="91" t="str">
        <f t="shared" si="3"/>
        <v/>
      </c>
      <c r="AG63" s="92" t="str">
        <f t="shared" si="4"/>
        <v/>
      </c>
      <c r="AH63" s="92" t="str">
        <f t="shared" si="5"/>
        <v/>
      </c>
      <c r="AI63" s="92" t="str">
        <f t="shared" si="6"/>
        <v/>
      </c>
      <c r="AJ63" s="92" t="str">
        <f t="shared" si="7"/>
        <v/>
      </c>
      <c r="AK63" s="92" t="str">
        <f t="shared" si="8"/>
        <v/>
      </c>
      <c r="AL63" s="86" t="str">
        <f t="shared" si="9"/>
        <v/>
      </c>
      <c r="AM63" s="86" t="str">
        <f t="array" ref="AM63">IF(A63="","",IF(AB63&lt;&gt;1,0,IF(AND(INDEX(Companies!$R$6:$R$55,MATCH(A63,Companies!$A$6:$A$55,0))=1,INDEX(Companies!$I$6:$I$55,MATCH(A63,Companies!$A$6:$A$55,0))&gt;=MAX(10,Rules!$B$22)),1,0)))</f>
        <v/>
      </c>
      <c r="AN63" s="86" t="str">
        <f>IFERROR(__xludf.DUMMYFUNCTION("IF(A63="""","""",IFERROR(IF(AND(OR(C63=""FY0"",C63=""FY-1"",C63=""FY-2""),AD63=1,COUNTIFS($A$6:$A$205,A63,$C$6:$C$205,""FY0"",$AD$6:$AD$205,1)=1,COUNTIFS($A$6:$A$205,A63,$C$6:$C$205,""TTM"",$AD$6:$AD$205,1)=1,G63=IFNA(INDEX(FILTER($G$6:$G$205,$A$6:$A$205="&amp;"A63,$C$6:$C$205=""TTM"",$AD$6:$AD$205=1),1),""""),I63=IFNA(INDEX(FILTER($I$6:$I$205,$A$6:$A$205=A63,$C$6:$C$205=""TTM"",$AD$6:$AD$205=1),1),""""),SUMIFS($D$6:$D$205,$A$6:$A$205,A63,$C$6:$C$205,""FY0"",$AD$6:$AD$205,1)&lt;=SUMIFS($D$6:$D$205,$A$6:$A$205,A63,$"&amp;"C$6:$C$205,""TTM"",$AD$6:$AD$205,1),SUMIFS($D$6:$D$205,$A$6:$A$205,A63,$C$6:$C$205,""TTM"",$AD$6:$AD$205,1)-SUMIFS($D$6:$D$205,$A$6:$A$205,A63,$C$6:$C$205,""FY0"",$AD$6:$AD$205,1)&lt;366,ABS(D63-EDATE(SUMIFS($D$6:$D$205,$A$6:$A$205,A63,$C$6:$C$205,""FY0"",$A"&amp;"D$6:$AD$205,1),IF(C63=""FY0"",0,IF(C63=""FY-1"",-12,-24))))&lt;=31),1,0),0))"),"")</f>
        <v/>
      </c>
    </row>
    <row r="64" ht="31.5" customHeight="1">
      <c r="A64" s="85"/>
      <c r="B64" s="86" t="str">
        <f t="array" ref="B64">IF(A64="","",IF(AB64&lt;&gt;1,"Unmatched issuer",INDEX(Companies!$C$6:$C$55,MATCH(A64,Companies!$A$6:$A$55,0))))</f>
        <v/>
      </c>
      <c r="C64" s="87"/>
      <c r="D64" s="88"/>
      <c r="E64" s="88"/>
      <c r="F64" s="88"/>
      <c r="G64" s="87"/>
      <c r="H64" s="87"/>
      <c r="I64" s="85"/>
      <c r="J64" s="89"/>
      <c r="K64" s="89"/>
      <c r="L64" s="90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90"/>
      <c r="Z64" s="85"/>
      <c r="AA64" s="85"/>
      <c r="AB64" s="86" t="str">
        <f>IF(A64="","",COUNTIF(Companies!$A$6:$A$55,A64))</f>
        <v/>
      </c>
      <c r="AC64" s="86" t="str">
        <f t="shared" si="1"/>
        <v/>
      </c>
      <c r="AD64" s="86" t="str">
        <f>IF(A64="","",IFERROR(IF(AND(AB64=1,AC64=1,AM64=1,OR(C64="TTM",C64="FY0",C64="FY-1",C64="FY-2"),ISNUMBER(D64),D64&lt;=Rules!$B$6,ISNUMBER(E64),E64&gt;=D64,E64&lt;=Rules!$B$6,ISNUMBER(F64),ABS(D64-F64-365)&lt;=31,OR(G64="US GAAP",G64="IFRS"),H64="Yes",I64&lt;&gt;"",COUNT(J64:R64)=9,J64&gt;0,L64&gt;-1,L64&lt;1,M64&gt;=0,N64&gt;=0,Q64&gt;=0,R64&gt;=0,M64+O64-Q64&gt;0,N64+P64-R64&gt;0,Z64&lt;&gt;"",AA64&lt;&gt;""),1,0),0))</f>
        <v/>
      </c>
      <c r="AE64" s="91" t="str">
        <f t="shared" si="2"/>
        <v/>
      </c>
      <c r="AF64" s="91" t="str">
        <f t="shared" si="3"/>
        <v/>
      </c>
      <c r="AG64" s="92" t="str">
        <f t="shared" si="4"/>
        <v/>
      </c>
      <c r="AH64" s="92" t="str">
        <f t="shared" si="5"/>
        <v/>
      </c>
      <c r="AI64" s="92" t="str">
        <f t="shared" si="6"/>
        <v/>
      </c>
      <c r="AJ64" s="92" t="str">
        <f t="shared" si="7"/>
        <v/>
      </c>
      <c r="AK64" s="92" t="str">
        <f t="shared" si="8"/>
        <v/>
      </c>
      <c r="AL64" s="86" t="str">
        <f t="shared" si="9"/>
        <v/>
      </c>
      <c r="AM64" s="86" t="str">
        <f t="array" ref="AM64">IF(A64="","",IF(AB64&lt;&gt;1,0,IF(AND(INDEX(Companies!$R$6:$R$55,MATCH(A64,Companies!$A$6:$A$55,0))=1,INDEX(Companies!$I$6:$I$55,MATCH(A64,Companies!$A$6:$A$55,0))&gt;=MAX(10,Rules!$B$22)),1,0)))</f>
        <v/>
      </c>
      <c r="AN64" s="86" t="str">
        <f>IFERROR(__xludf.DUMMYFUNCTION("IF(A64="""","""",IFERROR(IF(AND(OR(C64=""FY0"",C64=""FY-1"",C64=""FY-2""),AD64=1,COUNTIFS($A$6:$A$205,A64,$C$6:$C$205,""FY0"",$AD$6:$AD$205,1)=1,COUNTIFS($A$6:$A$205,A64,$C$6:$C$205,""TTM"",$AD$6:$AD$205,1)=1,G64=IFNA(INDEX(FILTER($G$6:$G$205,$A$6:$A$205="&amp;"A64,$C$6:$C$205=""TTM"",$AD$6:$AD$205=1),1),""""),I64=IFNA(INDEX(FILTER($I$6:$I$205,$A$6:$A$205=A64,$C$6:$C$205=""TTM"",$AD$6:$AD$205=1),1),""""),SUMIFS($D$6:$D$205,$A$6:$A$205,A64,$C$6:$C$205,""FY0"",$AD$6:$AD$205,1)&lt;=SUMIFS($D$6:$D$205,$A$6:$A$205,A64,$"&amp;"C$6:$C$205,""TTM"",$AD$6:$AD$205,1),SUMIFS($D$6:$D$205,$A$6:$A$205,A64,$C$6:$C$205,""TTM"",$AD$6:$AD$205,1)-SUMIFS($D$6:$D$205,$A$6:$A$205,A64,$C$6:$C$205,""FY0"",$AD$6:$AD$205,1)&lt;366,ABS(D64-EDATE(SUMIFS($D$6:$D$205,$A$6:$A$205,A64,$C$6:$C$205,""FY0"",$A"&amp;"D$6:$AD$205,1),IF(C64=""FY0"",0,IF(C64=""FY-1"",-12,-24))))&lt;=31),1,0),0))"),"")</f>
        <v/>
      </c>
    </row>
    <row r="65" ht="31.5" customHeight="1">
      <c r="A65" s="85"/>
      <c r="B65" s="86" t="str">
        <f t="array" ref="B65">IF(A65="","",IF(AB65&lt;&gt;1,"Unmatched issuer",INDEX(Companies!$C$6:$C$55,MATCH(A65,Companies!$A$6:$A$55,0))))</f>
        <v/>
      </c>
      <c r="C65" s="87"/>
      <c r="D65" s="88"/>
      <c r="E65" s="88"/>
      <c r="F65" s="88"/>
      <c r="G65" s="87"/>
      <c r="H65" s="87"/>
      <c r="I65" s="85"/>
      <c r="J65" s="89"/>
      <c r="K65" s="89"/>
      <c r="L65" s="90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90"/>
      <c r="Z65" s="85"/>
      <c r="AA65" s="85"/>
      <c r="AB65" s="86" t="str">
        <f>IF(A65="","",COUNTIF(Companies!$A$6:$A$55,A65))</f>
        <v/>
      </c>
      <c r="AC65" s="86" t="str">
        <f t="shared" si="1"/>
        <v/>
      </c>
      <c r="AD65" s="86" t="str">
        <f>IF(A65="","",IFERROR(IF(AND(AB65=1,AC65=1,AM65=1,OR(C65="TTM",C65="FY0",C65="FY-1",C65="FY-2"),ISNUMBER(D65),D65&lt;=Rules!$B$6,ISNUMBER(E65),E65&gt;=D65,E65&lt;=Rules!$B$6,ISNUMBER(F65),ABS(D65-F65-365)&lt;=31,OR(G65="US GAAP",G65="IFRS"),H65="Yes",I65&lt;&gt;"",COUNT(J65:R65)=9,J65&gt;0,L65&gt;-1,L65&lt;1,M65&gt;=0,N65&gt;=0,Q65&gt;=0,R65&gt;=0,M65+O65-Q65&gt;0,N65+P65-R65&gt;0,Z65&lt;&gt;"",AA65&lt;&gt;""),1,0),0))</f>
        <v/>
      </c>
      <c r="AE65" s="91" t="str">
        <f t="shared" si="2"/>
        <v/>
      </c>
      <c r="AF65" s="91" t="str">
        <f t="shared" si="3"/>
        <v/>
      </c>
      <c r="AG65" s="92" t="str">
        <f t="shared" si="4"/>
        <v/>
      </c>
      <c r="AH65" s="92" t="str">
        <f t="shared" si="5"/>
        <v/>
      </c>
      <c r="AI65" s="92" t="str">
        <f t="shared" si="6"/>
        <v/>
      </c>
      <c r="AJ65" s="92" t="str">
        <f t="shared" si="7"/>
        <v/>
      </c>
      <c r="AK65" s="92" t="str">
        <f t="shared" si="8"/>
        <v/>
      </c>
      <c r="AL65" s="86" t="str">
        <f t="shared" si="9"/>
        <v/>
      </c>
      <c r="AM65" s="86" t="str">
        <f t="array" ref="AM65">IF(A65="","",IF(AB65&lt;&gt;1,0,IF(AND(INDEX(Companies!$R$6:$R$55,MATCH(A65,Companies!$A$6:$A$55,0))=1,INDEX(Companies!$I$6:$I$55,MATCH(A65,Companies!$A$6:$A$55,0))&gt;=MAX(10,Rules!$B$22)),1,0)))</f>
        <v/>
      </c>
      <c r="AN65" s="86" t="str">
        <f>IFERROR(__xludf.DUMMYFUNCTION("IF(A65="""","""",IFERROR(IF(AND(OR(C65=""FY0"",C65=""FY-1"",C65=""FY-2""),AD65=1,COUNTIFS($A$6:$A$205,A65,$C$6:$C$205,""FY0"",$AD$6:$AD$205,1)=1,COUNTIFS($A$6:$A$205,A65,$C$6:$C$205,""TTM"",$AD$6:$AD$205,1)=1,G65=IFNA(INDEX(FILTER($G$6:$G$205,$A$6:$A$205="&amp;"A65,$C$6:$C$205=""TTM"",$AD$6:$AD$205=1),1),""""),I65=IFNA(INDEX(FILTER($I$6:$I$205,$A$6:$A$205=A65,$C$6:$C$205=""TTM"",$AD$6:$AD$205=1),1),""""),SUMIFS($D$6:$D$205,$A$6:$A$205,A65,$C$6:$C$205,""FY0"",$AD$6:$AD$205,1)&lt;=SUMIFS($D$6:$D$205,$A$6:$A$205,A65,$"&amp;"C$6:$C$205,""TTM"",$AD$6:$AD$205,1),SUMIFS($D$6:$D$205,$A$6:$A$205,A65,$C$6:$C$205,""TTM"",$AD$6:$AD$205,1)-SUMIFS($D$6:$D$205,$A$6:$A$205,A65,$C$6:$C$205,""FY0"",$AD$6:$AD$205,1)&lt;366,ABS(D65-EDATE(SUMIFS($D$6:$D$205,$A$6:$A$205,A65,$C$6:$C$205,""FY0"",$A"&amp;"D$6:$AD$205,1),IF(C65=""FY0"",0,IF(C65=""FY-1"",-12,-24))))&lt;=31),1,0),0))"),"")</f>
        <v/>
      </c>
    </row>
    <row r="66" ht="31.5" customHeight="1">
      <c r="A66" s="85"/>
      <c r="B66" s="86" t="str">
        <f t="array" ref="B66">IF(A66="","",IF(AB66&lt;&gt;1,"Unmatched issuer",INDEX(Companies!$C$6:$C$55,MATCH(A66,Companies!$A$6:$A$55,0))))</f>
        <v/>
      </c>
      <c r="C66" s="87"/>
      <c r="D66" s="88"/>
      <c r="E66" s="88"/>
      <c r="F66" s="88"/>
      <c r="G66" s="87"/>
      <c r="H66" s="87"/>
      <c r="I66" s="85"/>
      <c r="J66" s="89"/>
      <c r="K66" s="89"/>
      <c r="L66" s="90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90"/>
      <c r="Z66" s="85"/>
      <c r="AA66" s="85"/>
      <c r="AB66" s="86" t="str">
        <f>IF(A66="","",COUNTIF(Companies!$A$6:$A$55,A66))</f>
        <v/>
      </c>
      <c r="AC66" s="86" t="str">
        <f t="shared" si="1"/>
        <v/>
      </c>
      <c r="AD66" s="86" t="str">
        <f>IF(A66="","",IFERROR(IF(AND(AB66=1,AC66=1,AM66=1,OR(C66="TTM",C66="FY0",C66="FY-1",C66="FY-2"),ISNUMBER(D66),D66&lt;=Rules!$B$6,ISNUMBER(E66),E66&gt;=D66,E66&lt;=Rules!$B$6,ISNUMBER(F66),ABS(D66-F66-365)&lt;=31,OR(G66="US GAAP",G66="IFRS"),H66="Yes",I66&lt;&gt;"",COUNT(J66:R66)=9,J66&gt;0,L66&gt;-1,L66&lt;1,M66&gt;=0,N66&gt;=0,Q66&gt;=0,R66&gt;=0,M66+O66-Q66&gt;0,N66+P66-R66&gt;0,Z66&lt;&gt;"",AA66&lt;&gt;""),1,0),0))</f>
        <v/>
      </c>
      <c r="AE66" s="91" t="str">
        <f t="shared" si="2"/>
        <v/>
      </c>
      <c r="AF66" s="91" t="str">
        <f t="shared" si="3"/>
        <v/>
      </c>
      <c r="AG66" s="92" t="str">
        <f t="shared" si="4"/>
        <v/>
      </c>
      <c r="AH66" s="92" t="str">
        <f t="shared" si="5"/>
        <v/>
      </c>
      <c r="AI66" s="92" t="str">
        <f t="shared" si="6"/>
        <v/>
      </c>
      <c r="AJ66" s="92" t="str">
        <f t="shared" si="7"/>
        <v/>
      </c>
      <c r="AK66" s="92" t="str">
        <f t="shared" si="8"/>
        <v/>
      </c>
      <c r="AL66" s="86" t="str">
        <f t="shared" si="9"/>
        <v/>
      </c>
      <c r="AM66" s="86" t="str">
        <f t="array" ref="AM66">IF(A66="","",IF(AB66&lt;&gt;1,0,IF(AND(INDEX(Companies!$R$6:$R$55,MATCH(A66,Companies!$A$6:$A$55,0))=1,INDEX(Companies!$I$6:$I$55,MATCH(A66,Companies!$A$6:$A$55,0))&gt;=MAX(10,Rules!$B$22)),1,0)))</f>
        <v/>
      </c>
      <c r="AN66" s="86" t="str">
        <f>IFERROR(__xludf.DUMMYFUNCTION("IF(A66="""","""",IFERROR(IF(AND(OR(C66=""FY0"",C66=""FY-1"",C66=""FY-2""),AD66=1,COUNTIFS($A$6:$A$205,A66,$C$6:$C$205,""FY0"",$AD$6:$AD$205,1)=1,COUNTIFS($A$6:$A$205,A66,$C$6:$C$205,""TTM"",$AD$6:$AD$205,1)=1,G66=IFNA(INDEX(FILTER($G$6:$G$205,$A$6:$A$205="&amp;"A66,$C$6:$C$205=""TTM"",$AD$6:$AD$205=1),1),""""),I66=IFNA(INDEX(FILTER($I$6:$I$205,$A$6:$A$205=A66,$C$6:$C$205=""TTM"",$AD$6:$AD$205=1),1),""""),SUMIFS($D$6:$D$205,$A$6:$A$205,A66,$C$6:$C$205,""FY0"",$AD$6:$AD$205,1)&lt;=SUMIFS($D$6:$D$205,$A$6:$A$205,A66,$"&amp;"C$6:$C$205,""TTM"",$AD$6:$AD$205,1),SUMIFS($D$6:$D$205,$A$6:$A$205,A66,$C$6:$C$205,""TTM"",$AD$6:$AD$205,1)-SUMIFS($D$6:$D$205,$A$6:$A$205,A66,$C$6:$C$205,""FY0"",$AD$6:$AD$205,1)&lt;366,ABS(D66-EDATE(SUMIFS($D$6:$D$205,$A$6:$A$205,A66,$C$6:$C$205,""FY0"",$A"&amp;"D$6:$AD$205,1),IF(C66=""FY0"",0,IF(C66=""FY-1"",-12,-24))))&lt;=31),1,0),0))"),"")</f>
        <v/>
      </c>
    </row>
    <row r="67" ht="31.5" customHeight="1">
      <c r="A67" s="85"/>
      <c r="B67" s="86" t="str">
        <f t="array" ref="B67">IF(A67="","",IF(AB67&lt;&gt;1,"Unmatched issuer",INDEX(Companies!$C$6:$C$55,MATCH(A67,Companies!$A$6:$A$55,0))))</f>
        <v/>
      </c>
      <c r="C67" s="87"/>
      <c r="D67" s="88"/>
      <c r="E67" s="88"/>
      <c r="F67" s="88"/>
      <c r="G67" s="87"/>
      <c r="H67" s="87"/>
      <c r="I67" s="85"/>
      <c r="J67" s="89"/>
      <c r="K67" s="89"/>
      <c r="L67" s="90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90"/>
      <c r="Z67" s="85"/>
      <c r="AA67" s="85"/>
      <c r="AB67" s="86" t="str">
        <f>IF(A67="","",COUNTIF(Companies!$A$6:$A$55,A67))</f>
        <v/>
      </c>
      <c r="AC67" s="86" t="str">
        <f t="shared" si="1"/>
        <v/>
      </c>
      <c r="AD67" s="86" t="str">
        <f>IF(A67="","",IFERROR(IF(AND(AB67=1,AC67=1,AM67=1,OR(C67="TTM",C67="FY0",C67="FY-1",C67="FY-2"),ISNUMBER(D67),D67&lt;=Rules!$B$6,ISNUMBER(E67),E67&gt;=D67,E67&lt;=Rules!$B$6,ISNUMBER(F67),ABS(D67-F67-365)&lt;=31,OR(G67="US GAAP",G67="IFRS"),H67="Yes",I67&lt;&gt;"",COUNT(J67:R67)=9,J67&gt;0,L67&gt;-1,L67&lt;1,M67&gt;=0,N67&gt;=0,Q67&gt;=0,R67&gt;=0,M67+O67-Q67&gt;0,N67+P67-R67&gt;0,Z67&lt;&gt;"",AA67&lt;&gt;""),1,0),0))</f>
        <v/>
      </c>
      <c r="AE67" s="91" t="str">
        <f t="shared" si="2"/>
        <v/>
      </c>
      <c r="AF67" s="91" t="str">
        <f t="shared" si="3"/>
        <v/>
      </c>
      <c r="AG67" s="92" t="str">
        <f t="shared" si="4"/>
        <v/>
      </c>
      <c r="AH67" s="92" t="str">
        <f t="shared" si="5"/>
        <v/>
      </c>
      <c r="AI67" s="92" t="str">
        <f t="shared" si="6"/>
        <v/>
      </c>
      <c r="AJ67" s="92" t="str">
        <f t="shared" si="7"/>
        <v/>
      </c>
      <c r="AK67" s="92" t="str">
        <f t="shared" si="8"/>
        <v/>
      </c>
      <c r="AL67" s="86" t="str">
        <f t="shared" si="9"/>
        <v/>
      </c>
      <c r="AM67" s="86" t="str">
        <f t="array" ref="AM67">IF(A67="","",IF(AB67&lt;&gt;1,0,IF(AND(INDEX(Companies!$R$6:$R$55,MATCH(A67,Companies!$A$6:$A$55,0))=1,INDEX(Companies!$I$6:$I$55,MATCH(A67,Companies!$A$6:$A$55,0))&gt;=MAX(10,Rules!$B$22)),1,0)))</f>
        <v/>
      </c>
      <c r="AN67" s="86" t="str">
        <f>IFERROR(__xludf.DUMMYFUNCTION("IF(A67="""","""",IFERROR(IF(AND(OR(C67=""FY0"",C67=""FY-1"",C67=""FY-2""),AD67=1,COUNTIFS($A$6:$A$205,A67,$C$6:$C$205,""FY0"",$AD$6:$AD$205,1)=1,COUNTIFS($A$6:$A$205,A67,$C$6:$C$205,""TTM"",$AD$6:$AD$205,1)=1,G67=IFNA(INDEX(FILTER($G$6:$G$205,$A$6:$A$205="&amp;"A67,$C$6:$C$205=""TTM"",$AD$6:$AD$205=1),1),""""),I67=IFNA(INDEX(FILTER($I$6:$I$205,$A$6:$A$205=A67,$C$6:$C$205=""TTM"",$AD$6:$AD$205=1),1),""""),SUMIFS($D$6:$D$205,$A$6:$A$205,A67,$C$6:$C$205,""FY0"",$AD$6:$AD$205,1)&lt;=SUMIFS($D$6:$D$205,$A$6:$A$205,A67,$"&amp;"C$6:$C$205,""TTM"",$AD$6:$AD$205,1),SUMIFS($D$6:$D$205,$A$6:$A$205,A67,$C$6:$C$205,""TTM"",$AD$6:$AD$205,1)-SUMIFS($D$6:$D$205,$A$6:$A$205,A67,$C$6:$C$205,""FY0"",$AD$6:$AD$205,1)&lt;366,ABS(D67-EDATE(SUMIFS($D$6:$D$205,$A$6:$A$205,A67,$C$6:$C$205,""FY0"",$A"&amp;"D$6:$AD$205,1),IF(C67=""FY0"",0,IF(C67=""FY-1"",-12,-24))))&lt;=31),1,0),0))"),"")</f>
        <v/>
      </c>
    </row>
    <row r="68" ht="31.5" customHeight="1">
      <c r="A68" s="85"/>
      <c r="B68" s="86" t="str">
        <f t="array" ref="B68">IF(A68="","",IF(AB68&lt;&gt;1,"Unmatched issuer",INDEX(Companies!$C$6:$C$55,MATCH(A68,Companies!$A$6:$A$55,0))))</f>
        <v/>
      </c>
      <c r="C68" s="87"/>
      <c r="D68" s="88"/>
      <c r="E68" s="88"/>
      <c r="F68" s="88"/>
      <c r="G68" s="87"/>
      <c r="H68" s="87"/>
      <c r="I68" s="85"/>
      <c r="J68" s="89"/>
      <c r="K68" s="89"/>
      <c r="L68" s="90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90"/>
      <c r="Z68" s="85"/>
      <c r="AA68" s="85"/>
      <c r="AB68" s="86" t="str">
        <f>IF(A68="","",COUNTIF(Companies!$A$6:$A$55,A68))</f>
        <v/>
      </c>
      <c r="AC68" s="86" t="str">
        <f t="shared" si="1"/>
        <v/>
      </c>
      <c r="AD68" s="86" t="str">
        <f>IF(A68="","",IFERROR(IF(AND(AB68=1,AC68=1,AM68=1,OR(C68="TTM",C68="FY0",C68="FY-1",C68="FY-2"),ISNUMBER(D68),D68&lt;=Rules!$B$6,ISNUMBER(E68),E68&gt;=D68,E68&lt;=Rules!$B$6,ISNUMBER(F68),ABS(D68-F68-365)&lt;=31,OR(G68="US GAAP",G68="IFRS"),H68="Yes",I68&lt;&gt;"",COUNT(J68:R68)=9,J68&gt;0,L68&gt;-1,L68&lt;1,M68&gt;=0,N68&gt;=0,Q68&gt;=0,R68&gt;=0,M68+O68-Q68&gt;0,N68+P68-R68&gt;0,Z68&lt;&gt;"",AA68&lt;&gt;""),1,0),0))</f>
        <v/>
      </c>
      <c r="AE68" s="91" t="str">
        <f t="shared" si="2"/>
        <v/>
      </c>
      <c r="AF68" s="91" t="str">
        <f t="shared" si="3"/>
        <v/>
      </c>
      <c r="AG68" s="92" t="str">
        <f t="shared" si="4"/>
        <v/>
      </c>
      <c r="AH68" s="92" t="str">
        <f t="shared" si="5"/>
        <v/>
      </c>
      <c r="AI68" s="92" t="str">
        <f t="shared" si="6"/>
        <v/>
      </c>
      <c r="AJ68" s="92" t="str">
        <f t="shared" si="7"/>
        <v/>
      </c>
      <c r="AK68" s="92" t="str">
        <f t="shared" si="8"/>
        <v/>
      </c>
      <c r="AL68" s="86" t="str">
        <f t="shared" si="9"/>
        <v/>
      </c>
      <c r="AM68" s="86" t="str">
        <f t="array" ref="AM68">IF(A68="","",IF(AB68&lt;&gt;1,0,IF(AND(INDEX(Companies!$R$6:$R$55,MATCH(A68,Companies!$A$6:$A$55,0))=1,INDEX(Companies!$I$6:$I$55,MATCH(A68,Companies!$A$6:$A$55,0))&gt;=MAX(10,Rules!$B$22)),1,0)))</f>
        <v/>
      </c>
      <c r="AN68" s="86" t="str">
        <f>IFERROR(__xludf.DUMMYFUNCTION("IF(A68="""","""",IFERROR(IF(AND(OR(C68=""FY0"",C68=""FY-1"",C68=""FY-2""),AD68=1,COUNTIFS($A$6:$A$205,A68,$C$6:$C$205,""FY0"",$AD$6:$AD$205,1)=1,COUNTIFS($A$6:$A$205,A68,$C$6:$C$205,""TTM"",$AD$6:$AD$205,1)=1,G68=IFNA(INDEX(FILTER($G$6:$G$205,$A$6:$A$205="&amp;"A68,$C$6:$C$205=""TTM"",$AD$6:$AD$205=1),1),""""),I68=IFNA(INDEX(FILTER($I$6:$I$205,$A$6:$A$205=A68,$C$6:$C$205=""TTM"",$AD$6:$AD$205=1),1),""""),SUMIFS($D$6:$D$205,$A$6:$A$205,A68,$C$6:$C$205,""FY0"",$AD$6:$AD$205,1)&lt;=SUMIFS($D$6:$D$205,$A$6:$A$205,A68,$"&amp;"C$6:$C$205,""TTM"",$AD$6:$AD$205,1),SUMIFS($D$6:$D$205,$A$6:$A$205,A68,$C$6:$C$205,""TTM"",$AD$6:$AD$205,1)-SUMIFS($D$6:$D$205,$A$6:$A$205,A68,$C$6:$C$205,""FY0"",$AD$6:$AD$205,1)&lt;366,ABS(D68-EDATE(SUMIFS($D$6:$D$205,$A$6:$A$205,A68,$C$6:$C$205,""FY0"",$A"&amp;"D$6:$AD$205,1),IF(C68=""FY0"",0,IF(C68=""FY-1"",-12,-24))))&lt;=31),1,0),0))"),"")</f>
        <v/>
      </c>
    </row>
    <row r="69" ht="31.5" customHeight="1">
      <c r="A69" s="85"/>
      <c r="B69" s="86" t="str">
        <f t="array" ref="B69">IF(A69="","",IF(AB69&lt;&gt;1,"Unmatched issuer",INDEX(Companies!$C$6:$C$55,MATCH(A69,Companies!$A$6:$A$55,0))))</f>
        <v/>
      </c>
      <c r="C69" s="87"/>
      <c r="D69" s="88"/>
      <c r="E69" s="88"/>
      <c r="F69" s="88"/>
      <c r="G69" s="87"/>
      <c r="H69" s="87"/>
      <c r="I69" s="85"/>
      <c r="J69" s="89"/>
      <c r="K69" s="89"/>
      <c r="L69" s="90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90"/>
      <c r="Z69" s="85"/>
      <c r="AA69" s="85"/>
      <c r="AB69" s="86" t="str">
        <f>IF(A69="","",COUNTIF(Companies!$A$6:$A$55,A69))</f>
        <v/>
      </c>
      <c r="AC69" s="86" t="str">
        <f t="shared" si="1"/>
        <v/>
      </c>
      <c r="AD69" s="86" t="str">
        <f>IF(A69="","",IFERROR(IF(AND(AB69=1,AC69=1,AM69=1,OR(C69="TTM",C69="FY0",C69="FY-1",C69="FY-2"),ISNUMBER(D69),D69&lt;=Rules!$B$6,ISNUMBER(E69),E69&gt;=D69,E69&lt;=Rules!$B$6,ISNUMBER(F69),ABS(D69-F69-365)&lt;=31,OR(G69="US GAAP",G69="IFRS"),H69="Yes",I69&lt;&gt;"",COUNT(J69:R69)=9,J69&gt;0,L69&gt;-1,L69&lt;1,M69&gt;=0,N69&gt;=0,Q69&gt;=0,R69&gt;=0,M69+O69-Q69&gt;0,N69+P69-R69&gt;0,Z69&lt;&gt;"",AA69&lt;&gt;""),1,0),0))</f>
        <v/>
      </c>
      <c r="AE69" s="91" t="str">
        <f t="shared" si="2"/>
        <v/>
      </c>
      <c r="AF69" s="91" t="str">
        <f t="shared" si="3"/>
        <v/>
      </c>
      <c r="AG69" s="92" t="str">
        <f t="shared" si="4"/>
        <v/>
      </c>
      <c r="AH69" s="92" t="str">
        <f t="shared" si="5"/>
        <v/>
      </c>
      <c r="AI69" s="92" t="str">
        <f t="shared" si="6"/>
        <v/>
      </c>
      <c r="AJ69" s="92" t="str">
        <f t="shared" si="7"/>
        <v/>
      </c>
      <c r="AK69" s="92" t="str">
        <f t="shared" si="8"/>
        <v/>
      </c>
      <c r="AL69" s="86" t="str">
        <f t="shared" si="9"/>
        <v/>
      </c>
      <c r="AM69" s="86" t="str">
        <f t="array" ref="AM69">IF(A69="","",IF(AB69&lt;&gt;1,0,IF(AND(INDEX(Companies!$R$6:$R$55,MATCH(A69,Companies!$A$6:$A$55,0))=1,INDEX(Companies!$I$6:$I$55,MATCH(A69,Companies!$A$6:$A$55,0))&gt;=MAX(10,Rules!$B$22)),1,0)))</f>
        <v/>
      </c>
      <c r="AN69" s="86" t="str">
        <f>IFERROR(__xludf.DUMMYFUNCTION("IF(A69="""","""",IFERROR(IF(AND(OR(C69=""FY0"",C69=""FY-1"",C69=""FY-2""),AD69=1,COUNTIFS($A$6:$A$205,A69,$C$6:$C$205,""FY0"",$AD$6:$AD$205,1)=1,COUNTIFS($A$6:$A$205,A69,$C$6:$C$205,""TTM"",$AD$6:$AD$205,1)=1,G69=IFNA(INDEX(FILTER($G$6:$G$205,$A$6:$A$205="&amp;"A69,$C$6:$C$205=""TTM"",$AD$6:$AD$205=1),1),""""),I69=IFNA(INDEX(FILTER($I$6:$I$205,$A$6:$A$205=A69,$C$6:$C$205=""TTM"",$AD$6:$AD$205=1),1),""""),SUMIFS($D$6:$D$205,$A$6:$A$205,A69,$C$6:$C$205,""FY0"",$AD$6:$AD$205,1)&lt;=SUMIFS($D$6:$D$205,$A$6:$A$205,A69,$"&amp;"C$6:$C$205,""TTM"",$AD$6:$AD$205,1),SUMIFS($D$6:$D$205,$A$6:$A$205,A69,$C$6:$C$205,""TTM"",$AD$6:$AD$205,1)-SUMIFS($D$6:$D$205,$A$6:$A$205,A69,$C$6:$C$205,""FY0"",$AD$6:$AD$205,1)&lt;366,ABS(D69-EDATE(SUMIFS($D$6:$D$205,$A$6:$A$205,A69,$C$6:$C$205,""FY0"",$A"&amp;"D$6:$AD$205,1),IF(C69=""FY0"",0,IF(C69=""FY-1"",-12,-24))))&lt;=31),1,0),0))"),"")</f>
        <v/>
      </c>
    </row>
    <row r="70" ht="31.5" customHeight="1">
      <c r="A70" s="85"/>
      <c r="B70" s="86" t="str">
        <f t="array" ref="B70">IF(A70="","",IF(AB70&lt;&gt;1,"Unmatched issuer",INDEX(Companies!$C$6:$C$55,MATCH(A70,Companies!$A$6:$A$55,0))))</f>
        <v/>
      </c>
      <c r="C70" s="87"/>
      <c r="D70" s="88"/>
      <c r="E70" s="88"/>
      <c r="F70" s="88"/>
      <c r="G70" s="87"/>
      <c r="H70" s="87"/>
      <c r="I70" s="85"/>
      <c r="J70" s="89"/>
      <c r="K70" s="89"/>
      <c r="L70" s="90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90"/>
      <c r="Z70" s="85"/>
      <c r="AA70" s="85"/>
      <c r="AB70" s="86" t="str">
        <f>IF(A70="","",COUNTIF(Companies!$A$6:$A$55,A70))</f>
        <v/>
      </c>
      <c r="AC70" s="86" t="str">
        <f t="shared" si="1"/>
        <v/>
      </c>
      <c r="AD70" s="86" t="str">
        <f>IF(A70="","",IFERROR(IF(AND(AB70=1,AC70=1,AM70=1,OR(C70="TTM",C70="FY0",C70="FY-1",C70="FY-2"),ISNUMBER(D70),D70&lt;=Rules!$B$6,ISNUMBER(E70),E70&gt;=D70,E70&lt;=Rules!$B$6,ISNUMBER(F70),ABS(D70-F70-365)&lt;=31,OR(G70="US GAAP",G70="IFRS"),H70="Yes",I70&lt;&gt;"",COUNT(J70:R70)=9,J70&gt;0,L70&gt;-1,L70&lt;1,M70&gt;=0,N70&gt;=0,Q70&gt;=0,R70&gt;=0,M70+O70-Q70&gt;0,N70+P70-R70&gt;0,Z70&lt;&gt;"",AA70&lt;&gt;""),1,0),0))</f>
        <v/>
      </c>
      <c r="AE70" s="91" t="str">
        <f t="shared" si="2"/>
        <v/>
      </c>
      <c r="AF70" s="91" t="str">
        <f t="shared" si="3"/>
        <v/>
      </c>
      <c r="AG70" s="92" t="str">
        <f t="shared" si="4"/>
        <v/>
      </c>
      <c r="AH70" s="92" t="str">
        <f t="shared" si="5"/>
        <v/>
      </c>
      <c r="AI70" s="92" t="str">
        <f t="shared" si="6"/>
        <v/>
      </c>
      <c r="AJ70" s="92" t="str">
        <f t="shared" si="7"/>
        <v/>
      </c>
      <c r="AK70" s="92" t="str">
        <f t="shared" si="8"/>
        <v/>
      </c>
      <c r="AL70" s="86" t="str">
        <f t="shared" si="9"/>
        <v/>
      </c>
      <c r="AM70" s="86" t="str">
        <f t="array" ref="AM70">IF(A70="","",IF(AB70&lt;&gt;1,0,IF(AND(INDEX(Companies!$R$6:$R$55,MATCH(A70,Companies!$A$6:$A$55,0))=1,INDEX(Companies!$I$6:$I$55,MATCH(A70,Companies!$A$6:$A$55,0))&gt;=MAX(10,Rules!$B$22)),1,0)))</f>
        <v/>
      </c>
      <c r="AN70" s="86" t="str">
        <f>IFERROR(__xludf.DUMMYFUNCTION("IF(A70="""","""",IFERROR(IF(AND(OR(C70=""FY0"",C70=""FY-1"",C70=""FY-2""),AD70=1,COUNTIFS($A$6:$A$205,A70,$C$6:$C$205,""FY0"",$AD$6:$AD$205,1)=1,COUNTIFS($A$6:$A$205,A70,$C$6:$C$205,""TTM"",$AD$6:$AD$205,1)=1,G70=IFNA(INDEX(FILTER($G$6:$G$205,$A$6:$A$205="&amp;"A70,$C$6:$C$205=""TTM"",$AD$6:$AD$205=1),1),""""),I70=IFNA(INDEX(FILTER($I$6:$I$205,$A$6:$A$205=A70,$C$6:$C$205=""TTM"",$AD$6:$AD$205=1),1),""""),SUMIFS($D$6:$D$205,$A$6:$A$205,A70,$C$6:$C$205,""FY0"",$AD$6:$AD$205,1)&lt;=SUMIFS($D$6:$D$205,$A$6:$A$205,A70,$"&amp;"C$6:$C$205,""TTM"",$AD$6:$AD$205,1),SUMIFS($D$6:$D$205,$A$6:$A$205,A70,$C$6:$C$205,""TTM"",$AD$6:$AD$205,1)-SUMIFS($D$6:$D$205,$A$6:$A$205,A70,$C$6:$C$205,""FY0"",$AD$6:$AD$205,1)&lt;366,ABS(D70-EDATE(SUMIFS($D$6:$D$205,$A$6:$A$205,A70,$C$6:$C$205,""FY0"",$A"&amp;"D$6:$AD$205,1),IF(C70=""FY0"",0,IF(C70=""FY-1"",-12,-24))))&lt;=31),1,0),0))"),"")</f>
        <v/>
      </c>
    </row>
    <row r="71" ht="31.5" customHeight="1">
      <c r="A71" s="85"/>
      <c r="B71" s="86" t="str">
        <f t="array" ref="B71">IF(A71="","",IF(AB71&lt;&gt;1,"Unmatched issuer",INDEX(Companies!$C$6:$C$55,MATCH(A71,Companies!$A$6:$A$55,0))))</f>
        <v/>
      </c>
      <c r="C71" s="87"/>
      <c r="D71" s="88"/>
      <c r="E71" s="88"/>
      <c r="F71" s="88"/>
      <c r="G71" s="87"/>
      <c r="H71" s="87"/>
      <c r="I71" s="85"/>
      <c r="J71" s="89"/>
      <c r="K71" s="89"/>
      <c r="L71" s="90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90"/>
      <c r="Z71" s="85"/>
      <c r="AA71" s="85"/>
      <c r="AB71" s="86" t="str">
        <f>IF(A71="","",COUNTIF(Companies!$A$6:$A$55,A71))</f>
        <v/>
      </c>
      <c r="AC71" s="86" t="str">
        <f t="shared" si="1"/>
        <v/>
      </c>
      <c r="AD71" s="86" t="str">
        <f>IF(A71="","",IFERROR(IF(AND(AB71=1,AC71=1,AM71=1,OR(C71="TTM",C71="FY0",C71="FY-1",C71="FY-2"),ISNUMBER(D71),D71&lt;=Rules!$B$6,ISNUMBER(E71),E71&gt;=D71,E71&lt;=Rules!$B$6,ISNUMBER(F71),ABS(D71-F71-365)&lt;=31,OR(G71="US GAAP",G71="IFRS"),H71="Yes",I71&lt;&gt;"",COUNT(J71:R71)=9,J71&gt;0,L71&gt;-1,L71&lt;1,M71&gt;=0,N71&gt;=0,Q71&gt;=0,R71&gt;=0,M71+O71-Q71&gt;0,N71+P71-R71&gt;0,Z71&lt;&gt;"",AA71&lt;&gt;""),1,0),0))</f>
        <v/>
      </c>
      <c r="AE71" s="91" t="str">
        <f t="shared" si="2"/>
        <v/>
      </c>
      <c r="AF71" s="91" t="str">
        <f t="shared" si="3"/>
        <v/>
      </c>
      <c r="AG71" s="92" t="str">
        <f t="shared" si="4"/>
        <v/>
      </c>
      <c r="AH71" s="92" t="str">
        <f t="shared" si="5"/>
        <v/>
      </c>
      <c r="AI71" s="92" t="str">
        <f t="shared" si="6"/>
        <v/>
      </c>
      <c r="AJ71" s="92" t="str">
        <f t="shared" si="7"/>
        <v/>
      </c>
      <c r="AK71" s="92" t="str">
        <f t="shared" si="8"/>
        <v/>
      </c>
      <c r="AL71" s="86" t="str">
        <f t="shared" si="9"/>
        <v/>
      </c>
      <c r="AM71" s="86" t="str">
        <f t="array" ref="AM71">IF(A71="","",IF(AB71&lt;&gt;1,0,IF(AND(INDEX(Companies!$R$6:$R$55,MATCH(A71,Companies!$A$6:$A$55,0))=1,INDEX(Companies!$I$6:$I$55,MATCH(A71,Companies!$A$6:$A$55,0))&gt;=MAX(10,Rules!$B$22)),1,0)))</f>
        <v/>
      </c>
      <c r="AN71" s="86" t="str">
        <f>IFERROR(__xludf.DUMMYFUNCTION("IF(A71="""","""",IFERROR(IF(AND(OR(C71=""FY0"",C71=""FY-1"",C71=""FY-2""),AD71=1,COUNTIFS($A$6:$A$205,A71,$C$6:$C$205,""FY0"",$AD$6:$AD$205,1)=1,COUNTIFS($A$6:$A$205,A71,$C$6:$C$205,""TTM"",$AD$6:$AD$205,1)=1,G71=IFNA(INDEX(FILTER($G$6:$G$205,$A$6:$A$205="&amp;"A71,$C$6:$C$205=""TTM"",$AD$6:$AD$205=1),1),""""),I71=IFNA(INDEX(FILTER($I$6:$I$205,$A$6:$A$205=A71,$C$6:$C$205=""TTM"",$AD$6:$AD$205=1),1),""""),SUMIFS($D$6:$D$205,$A$6:$A$205,A71,$C$6:$C$205,""FY0"",$AD$6:$AD$205,1)&lt;=SUMIFS($D$6:$D$205,$A$6:$A$205,A71,$"&amp;"C$6:$C$205,""TTM"",$AD$6:$AD$205,1),SUMIFS($D$6:$D$205,$A$6:$A$205,A71,$C$6:$C$205,""TTM"",$AD$6:$AD$205,1)-SUMIFS($D$6:$D$205,$A$6:$A$205,A71,$C$6:$C$205,""FY0"",$AD$6:$AD$205,1)&lt;366,ABS(D71-EDATE(SUMIFS($D$6:$D$205,$A$6:$A$205,A71,$C$6:$C$205,""FY0"",$A"&amp;"D$6:$AD$205,1),IF(C71=""FY0"",0,IF(C71=""FY-1"",-12,-24))))&lt;=31),1,0),0))"),"")</f>
        <v/>
      </c>
    </row>
    <row r="72" ht="31.5" customHeight="1">
      <c r="A72" s="85"/>
      <c r="B72" s="86" t="str">
        <f t="array" ref="B72">IF(A72="","",IF(AB72&lt;&gt;1,"Unmatched issuer",INDEX(Companies!$C$6:$C$55,MATCH(A72,Companies!$A$6:$A$55,0))))</f>
        <v/>
      </c>
      <c r="C72" s="87"/>
      <c r="D72" s="88"/>
      <c r="E72" s="88"/>
      <c r="F72" s="88"/>
      <c r="G72" s="87"/>
      <c r="H72" s="87"/>
      <c r="I72" s="85"/>
      <c r="J72" s="89"/>
      <c r="K72" s="89"/>
      <c r="L72" s="90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90"/>
      <c r="Z72" s="85"/>
      <c r="AA72" s="85"/>
      <c r="AB72" s="86" t="str">
        <f>IF(A72="","",COUNTIF(Companies!$A$6:$A$55,A72))</f>
        <v/>
      </c>
      <c r="AC72" s="86" t="str">
        <f t="shared" si="1"/>
        <v/>
      </c>
      <c r="AD72" s="86" t="str">
        <f>IF(A72="","",IFERROR(IF(AND(AB72=1,AC72=1,AM72=1,OR(C72="TTM",C72="FY0",C72="FY-1",C72="FY-2"),ISNUMBER(D72),D72&lt;=Rules!$B$6,ISNUMBER(E72),E72&gt;=D72,E72&lt;=Rules!$B$6,ISNUMBER(F72),ABS(D72-F72-365)&lt;=31,OR(G72="US GAAP",G72="IFRS"),H72="Yes",I72&lt;&gt;"",COUNT(J72:R72)=9,J72&gt;0,L72&gt;-1,L72&lt;1,M72&gt;=0,N72&gt;=0,Q72&gt;=0,R72&gt;=0,M72+O72-Q72&gt;0,N72+P72-R72&gt;0,Z72&lt;&gt;"",AA72&lt;&gt;""),1,0),0))</f>
        <v/>
      </c>
      <c r="AE72" s="91" t="str">
        <f t="shared" si="2"/>
        <v/>
      </c>
      <c r="AF72" s="91" t="str">
        <f t="shared" si="3"/>
        <v/>
      </c>
      <c r="AG72" s="92" t="str">
        <f t="shared" si="4"/>
        <v/>
      </c>
      <c r="AH72" s="92" t="str">
        <f t="shared" si="5"/>
        <v/>
      </c>
      <c r="AI72" s="92" t="str">
        <f t="shared" si="6"/>
        <v/>
      </c>
      <c r="AJ72" s="92" t="str">
        <f t="shared" si="7"/>
        <v/>
      </c>
      <c r="AK72" s="92" t="str">
        <f t="shared" si="8"/>
        <v/>
      </c>
      <c r="AL72" s="86" t="str">
        <f t="shared" si="9"/>
        <v/>
      </c>
      <c r="AM72" s="86" t="str">
        <f t="array" ref="AM72">IF(A72="","",IF(AB72&lt;&gt;1,0,IF(AND(INDEX(Companies!$R$6:$R$55,MATCH(A72,Companies!$A$6:$A$55,0))=1,INDEX(Companies!$I$6:$I$55,MATCH(A72,Companies!$A$6:$A$55,0))&gt;=MAX(10,Rules!$B$22)),1,0)))</f>
        <v/>
      </c>
      <c r="AN72" s="86" t="str">
        <f>IFERROR(__xludf.DUMMYFUNCTION("IF(A72="""","""",IFERROR(IF(AND(OR(C72=""FY0"",C72=""FY-1"",C72=""FY-2""),AD72=1,COUNTIFS($A$6:$A$205,A72,$C$6:$C$205,""FY0"",$AD$6:$AD$205,1)=1,COUNTIFS($A$6:$A$205,A72,$C$6:$C$205,""TTM"",$AD$6:$AD$205,1)=1,G72=IFNA(INDEX(FILTER($G$6:$G$205,$A$6:$A$205="&amp;"A72,$C$6:$C$205=""TTM"",$AD$6:$AD$205=1),1),""""),I72=IFNA(INDEX(FILTER($I$6:$I$205,$A$6:$A$205=A72,$C$6:$C$205=""TTM"",$AD$6:$AD$205=1),1),""""),SUMIFS($D$6:$D$205,$A$6:$A$205,A72,$C$6:$C$205,""FY0"",$AD$6:$AD$205,1)&lt;=SUMIFS($D$6:$D$205,$A$6:$A$205,A72,$"&amp;"C$6:$C$205,""TTM"",$AD$6:$AD$205,1),SUMIFS($D$6:$D$205,$A$6:$A$205,A72,$C$6:$C$205,""TTM"",$AD$6:$AD$205,1)-SUMIFS($D$6:$D$205,$A$6:$A$205,A72,$C$6:$C$205,""FY0"",$AD$6:$AD$205,1)&lt;366,ABS(D72-EDATE(SUMIFS($D$6:$D$205,$A$6:$A$205,A72,$C$6:$C$205,""FY0"",$A"&amp;"D$6:$AD$205,1),IF(C72=""FY0"",0,IF(C72=""FY-1"",-12,-24))))&lt;=31),1,0),0))"),"")</f>
        <v/>
      </c>
    </row>
    <row r="73" ht="31.5" customHeight="1">
      <c r="A73" s="85"/>
      <c r="B73" s="86" t="str">
        <f t="array" ref="B73">IF(A73="","",IF(AB73&lt;&gt;1,"Unmatched issuer",INDEX(Companies!$C$6:$C$55,MATCH(A73,Companies!$A$6:$A$55,0))))</f>
        <v/>
      </c>
      <c r="C73" s="87"/>
      <c r="D73" s="88"/>
      <c r="E73" s="88"/>
      <c r="F73" s="88"/>
      <c r="G73" s="87"/>
      <c r="H73" s="87"/>
      <c r="I73" s="85"/>
      <c r="J73" s="89"/>
      <c r="K73" s="89"/>
      <c r="L73" s="90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90"/>
      <c r="Z73" s="85"/>
      <c r="AA73" s="85"/>
      <c r="AB73" s="86" t="str">
        <f>IF(A73="","",COUNTIF(Companies!$A$6:$A$55,A73))</f>
        <v/>
      </c>
      <c r="AC73" s="86" t="str">
        <f t="shared" si="1"/>
        <v/>
      </c>
      <c r="AD73" s="86" t="str">
        <f>IF(A73="","",IFERROR(IF(AND(AB73=1,AC73=1,AM73=1,OR(C73="TTM",C73="FY0",C73="FY-1",C73="FY-2"),ISNUMBER(D73),D73&lt;=Rules!$B$6,ISNUMBER(E73),E73&gt;=D73,E73&lt;=Rules!$B$6,ISNUMBER(F73),ABS(D73-F73-365)&lt;=31,OR(G73="US GAAP",G73="IFRS"),H73="Yes",I73&lt;&gt;"",COUNT(J73:R73)=9,J73&gt;0,L73&gt;-1,L73&lt;1,M73&gt;=0,N73&gt;=0,Q73&gt;=0,R73&gt;=0,M73+O73-Q73&gt;0,N73+P73-R73&gt;0,Z73&lt;&gt;"",AA73&lt;&gt;""),1,0),0))</f>
        <v/>
      </c>
      <c r="AE73" s="91" t="str">
        <f t="shared" si="2"/>
        <v/>
      </c>
      <c r="AF73" s="91" t="str">
        <f t="shared" si="3"/>
        <v/>
      </c>
      <c r="AG73" s="92" t="str">
        <f t="shared" si="4"/>
        <v/>
      </c>
      <c r="AH73" s="92" t="str">
        <f t="shared" si="5"/>
        <v/>
      </c>
      <c r="AI73" s="92" t="str">
        <f t="shared" si="6"/>
        <v/>
      </c>
      <c r="AJ73" s="92" t="str">
        <f t="shared" si="7"/>
        <v/>
      </c>
      <c r="AK73" s="92" t="str">
        <f t="shared" si="8"/>
        <v/>
      </c>
      <c r="AL73" s="86" t="str">
        <f t="shared" si="9"/>
        <v/>
      </c>
      <c r="AM73" s="86" t="str">
        <f t="array" ref="AM73">IF(A73="","",IF(AB73&lt;&gt;1,0,IF(AND(INDEX(Companies!$R$6:$R$55,MATCH(A73,Companies!$A$6:$A$55,0))=1,INDEX(Companies!$I$6:$I$55,MATCH(A73,Companies!$A$6:$A$55,0))&gt;=MAX(10,Rules!$B$22)),1,0)))</f>
        <v/>
      </c>
      <c r="AN73" s="86" t="str">
        <f>IFERROR(__xludf.DUMMYFUNCTION("IF(A73="""","""",IFERROR(IF(AND(OR(C73=""FY0"",C73=""FY-1"",C73=""FY-2""),AD73=1,COUNTIFS($A$6:$A$205,A73,$C$6:$C$205,""FY0"",$AD$6:$AD$205,1)=1,COUNTIFS($A$6:$A$205,A73,$C$6:$C$205,""TTM"",$AD$6:$AD$205,1)=1,G73=IFNA(INDEX(FILTER($G$6:$G$205,$A$6:$A$205="&amp;"A73,$C$6:$C$205=""TTM"",$AD$6:$AD$205=1),1),""""),I73=IFNA(INDEX(FILTER($I$6:$I$205,$A$6:$A$205=A73,$C$6:$C$205=""TTM"",$AD$6:$AD$205=1),1),""""),SUMIFS($D$6:$D$205,$A$6:$A$205,A73,$C$6:$C$205,""FY0"",$AD$6:$AD$205,1)&lt;=SUMIFS($D$6:$D$205,$A$6:$A$205,A73,$"&amp;"C$6:$C$205,""TTM"",$AD$6:$AD$205,1),SUMIFS($D$6:$D$205,$A$6:$A$205,A73,$C$6:$C$205,""TTM"",$AD$6:$AD$205,1)-SUMIFS($D$6:$D$205,$A$6:$A$205,A73,$C$6:$C$205,""FY0"",$AD$6:$AD$205,1)&lt;366,ABS(D73-EDATE(SUMIFS($D$6:$D$205,$A$6:$A$205,A73,$C$6:$C$205,""FY0"",$A"&amp;"D$6:$AD$205,1),IF(C73=""FY0"",0,IF(C73=""FY-1"",-12,-24))))&lt;=31),1,0),0))"),"")</f>
        <v/>
      </c>
    </row>
    <row r="74" ht="31.5" customHeight="1">
      <c r="A74" s="85"/>
      <c r="B74" s="86" t="str">
        <f t="array" ref="B74">IF(A74="","",IF(AB74&lt;&gt;1,"Unmatched issuer",INDEX(Companies!$C$6:$C$55,MATCH(A74,Companies!$A$6:$A$55,0))))</f>
        <v/>
      </c>
      <c r="C74" s="87"/>
      <c r="D74" s="88"/>
      <c r="E74" s="88"/>
      <c r="F74" s="88"/>
      <c r="G74" s="87"/>
      <c r="H74" s="87"/>
      <c r="I74" s="85"/>
      <c r="J74" s="89"/>
      <c r="K74" s="89"/>
      <c r="L74" s="90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90"/>
      <c r="Z74" s="85"/>
      <c r="AA74" s="85"/>
      <c r="AB74" s="86" t="str">
        <f>IF(A74="","",COUNTIF(Companies!$A$6:$A$55,A74))</f>
        <v/>
      </c>
      <c r="AC74" s="86" t="str">
        <f t="shared" si="1"/>
        <v/>
      </c>
      <c r="AD74" s="86" t="str">
        <f>IF(A74="","",IFERROR(IF(AND(AB74=1,AC74=1,AM74=1,OR(C74="TTM",C74="FY0",C74="FY-1",C74="FY-2"),ISNUMBER(D74),D74&lt;=Rules!$B$6,ISNUMBER(E74),E74&gt;=D74,E74&lt;=Rules!$B$6,ISNUMBER(F74),ABS(D74-F74-365)&lt;=31,OR(G74="US GAAP",G74="IFRS"),H74="Yes",I74&lt;&gt;"",COUNT(J74:R74)=9,J74&gt;0,L74&gt;-1,L74&lt;1,M74&gt;=0,N74&gt;=0,Q74&gt;=0,R74&gt;=0,M74+O74-Q74&gt;0,N74+P74-R74&gt;0,Z74&lt;&gt;"",AA74&lt;&gt;""),1,0),0))</f>
        <v/>
      </c>
      <c r="AE74" s="91" t="str">
        <f t="shared" si="2"/>
        <v/>
      </c>
      <c r="AF74" s="91" t="str">
        <f t="shared" si="3"/>
        <v/>
      </c>
      <c r="AG74" s="92" t="str">
        <f t="shared" si="4"/>
        <v/>
      </c>
      <c r="AH74" s="92" t="str">
        <f t="shared" si="5"/>
        <v/>
      </c>
      <c r="AI74" s="92" t="str">
        <f t="shared" si="6"/>
        <v/>
      </c>
      <c r="AJ74" s="92" t="str">
        <f t="shared" si="7"/>
        <v/>
      </c>
      <c r="AK74" s="92" t="str">
        <f t="shared" si="8"/>
        <v/>
      </c>
      <c r="AL74" s="86" t="str">
        <f t="shared" si="9"/>
        <v/>
      </c>
      <c r="AM74" s="86" t="str">
        <f t="array" ref="AM74">IF(A74="","",IF(AB74&lt;&gt;1,0,IF(AND(INDEX(Companies!$R$6:$R$55,MATCH(A74,Companies!$A$6:$A$55,0))=1,INDEX(Companies!$I$6:$I$55,MATCH(A74,Companies!$A$6:$A$55,0))&gt;=MAX(10,Rules!$B$22)),1,0)))</f>
        <v/>
      </c>
      <c r="AN74" s="86" t="str">
        <f>IFERROR(__xludf.DUMMYFUNCTION("IF(A74="""","""",IFERROR(IF(AND(OR(C74=""FY0"",C74=""FY-1"",C74=""FY-2""),AD74=1,COUNTIFS($A$6:$A$205,A74,$C$6:$C$205,""FY0"",$AD$6:$AD$205,1)=1,COUNTIFS($A$6:$A$205,A74,$C$6:$C$205,""TTM"",$AD$6:$AD$205,1)=1,G74=IFNA(INDEX(FILTER($G$6:$G$205,$A$6:$A$205="&amp;"A74,$C$6:$C$205=""TTM"",$AD$6:$AD$205=1),1),""""),I74=IFNA(INDEX(FILTER($I$6:$I$205,$A$6:$A$205=A74,$C$6:$C$205=""TTM"",$AD$6:$AD$205=1),1),""""),SUMIFS($D$6:$D$205,$A$6:$A$205,A74,$C$6:$C$205,""FY0"",$AD$6:$AD$205,1)&lt;=SUMIFS($D$6:$D$205,$A$6:$A$205,A74,$"&amp;"C$6:$C$205,""TTM"",$AD$6:$AD$205,1),SUMIFS($D$6:$D$205,$A$6:$A$205,A74,$C$6:$C$205,""TTM"",$AD$6:$AD$205,1)-SUMIFS($D$6:$D$205,$A$6:$A$205,A74,$C$6:$C$205,""FY0"",$AD$6:$AD$205,1)&lt;366,ABS(D74-EDATE(SUMIFS($D$6:$D$205,$A$6:$A$205,A74,$C$6:$C$205,""FY0"",$A"&amp;"D$6:$AD$205,1),IF(C74=""FY0"",0,IF(C74=""FY-1"",-12,-24))))&lt;=31),1,0),0))"),"")</f>
        <v/>
      </c>
    </row>
    <row r="75" ht="31.5" customHeight="1">
      <c r="A75" s="85"/>
      <c r="B75" s="86" t="str">
        <f t="array" ref="B75">IF(A75="","",IF(AB75&lt;&gt;1,"Unmatched issuer",INDEX(Companies!$C$6:$C$55,MATCH(A75,Companies!$A$6:$A$55,0))))</f>
        <v/>
      </c>
      <c r="C75" s="87"/>
      <c r="D75" s="88"/>
      <c r="E75" s="88"/>
      <c r="F75" s="88"/>
      <c r="G75" s="87"/>
      <c r="H75" s="87"/>
      <c r="I75" s="85"/>
      <c r="J75" s="89"/>
      <c r="K75" s="89"/>
      <c r="L75" s="90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90"/>
      <c r="Z75" s="85"/>
      <c r="AA75" s="85"/>
      <c r="AB75" s="86" t="str">
        <f>IF(A75="","",COUNTIF(Companies!$A$6:$A$55,A75))</f>
        <v/>
      </c>
      <c r="AC75" s="86" t="str">
        <f t="shared" si="1"/>
        <v/>
      </c>
      <c r="AD75" s="86" t="str">
        <f>IF(A75="","",IFERROR(IF(AND(AB75=1,AC75=1,AM75=1,OR(C75="TTM",C75="FY0",C75="FY-1",C75="FY-2"),ISNUMBER(D75),D75&lt;=Rules!$B$6,ISNUMBER(E75),E75&gt;=D75,E75&lt;=Rules!$B$6,ISNUMBER(F75),ABS(D75-F75-365)&lt;=31,OR(G75="US GAAP",G75="IFRS"),H75="Yes",I75&lt;&gt;"",COUNT(J75:R75)=9,J75&gt;0,L75&gt;-1,L75&lt;1,M75&gt;=0,N75&gt;=0,Q75&gt;=0,R75&gt;=0,M75+O75-Q75&gt;0,N75+P75-R75&gt;0,Z75&lt;&gt;"",AA75&lt;&gt;""),1,0),0))</f>
        <v/>
      </c>
      <c r="AE75" s="91" t="str">
        <f t="shared" si="2"/>
        <v/>
      </c>
      <c r="AF75" s="91" t="str">
        <f t="shared" si="3"/>
        <v/>
      </c>
      <c r="AG75" s="92" t="str">
        <f t="shared" si="4"/>
        <v/>
      </c>
      <c r="AH75" s="92" t="str">
        <f t="shared" si="5"/>
        <v/>
      </c>
      <c r="AI75" s="92" t="str">
        <f t="shared" si="6"/>
        <v/>
      </c>
      <c r="AJ75" s="92" t="str">
        <f t="shared" si="7"/>
        <v/>
      </c>
      <c r="AK75" s="92" t="str">
        <f t="shared" si="8"/>
        <v/>
      </c>
      <c r="AL75" s="86" t="str">
        <f t="shared" si="9"/>
        <v/>
      </c>
      <c r="AM75" s="86" t="str">
        <f t="array" ref="AM75">IF(A75="","",IF(AB75&lt;&gt;1,0,IF(AND(INDEX(Companies!$R$6:$R$55,MATCH(A75,Companies!$A$6:$A$55,0))=1,INDEX(Companies!$I$6:$I$55,MATCH(A75,Companies!$A$6:$A$55,0))&gt;=MAX(10,Rules!$B$22)),1,0)))</f>
        <v/>
      </c>
      <c r="AN75" s="86" t="str">
        <f>IFERROR(__xludf.DUMMYFUNCTION("IF(A75="""","""",IFERROR(IF(AND(OR(C75=""FY0"",C75=""FY-1"",C75=""FY-2""),AD75=1,COUNTIFS($A$6:$A$205,A75,$C$6:$C$205,""FY0"",$AD$6:$AD$205,1)=1,COUNTIFS($A$6:$A$205,A75,$C$6:$C$205,""TTM"",$AD$6:$AD$205,1)=1,G75=IFNA(INDEX(FILTER($G$6:$G$205,$A$6:$A$205="&amp;"A75,$C$6:$C$205=""TTM"",$AD$6:$AD$205=1),1),""""),I75=IFNA(INDEX(FILTER($I$6:$I$205,$A$6:$A$205=A75,$C$6:$C$205=""TTM"",$AD$6:$AD$205=1),1),""""),SUMIFS($D$6:$D$205,$A$6:$A$205,A75,$C$6:$C$205,""FY0"",$AD$6:$AD$205,1)&lt;=SUMIFS($D$6:$D$205,$A$6:$A$205,A75,$"&amp;"C$6:$C$205,""TTM"",$AD$6:$AD$205,1),SUMIFS($D$6:$D$205,$A$6:$A$205,A75,$C$6:$C$205,""TTM"",$AD$6:$AD$205,1)-SUMIFS($D$6:$D$205,$A$6:$A$205,A75,$C$6:$C$205,""FY0"",$AD$6:$AD$205,1)&lt;366,ABS(D75-EDATE(SUMIFS($D$6:$D$205,$A$6:$A$205,A75,$C$6:$C$205,""FY0"",$A"&amp;"D$6:$AD$205,1),IF(C75=""FY0"",0,IF(C75=""FY-1"",-12,-24))))&lt;=31),1,0),0))"),"")</f>
        <v/>
      </c>
    </row>
    <row r="76" ht="31.5" customHeight="1">
      <c r="A76" s="85"/>
      <c r="B76" s="86" t="str">
        <f t="array" ref="B76">IF(A76="","",IF(AB76&lt;&gt;1,"Unmatched issuer",INDEX(Companies!$C$6:$C$55,MATCH(A76,Companies!$A$6:$A$55,0))))</f>
        <v/>
      </c>
      <c r="C76" s="87"/>
      <c r="D76" s="88"/>
      <c r="E76" s="88"/>
      <c r="F76" s="88"/>
      <c r="G76" s="87"/>
      <c r="H76" s="87"/>
      <c r="I76" s="85"/>
      <c r="J76" s="89"/>
      <c r="K76" s="89"/>
      <c r="L76" s="90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90"/>
      <c r="Z76" s="85"/>
      <c r="AA76" s="85"/>
      <c r="AB76" s="86" t="str">
        <f>IF(A76="","",COUNTIF(Companies!$A$6:$A$55,A76))</f>
        <v/>
      </c>
      <c r="AC76" s="86" t="str">
        <f t="shared" si="1"/>
        <v/>
      </c>
      <c r="AD76" s="86" t="str">
        <f>IF(A76="","",IFERROR(IF(AND(AB76=1,AC76=1,AM76=1,OR(C76="TTM",C76="FY0",C76="FY-1",C76="FY-2"),ISNUMBER(D76),D76&lt;=Rules!$B$6,ISNUMBER(E76),E76&gt;=D76,E76&lt;=Rules!$B$6,ISNUMBER(F76),ABS(D76-F76-365)&lt;=31,OR(G76="US GAAP",G76="IFRS"),H76="Yes",I76&lt;&gt;"",COUNT(J76:R76)=9,J76&gt;0,L76&gt;-1,L76&lt;1,M76&gt;=0,N76&gt;=0,Q76&gt;=0,R76&gt;=0,M76+O76-Q76&gt;0,N76+P76-R76&gt;0,Z76&lt;&gt;"",AA76&lt;&gt;""),1,0),0))</f>
        <v/>
      </c>
      <c r="AE76" s="91" t="str">
        <f t="shared" si="2"/>
        <v/>
      </c>
      <c r="AF76" s="91" t="str">
        <f t="shared" si="3"/>
        <v/>
      </c>
      <c r="AG76" s="92" t="str">
        <f t="shared" si="4"/>
        <v/>
      </c>
      <c r="AH76" s="92" t="str">
        <f t="shared" si="5"/>
        <v/>
      </c>
      <c r="AI76" s="92" t="str">
        <f t="shared" si="6"/>
        <v/>
      </c>
      <c r="AJ76" s="92" t="str">
        <f t="shared" si="7"/>
        <v/>
      </c>
      <c r="AK76" s="92" t="str">
        <f t="shared" si="8"/>
        <v/>
      </c>
      <c r="AL76" s="86" t="str">
        <f t="shared" si="9"/>
        <v/>
      </c>
      <c r="AM76" s="86" t="str">
        <f t="array" ref="AM76">IF(A76="","",IF(AB76&lt;&gt;1,0,IF(AND(INDEX(Companies!$R$6:$R$55,MATCH(A76,Companies!$A$6:$A$55,0))=1,INDEX(Companies!$I$6:$I$55,MATCH(A76,Companies!$A$6:$A$55,0))&gt;=MAX(10,Rules!$B$22)),1,0)))</f>
        <v/>
      </c>
      <c r="AN76" s="86" t="str">
        <f>IFERROR(__xludf.DUMMYFUNCTION("IF(A76="""","""",IFERROR(IF(AND(OR(C76=""FY0"",C76=""FY-1"",C76=""FY-2""),AD76=1,COUNTIFS($A$6:$A$205,A76,$C$6:$C$205,""FY0"",$AD$6:$AD$205,1)=1,COUNTIFS($A$6:$A$205,A76,$C$6:$C$205,""TTM"",$AD$6:$AD$205,1)=1,G76=IFNA(INDEX(FILTER($G$6:$G$205,$A$6:$A$205="&amp;"A76,$C$6:$C$205=""TTM"",$AD$6:$AD$205=1),1),""""),I76=IFNA(INDEX(FILTER($I$6:$I$205,$A$6:$A$205=A76,$C$6:$C$205=""TTM"",$AD$6:$AD$205=1),1),""""),SUMIFS($D$6:$D$205,$A$6:$A$205,A76,$C$6:$C$205,""FY0"",$AD$6:$AD$205,1)&lt;=SUMIFS($D$6:$D$205,$A$6:$A$205,A76,$"&amp;"C$6:$C$205,""TTM"",$AD$6:$AD$205,1),SUMIFS($D$6:$D$205,$A$6:$A$205,A76,$C$6:$C$205,""TTM"",$AD$6:$AD$205,1)-SUMIFS($D$6:$D$205,$A$6:$A$205,A76,$C$6:$C$205,""FY0"",$AD$6:$AD$205,1)&lt;366,ABS(D76-EDATE(SUMIFS($D$6:$D$205,$A$6:$A$205,A76,$C$6:$C$205,""FY0"",$A"&amp;"D$6:$AD$205,1),IF(C76=""FY0"",0,IF(C76=""FY-1"",-12,-24))))&lt;=31),1,0),0))"),"")</f>
        <v/>
      </c>
    </row>
    <row r="77" ht="31.5" customHeight="1">
      <c r="A77" s="85"/>
      <c r="B77" s="86" t="str">
        <f t="array" ref="B77">IF(A77="","",IF(AB77&lt;&gt;1,"Unmatched issuer",INDEX(Companies!$C$6:$C$55,MATCH(A77,Companies!$A$6:$A$55,0))))</f>
        <v/>
      </c>
      <c r="C77" s="87"/>
      <c r="D77" s="88"/>
      <c r="E77" s="88"/>
      <c r="F77" s="88"/>
      <c r="G77" s="87"/>
      <c r="H77" s="87"/>
      <c r="I77" s="85"/>
      <c r="J77" s="89"/>
      <c r="K77" s="89"/>
      <c r="L77" s="90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90"/>
      <c r="Z77" s="85"/>
      <c r="AA77" s="85"/>
      <c r="AB77" s="86" t="str">
        <f>IF(A77="","",COUNTIF(Companies!$A$6:$A$55,A77))</f>
        <v/>
      </c>
      <c r="AC77" s="86" t="str">
        <f t="shared" si="1"/>
        <v/>
      </c>
      <c r="AD77" s="86" t="str">
        <f>IF(A77="","",IFERROR(IF(AND(AB77=1,AC77=1,AM77=1,OR(C77="TTM",C77="FY0",C77="FY-1",C77="FY-2"),ISNUMBER(D77),D77&lt;=Rules!$B$6,ISNUMBER(E77),E77&gt;=D77,E77&lt;=Rules!$B$6,ISNUMBER(F77),ABS(D77-F77-365)&lt;=31,OR(G77="US GAAP",G77="IFRS"),H77="Yes",I77&lt;&gt;"",COUNT(J77:R77)=9,J77&gt;0,L77&gt;-1,L77&lt;1,M77&gt;=0,N77&gt;=0,Q77&gt;=0,R77&gt;=0,M77+O77-Q77&gt;0,N77+P77-R77&gt;0,Z77&lt;&gt;"",AA77&lt;&gt;""),1,0),0))</f>
        <v/>
      </c>
      <c r="AE77" s="91" t="str">
        <f t="shared" si="2"/>
        <v/>
      </c>
      <c r="AF77" s="91" t="str">
        <f t="shared" si="3"/>
        <v/>
      </c>
      <c r="AG77" s="92" t="str">
        <f t="shared" si="4"/>
        <v/>
      </c>
      <c r="AH77" s="92" t="str">
        <f t="shared" si="5"/>
        <v/>
      </c>
      <c r="AI77" s="92" t="str">
        <f t="shared" si="6"/>
        <v/>
      </c>
      <c r="AJ77" s="92" t="str">
        <f t="shared" si="7"/>
        <v/>
      </c>
      <c r="AK77" s="92" t="str">
        <f t="shared" si="8"/>
        <v/>
      </c>
      <c r="AL77" s="86" t="str">
        <f t="shared" si="9"/>
        <v/>
      </c>
      <c r="AM77" s="86" t="str">
        <f t="array" ref="AM77">IF(A77="","",IF(AB77&lt;&gt;1,0,IF(AND(INDEX(Companies!$R$6:$R$55,MATCH(A77,Companies!$A$6:$A$55,0))=1,INDEX(Companies!$I$6:$I$55,MATCH(A77,Companies!$A$6:$A$55,0))&gt;=MAX(10,Rules!$B$22)),1,0)))</f>
        <v/>
      </c>
      <c r="AN77" s="86" t="str">
        <f>IFERROR(__xludf.DUMMYFUNCTION("IF(A77="""","""",IFERROR(IF(AND(OR(C77=""FY0"",C77=""FY-1"",C77=""FY-2""),AD77=1,COUNTIFS($A$6:$A$205,A77,$C$6:$C$205,""FY0"",$AD$6:$AD$205,1)=1,COUNTIFS($A$6:$A$205,A77,$C$6:$C$205,""TTM"",$AD$6:$AD$205,1)=1,G77=IFNA(INDEX(FILTER($G$6:$G$205,$A$6:$A$205="&amp;"A77,$C$6:$C$205=""TTM"",$AD$6:$AD$205=1),1),""""),I77=IFNA(INDEX(FILTER($I$6:$I$205,$A$6:$A$205=A77,$C$6:$C$205=""TTM"",$AD$6:$AD$205=1),1),""""),SUMIFS($D$6:$D$205,$A$6:$A$205,A77,$C$6:$C$205,""FY0"",$AD$6:$AD$205,1)&lt;=SUMIFS($D$6:$D$205,$A$6:$A$205,A77,$"&amp;"C$6:$C$205,""TTM"",$AD$6:$AD$205,1),SUMIFS($D$6:$D$205,$A$6:$A$205,A77,$C$6:$C$205,""TTM"",$AD$6:$AD$205,1)-SUMIFS($D$6:$D$205,$A$6:$A$205,A77,$C$6:$C$205,""FY0"",$AD$6:$AD$205,1)&lt;366,ABS(D77-EDATE(SUMIFS($D$6:$D$205,$A$6:$A$205,A77,$C$6:$C$205,""FY0"",$A"&amp;"D$6:$AD$205,1),IF(C77=""FY0"",0,IF(C77=""FY-1"",-12,-24))))&lt;=31),1,0),0))"),"")</f>
        <v/>
      </c>
    </row>
    <row r="78" ht="31.5" customHeight="1">
      <c r="A78" s="85"/>
      <c r="B78" s="86" t="str">
        <f t="array" ref="B78">IF(A78="","",IF(AB78&lt;&gt;1,"Unmatched issuer",INDEX(Companies!$C$6:$C$55,MATCH(A78,Companies!$A$6:$A$55,0))))</f>
        <v/>
      </c>
      <c r="C78" s="87"/>
      <c r="D78" s="88"/>
      <c r="E78" s="88"/>
      <c r="F78" s="88"/>
      <c r="G78" s="87"/>
      <c r="H78" s="87"/>
      <c r="I78" s="85"/>
      <c r="J78" s="89"/>
      <c r="K78" s="89"/>
      <c r="L78" s="90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90"/>
      <c r="Z78" s="85"/>
      <c r="AA78" s="85"/>
      <c r="AB78" s="86" t="str">
        <f>IF(A78="","",COUNTIF(Companies!$A$6:$A$55,A78))</f>
        <v/>
      </c>
      <c r="AC78" s="86" t="str">
        <f t="shared" si="1"/>
        <v/>
      </c>
      <c r="AD78" s="86" t="str">
        <f>IF(A78="","",IFERROR(IF(AND(AB78=1,AC78=1,AM78=1,OR(C78="TTM",C78="FY0",C78="FY-1",C78="FY-2"),ISNUMBER(D78),D78&lt;=Rules!$B$6,ISNUMBER(E78),E78&gt;=D78,E78&lt;=Rules!$B$6,ISNUMBER(F78),ABS(D78-F78-365)&lt;=31,OR(G78="US GAAP",G78="IFRS"),H78="Yes",I78&lt;&gt;"",COUNT(J78:R78)=9,J78&gt;0,L78&gt;-1,L78&lt;1,M78&gt;=0,N78&gt;=0,Q78&gt;=0,R78&gt;=0,M78+O78-Q78&gt;0,N78+P78-R78&gt;0,Z78&lt;&gt;"",AA78&lt;&gt;""),1,0),0))</f>
        <v/>
      </c>
      <c r="AE78" s="91" t="str">
        <f t="shared" si="2"/>
        <v/>
      </c>
      <c r="AF78" s="91" t="str">
        <f t="shared" si="3"/>
        <v/>
      </c>
      <c r="AG78" s="92" t="str">
        <f t="shared" si="4"/>
        <v/>
      </c>
      <c r="AH78" s="92" t="str">
        <f t="shared" si="5"/>
        <v/>
      </c>
      <c r="AI78" s="92" t="str">
        <f t="shared" si="6"/>
        <v/>
      </c>
      <c r="AJ78" s="92" t="str">
        <f t="shared" si="7"/>
        <v/>
      </c>
      <c r="AK78" s="92" t="str">
        <f t="shared" si="8"/>
        <v/>
      </c>
      <c r="AL78" s="86" t="str">
        <f t="shared" si="9"/>
        <v/>
      </c>
      <c r="AM78" s="86" t="str">
        <f t="array" ref="AM78">IF(A78="","",IF(AB78&lt;&gt;1,0,IF(AND(INDEX(Companies!$R$6:$R$55,MATCH(A78,Companies!$A$6:$A$55,0))=1,INDEX(Companies!$I$6:$I$55,MATCH(A78,Companies!$A$6:$A$55,0))&gt;=MAX(10,Rules!$B$22)),1,0)))</f>
        <v/>
      </c>
      <c r="AN78" s="86" t="str">
        <f>IFERROR(__xludf.DUMMYFUNCTION("IF(A78="""","""",IFERROR(IF(AND(OR(C78=""FY0"",C78=""FY-1"",C78=""FY-2""),AD78=1,COUNTIFS($A$6:$A$205,A78,$C$6:$C$205,""FY0"",$AD$6:$AD$205,1)=1,COUNTIFS($A$6:$A$205,A78,$C$6:$C$205,""TTM"",$AD$6:$AD$205,1)=1,G78=IFNA(INDEX(FILTER($G$6:$G$205,$A$6:$A$205="&amp;"A78,$C$6:$C$205=""TTM"",$AD$6:$AD$205=1),1),""""),I78=IFNA(INDEX(FILTER($I$6:$I$205,$A$6:$A$205=A78,$C$6:$C$205=""TTM"",$AD$6:$AD$205=1),1),""""),SUMIFS($D$6:$D$205,$A$6:$A$205,A78,$C$6:$C$205,""FY0"",$AD$6:$AD$205,1)&lt;=SUMIFS($D$6:$D$205,$A$6:$A$205,A78,$"&amp;"C$6:$C$205,""TTM"",$AD$6:$AD$205,1),SUMIFS($D$6:$D$205,$A$6:$A$205,A78,$C$6:$C$205,""TTM"",$AD$6:$AD$205,1)-SUMIFS($D$6:$D$205,$A$6:$A$205,A78,$C$6:$C$205,""FY0"",$AD$6:$AD$205,1)&lt;366,ABS(D78-EDATE(SUMIFS($D$6:$D$205,$A$6:$A$205,A78,$C$6:$C$205,""FY0"",$A"&amp;"D$6:$AD$205,1),IF(C78=""FY0"",0,IF(C78=""FY-1"",-12,-24))))&lt;=31),1,0),0))"),"")</f>
        <v/>
      </c>
    </row>
    <row r="79" ht="31.5" customHeight="1">
      <c r="A79" s="85"/>
      <c r="B79" s="86" t="str">
        <f t="array" ref="B79">IF(A79="","",IF(AB79&lt;&gt;1,"Unmatched issuer",INDEX(Companies!$C$6:$C$55,MATCH(A79,Companies!$A$6:$A$55,0))))</f>
        <v/>
      </c>
      <c r="C79" s="87"/>
      <c r="D79" s="88"/>
      <c r="E79" s="88"/>
      <c r="F79" s="88"/>
      <c r="G79" s="87"/>
      <c r="H79" s="87"/>
      <c r="I79" s="85"/>
      <c r="J79" s="89"/>
      <c r="K79" s="89"/>
      <c r="L79" s="90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90"/>
      <c r="Z79" s="85"/>
      <c r="AA79" s="85"/>
      <c r="AB79" s="86" t="str">
        <f>IF(A79="","",COUNTIF(Companies!$A$6:$A$55,A79))</f>
        <v/>
      </c>
      <c r="AC79" s="86" t="str">
        <f t="shared" si="1"/>
        <v/>
      </c>
      <c r="AD79" s="86" t="str">
        <f>IF(A79="","",IFERROR(IF(AND(AB79=1,AC79=1,AM79=1,OR(C79="TTM",C79="FY0",C79="FY-1",C79="FY-2"),ISNUMBER(D79),D79&lt;=Rules!$B$6,ISNUMBER(E79),E79&gt;=D79,E79&lt;=Rules!$B$6,ISNUMBER(F79),ABS(D79-F79-365)&lt;=31,OR(G79="US GAAP",G79="IFRS"),H79="Yes",I79&lt;&gt;"",COUNT(J79:R79)=9,J79&gt;0,L79&gt;-1,L79&lt;1,M79&gt;=0,N79&gt;=0,Q79&gt;=0,R79&gt;=0,M79+O79-Q79&gt;0,N79+P79-R79&gt;0,Z79&lt;&gt;"",AA79&lt;&gt;""),1,0),0))</f>
        <v/>
      </c>
      <c r="AE79" s="91" t="str">
        <f t="shared" si="2"/>
        <v/>
      </c>
      <c r="AF79" s="91" t="str">
        <f t="shared" si="3"/>
        <v/>
      </c>
      <c r="AG79" s="92" t="str">
        <f t="shared" si="4"/>
        <v/>
      </c>
      <c r="AH79" s="92" t="str">
        <f t="shared" si="5"/>
        <v/>
      </c>
      <c r="AI79" s="92" t="str">
        <f t="shared" si="6"/>
        <v/>
      </c>
      <c r="AJ79" s="92" t="str">
        <f t="shared" si="7"/>
        <v/>
      </c>
      <c r="AK79" s="92" t="str">
        <f t="shared" si="8"/>
        <v/>
      </c>
      <c r="AL79" s="86" t="str">
        <f t="shared" si="9"/>
        <v/>
      </c>
      <c r="AM79" s="86" t="str">
        <f t="array" ref="AM79">IF(A79="","",IF(AB79&lt;&gt;1,0,IF(AND(INDEX(Companies!$R$6:$R$55,MATCH(A79,Companies!$A$6:$A$55,0))=1,INDEX(Companies!$I$6:$I$55,MATCH(A79,Companies!$A$6:$A$55,0))&gt;=MAX(10,Rules!$B$22)),1,0)))</f>
        <v/>
      </c>
      <c r="AN79" s="86" t="str">
        <f>IFERROR(__xludf.DUMMYFUNCTION("IF(A79="""","""",IFERROR(IF(AND(OR(C79=""FY0"",C79=""FY-1"",C79=""FY-2""),AD79=1,COUNTIFS($A$6:$A$205,A79,$C$6:$C$205,""FY0"",$AD$6:$AD$205,1)=1,COUNTIFS($A$6:$A$205,A79,$C$6:$C$205,""TTM"",$AD$6:$AD$205,1)=1,G79=IFNA(INDEX(FILTER($G$6:$G$205,$A$6:$A$205="&amp;"A79,$C$6:$C$205=""TTM"",$AD$6:$AD$205=1),1),""""),I79=IFNA(INDEX(FILTER($I$6:$I$205,$A$6:$A$205=A79,$C$6:$C$205=""TTM"",$AD$6:$AD$205=1),1),""""),SUMIFS($D$6:$D$205,$A$6:$A$205,A79,$C$6:$C$205,""FY0"",$AD$6:$AD$205,1)&lt;=SUMIFS($D$6:$D$205,$A$6:$A$205,A79,$"&amp;"C$6:$C$205,""TTM"",$AD$6:$AD$205,1),SUMIFS($D$6:$D$205,$A$6:$A$205,A79,$C$6:$C$205,""TTM"",$AD$6:$AD$205,1)-SUMIFS($D$6:$D$205,$A$6:$A$205,A79,$C$6:$C$205,""FY0"",$AD$6:$AD$205,1)&lt;366,ABS(D79-EDATE(SUMIFS($D$6:$D$205,$A$6:$A$205,A79,$C$6:$C$205,""FY0"",$A"&amp;"D$6:$AD$205,1),IF(C79=""FY0"",0,IF(C79=""FY-1"",-12,-24))))&lt;=31),1,0),0))"),"")</f>
        <v/>
      </c>
    </row>
    <row r="80" ht="31.5" customHeight="1">
      <c r="A80" s="85"/>
      <c r="B80" s="86" t="str">
        <f t="array" ref="B80">IF(A80="","",IF(AB80&lt;&gt;1,"Unmatched issuer",INDEX(Companies!$C$6:$C$55,MATCH(A80,Companies!$A$6:$A$55,0))))</f>
        <v/>
      </c>
      <c r="C80" s="87"/>
      <c r="D80" s="88"/>
      <c r="E80" s="88"/>
      <c r="F80" s="88"/>
      <c r="G80" s="87"/>
      <c r="H80" s="87"/>
      <c r="I80" s="85"/>
      <c r="J80" s="89"/>
      <c r="K80" s="89"/>
      <c r="L80" s="90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90"/>
      <c r="Z80" s="85"/>
      <c r="AA80" s="85"/>
      <c r="AB80" s="86" t="str">
        <f>IF(A80="","",COUNTIF(Companies!$A$6:$A$55,A80))</f>
        <v/>
      </c>
      <c r="AC80" s="86" t="str">
        <f t="shared" si="1"/>
        <v/>
      </c>
      <c r="AD80" s="86" t="str">
        <f>IF(A80="","",IFERROR(IF(AND(AB80=1,AC80=1,AM80=1,OR(C80="TTM",C80="FY0",C80="FY-1",C80="FY-2"),ISNUMBER(D80),D80&lt;=Rules!$B$6,ISNUMBER(E80),E80&gt;=D80,E80&lt;=Rules!$B$6,ISNUMBER(F80),ABS(D80-F80-365)&lt;=31,OR(G80="US GAAP",G80="IFRS"),H80="Yes",I80&lt;&gt;"",COUNT(J80:R80)=9,J80&gt;0,L80&gt;-1,L80&lt;1,M80&gt;=0,N80&gt;=0,Q80&gt;=0,R80&gt;=0,M80+O80-Q80&gt;0,N80+P80-R80&gt;0,Z80&lt;&gt;"",AA80&lt;&gt;""),1,0),0))</f>
        <v/>
      </c>
      <c r="AE80" s="91" t="str">
        <f t="shared" si="2"/>
        <v/>
      </c>
      <c r="AF80" s="91" t="str">
        <f t="shared" si="3"/>
        <v/>
      </c>
      <c r="AG80" s="92" t="str">
        <f t="shared" si="4"/>
        <v/>
      </c>
      <c r="AH80" s="92" t="str">
        <f t="shared" si="5"/>
        <v/>
      </c>
      <c r="AI80" s="92" t="str">
        <f t="shared" si="6"/>
        <v/>
      </c>
      <c r="AJ80" s="92" t="str">
        <f t="shared" si="7"/>
        <v/>
      </c>
      <c r="AK80" s="92" t="str">
        <f t="shared" si="8"/>
        <v/>
      </c>
      <c r="AL80" s="86" t="str">
        <f t="shared" si="9"/>
        <v/>
      </c>
      <c r="AM80" s="86" t="str">
        <f t="array" ref="AM80">IF(A80="","",IF(AB80&lt;&gt;1,0,IF(AND(INDEX(Companies!$R$6:$R$55,MATCH(A80,Companies!$A$6:$A$55,0))=1,INDEX(Companies!$I$6:$I$55,MATCH(A80,Companies!$A$6:$A$55,0))&gt;=MAX(10,Rules!$B$22)),1,0)))</f>
        <v/>
      </c>
      <c r="AN80" s="86" t="str">
        <f>IFERROR(__xludf.DUMMYFUNCTION("IF(A80="""","""",IFERROR(IF(AND(OR(C80=""FY0"",C80=""FY-1"",C80=""FY-2""),AD80=1,COUNTIFS($A$6:$A$205,A80,$C$6:$C$205,""FY0"",$AD$6:$AD$205,1)=1,COUNTIFS($A$6:$A$205,A80,$C$6:$C$205,""TTM"",$AD$6:$AD$205,1)=1,G80=IFNA(INDEX(FILTER($G$6:$G$205,$A$6:$A$205="&amp;"A80,$C$6:$C$205=""TTM"",$AD$6:$AD$205=1),1),""""),I80=IFNA(INDEX(FILTER($I$6:$I$205,$A$6:$A$205=A80,$C$6:$C$205=""TTM"",$AD$6:$AD$205=1),1),""""),SUMIFS($D$6:$D$205,$A$6:$A$205,A80,$C$6:$C$205,""FY0"",$AD$6:$AD$205,1)&lt;=SUMIFS($D$6:$D$205,$A$6:$A$205,A80,$"&amp;"C$6:$C$205,""TTM"",$AD$6:$AD$205,1),SUMIFS($D$6:$D$205,$A$6:$A$205,A80,$C$6:$C$205,""TTM"",$AD$6:$AD$205,1)-SUMIFS($D$6:$D$205,$A$6:$A$205,A80,$C$6:$C$205,""FY0"",$AD$6:$AD$205,1)&lt;366,ABS(D80-EDATE(SUMIFS($D$6:$D$205,$A$6:$A$205,A80,$C$6:$C$205,""FY0"",$A"&amp;"D$6:$AD$205,1),IF(C80=""FY0"",0,IF(C80=""FY-1"",-12,-24))))&lt;=31),1,0),0))"),"")</f>
        <v/>
      </c>
    </row>
    <row r="81" ht="31.5" customHeight="1">
      <c r="A81" s="85"/>
      <c r="B81" s="86" t="str">
        <f t="array" ref="B81">IF(A81="","",IF(AB81&lt;&gt;1,"Unmatched issuer",INDEX(Companies!$C$6:$C$55,MATCH(A81,Companies!$A$6:$A$55,0))))</f>
        <v/>
      </c>
      <c r="C81" s="87"/>
      <c r="D81" s="88"/>
      <c r="E81" s="88"/>
      <c r="F81" s="88"/>
      <c r="G81" s="87"/>
      <c r="H81" s="87"/>
      <c r="I81" s="85"/>
      <c r="J81" s="89"/>
      <c r="K81" s="89"/>
      <c r="L81" s="90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90"/>
      <c r="Z81" s="85"/>
      <c r="AA81" s="85"/>
      <c r="AB81" s="86" t="str">
        <f>IF(A81="","",COUNTIF(Companies!$A$6:$A$55,A81))</f>
        <v/>
      </c>
      <c r="AC81" s="86" t="str">
        <f t="shared" si="1"/>
        <v/>
      </c>
      <c r="AD81" s="86" t="str">
        <f>IF(A81="","",IFERROR(IF(AND(AB81=1,AC81=1,AM81=1,OR(C81="TTM",C81="FY0",C81="FY-1",C81="FY-2"),ISNUMBER(D81),D81&lt;=Rules!$B$6,ISNUMBER(E81),E81&gt;=D81,E81&lt;=Rules!$B$6,ISNUMBER(F81),ABS(D81-F81-365)&lt;=31,OR(G81="US GAAP",G81="IFRS"),H81="Yes",I81&lt;&gt;"",COUNT(J81:R81)=9,J81&gt;0,L81&gt;-1,L81&lt;1,M81&gt;=0,N81&gt;=0,Q81&gt;=0,R81&gt;=0,M81+O81-Q81&gt;0,N81+P81-R81&gt;0,Z81&lt;&gt;"",AA81&lt;&gt;""),1,0),0))</f>
        <v/>
      </c>
      <c r="AE81" s="91" t="str">
        <f t="shared" si="2"/>
        <v/>
      </c>
      <c r="AF81" s="91" t="str">
        <f t="shared" si="3"/>
        <v/>
      </c>
      <c r="AG81" s="92" t="str">
        <f t="shared" si="4"/>
        <v/>
      </c>
      <c r="AH81" s="92" t="str">
        <f t="shared" si="5"/>
        <v/>
      </c>
      <c r="AI81" s="92" t="str">
        <f t="shared" si="6"/>
        <v/>
      </c>
      <c r="AJ81" s="92" t="str">
        <f t="shared" si="7"/>
        <v/>
      </c>
      <c r="AK81" s="92" t="str">
        <f t="shared" si="8"/>
        <v/>
      </c>
      <c r="AL81" s="86" t="str">
        <f t="shared" si="9"/>
        <v/>
      </c>
      <c r="AM81" s="86" t="str">
        <f t="array" ref="AM81">IF(A81="","",IF(AB81&lt;&gt;1,0,IF(AND(INDEX(Companies!$R$6:$R$55,MATCH(A81,Companies!$A$6:$A$55,0))=1,INDEX(Companies!$I$6:$I$55,MATCH(A81,Companies!$A$6:$A$55,0))&gt;=MAX(10,Rules!$B$22)),1,0)))</f>
        <v/>
      </c>
      <c r="AN81" s="86" t="str">
        <f>IFERROR(__xludf.DUMMYFUNCTION("IF(A81="""","""",IFERROR(IF(AND(OR(C81=""FY0"",C81=""FY-1"",C81=""FY-2""),AD81=1,COUNTIFS($A$6:$A$205,A81,$C$6:$C$205,""FY0"",$AD$6:$AD$205,1)=1,COUNTIFS($A$6:$A$205,A81,$C$6:$C$205,""TTM"",$AD$6:$AD$205,1)=1,G81=IFNA(INDEX(FILTER($G$6:$G$205,$A$6:$A$205="&amp;"A81,$C$6:$C$205=""TTM"",$AD$6:$AD$205=1),1),""""),I81=IFNA(INDEX(FILTER($I$6:$I$205,$A$6:$A$205=A81,$C$6:$C$205=""TTM"",$AD$6:$AD$205=1),1),""""),SUMIFS($D$6:$D$205,$A$6:$A$205,A81,$C$6:$C$205,""FY0"",$AD$6:$AD$205,1)&lt;=SUMIFS($D$6:$D$205,$A$6:$A$205,A81,$"&amp;"C$6:$C$205,""TTM"",$AD$6:$AD$205,1),SUMIFS($D$6:$D$205,$A$6:$A$205,A81,$C$6:$C$205,""TTM"",$AD$6:$AD$205,1)-SUMIFS($D$6:$D$205,$A$6:$A$205,A81,$C$6:$C$205,""FY0"",$AD$6:$AD$205,1)&lt;366,ABS(D81-EDATE(SUMIFS($D$6:$D$205,$A$6:$A$205,A81,$C$6:$C$205,""FY0"",$A"&amp;"D$6:$AD$205,1),IF(C81=""FY0"",0,IF(C81=""FY-1"",-12,-24))))&lt;=31),1,0),0))"),"")</f>
        <v/>
      </c>
    </row>
    <row r="82" ht="31.5" customHeight="1">
      <c r="A82" s="85"/>
      <c r="B82" s="86" t="str">
        <f t="array" ref="B82">IF(A82="","",IF(AB82&lt;&gt;1,"Unmatched issuer",INDEX(Companies!$C$6:$C$55,MATCH(A82,Companies!$A$6:$A$55,0))))</f>
        <v/>
      </c>
      <c r="C82" s="87"/>
      <c r="D82" s="88"/>
      <c r="E82" s="88"/>
      <c r="F82" s="88"/>
      <c r="G82" s="87"/>
      <c r="H82" s="87"/>
      <c r="I82" s="85"/>
      <c r="J82" s="89"/>
      <c r="K82" s="89"/>
      <c r="L82" s="90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90"/>
      <c r="Z82" s="85"/>
      <c r="AA82" s="85"/>
      <c r="AB82" s="86" t="str">
        <f>IF(A82="","",COUNTIF(Companies!$A$6:$A$55,A82))</f>
        <v/>
      </c>
      <c r="AC82" s="86" t="str">
        <f t="shared" si="1"/>
        <v/>
      </c>
      <c r="AD82" s="86" t="str">
        <f>IF(A82="","",IFERROR(IF(AND(AB82=1,AC82=1,AM82=1,OR(C82="TTM",C82="FY0",C82="FY-1",C82="FY-2"),ISNUMBER(D82),D82&lt;=Rules!$B$6,ISNUMBER(E82),E82&gt;=D82,E82&lt;=Rules!$B$6,ISNUMBER(F82),ABS(D82-F82-365)&lt;=31,OR(G82="US GAAP",G82="IFRS"),H82="Yes",I82&lt;&gt;"",COUNT(J82:R82)=9,J82&gt;0,L82&gt;-1,L82&lt;1,M82&gt;=0,N82&gt;=0,Q82&gt;=0,R82&gt;=0,M82+O82-Q82&gt;0,N82+P82-R82&gt;0,Z82&lt;&gt;"",AA82&lt;&gt;""),1,0),0))</f>
        <v/>
      </c>
      <c r="AE82" s="91" t="str">
        <f t="shared" si="2"/>
        <v/>
      </c>
      <c r="AF82" s="91" t="str">
        <f t="shared" si="3"/>
        <v/>
      </c>
      <c r="AG82" s="92" t="str">
        <f t="shared" si="4"/>
        <v/>
      </c>
      <c r="AH82" s="92" t="str">
        <f t="shared" si="5"/>
        <v/>
      </c>
      <c r="AI82" s="92" t="str">
        <f t="shared" si="6"/>
        <v/>
      </c>
      <c r="AJ82" s="92" t="str">
        <f t="shared" si="7"/>
        <v/>
      </c>
      <c r="AK82" s="92" t="str">
        <f t="shared" si="8"/>
        <v/>
      </c>
      <c r="AL82" s="86" t="str">
        <f t="shared" si="9"/>
        <v/>
      </c>
      <c r="AM82" s="86" t="str">
        <f t="array" ref="AM82">IF(A82="","",IF(AB82&lt;&gt;1,0,IF(AND(INDEX(Companies!$R$6:$R$55,MATCH(A82,Companies!$A$6:$A$55,0))=1,INDEX(Companies!$I$6:$I$55,MATCH(A82,Companies!$A$6:$A$55,0))&gt;=MAX(10,Rules!$B$22)),1,0)))</f>
        <v/>
      </c>
      <c r="AN82" s="86" t="str">
        <f>IFERROR(__xludf.DUMMYFUNCTION("IF(A82="""","""",IFERROR(IF(AND(OR(C82=""FY0"",C82=""FY-1"",C82=""FY-2""),AD82=1,COUNTIFS($A$6:$A$205,A82,$C$6:$C$205,""FY0"",$AD$6:$AD$205,1)=1,COUNTIFS($A$6:$A$205,A82,$C$6:$C$205,""TTM"",$AD$6:$AD$205,1)=1,G82=IFNA(INDEX(FILTER($G$6:$G$205,$A$6:$A$205="&amp;"A82,$C$6:$C$205=""TTM"",$AD$6:$AD$205=1),1),""""),I82=IFNA(INDEX(FILTER($I$6:$I$205,$A$6:$A$205=A82,$C$6:$C$205=""TTM"",$AD$6:$AD$205=1),1),""""),SUMIFS($D$6:$D$205,$A$6:$A$205,A82,$C$6:$C$205,""FY0"",$AD$6:$AD$205,1)&lt;=SUMIFS($D$6:$D$205,$A$6:$A$205,A82,$"&amp;"C$6:$C$205,""TTM"",$AD$6:$AD$205,1),SUMIFS($D$6:$D$205,$A$6:$A$205,A82,$C$6:$C$205,""TTM"",$AD$6:$AD$205,1)-SUMIFS($D$6:$D$205,$A$6:$A$205,A82,$C$6:$C$205,""FY0"",$AD$6:$AD$205,1)&lt;366,ABS(D82-EDATE(SUMIFS($D$6:$D$205,$A$6:$A$205,A82,$C$6:$C$205,""FY0"",$A"&amp;"D$6:$AD$205,1),IF(C82=""FY0"",0,IF(C82=""FY-1"",-12,-24))))&lt;=31),1,0),0))"),"")</f>
        <v/>
      </c>
    </row>
    <row r="83" ht="31.5" customHeight="1">
      <c r="A83" s="85"/>
      <c r="B83" s="86" t="str">
        <f t="array" ref="B83">IF(A83="","",IF(AB83&lt;&gt;1,"Unmatched issuer",INDEX(Companies!$C$6:$C$55,MATCH(A83,Companies!$A$6:$A$55,0))))</f>
        <v/>
      </c>
      <c r="C83" s="87"/>
      <c r="D83" s="88"/>
      <c r="E83" s="88"/>
      <c r="F83" s="88"/>
      <c r="G83" s="87"/>
      <c r="H83" s="87"/>
      <c r="I83" s="85"/>
      <c r="J83" s="89"/>
      <c r="K83" s="89"/>
      <c r="L83" s="90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90"/>
      <c r="Z83" s="85"/>
      <c r="AA83" s="85"/>
      <c r="AB83" s="86" t="str">
        <f>IF(A83="","",COUNTIF(Companies!$A$6:$A$55,A83))</f>
        <v/>
      </c>
      <c r="AC83" s="86" t="str">
        <f t="shared" si="1"/>
        <v/>
      </c>
      <c r="AD83" s="86" t="str">
        <f>IF(A83="","",IFERROR(IF(AND(AB83=1,AC83=1,AM83=1,OR(C83="TTM",C83="FY0",C83="FY-1",C83="FY-2"),ISNUMBER(D83),D83&lt;=Rules!$B$6,ISNUMBER(E83),E83&gt;=D83,E83&lt;=Rules!$B$6,ISNUMBER(F83),ABS(D83-F83-365)&lt;=31,OR(G83="US GAAP",G83="IFRS"),H83="Yes",I83&lt;&gt;"",COUNT(J83:R83)=9,J83&gt;0,L83&gt;-1,L83&lt;1,M83&gt;=0,N83&gt;=0,Q83&gt;=0,R83&gt;=0,M83+O83-Q83&gt;0,N83+P83-R83&gt;0,Z83&lt;&gt;"",AA83&lt;&gt;""),1,0),0))</f>
        <v/>
      </c>
      <c r="AE83" s="91" t="str">
        <f t="shared" si="2"/>
        <v/>
      </c>
      <c r="AF83" s="91" t="str">
        <f t="shared" si="3"/>
        <v/>
      </c>
      <c r="AG83" s="92" t="str">
        <f t="shared" si="4"/>
        <v/>
      </c>
      <c r="AH83" s="92" t="str">
        <f t="shared" si="5"/>
        <v/>
      </c>
      <c r="AI83" s="92" t="str">
        <f t="shared" si="6"/>
        <v/>
      </c>
      <c r="AJ83" s="92" t="str">
        <f t="shared" si="7"/>
        <v/>
      </c>
      <c r="AK83" s="92" t="str">
        <f t="shared" si="8"/>
        <v/>
      </c>
      <c r="AL83" s="86" t="str">
        <f t="shared" si="9"/>
        <v/>
      </c>
      <c r="AM83" s="86" t="str">
        <f t="array" ref="AM83">IF(A83="","",IF(AB83&lt;&gt;1,0,IF(AND(INDEX(Companies!$R$6:$R$55,MATCH(A83,Companies!$A$6:$A$55,0))=1,INDEX(Companies!$I$6:$I$55,MATCH(A83,Companies!$A$6:$A$55,0))&gt;=MAX(10,Rules!$B$22)),1,0)))</f>
        <v/>
      </c>
      <c r="AN83" s="86" t="str">
        <f>IFERROR(__xludf.DUMMYFUNCTION("IF(A83="""","""",IFERROR(IF(AND(OR(C83=""FY0"",C83=""FY-1"",C83=""FY-2""),AD83=1,COUNTIFS($A$6:$A$205,A83,$C$6:$C$205,""FY0"",$AD$6:$AD$205,1)=1,COUNTIFS($A$6:$A$205,A83,$C$6:$C$205,""TTM"",$AD$6:$AD$205,1)=1,G83=IFNA(INDEX(FILTER($G$6:$G$205,$A$6:$A$205="&amp;"A83,$C$6:$C$205=""TTM"",$AD$6:$AD$205=1),1),""""),I83=IFNA(INDEX(FILTER($I$6:$I$205,$A$6:$A$205=A83,$C$6:$C$205=""TTM"",$AD$6:$AD$205=1),1),""""),SUMIFS($D$6:$D$205,$A$6:$A$205,A83,$C$6:$C$205,""FY0"",$AD$6:$AD$205,1)&lt;=SUMIFS($D$6:$D$205,$A$6:$A$205,A83,$"&amp;"C$6:$C$205,""TTM"",$AD$6:$AD$205,1),SUMIFS($D$6:$D$205,$A$6:$A$205,A83,$C$6:$C$205,""TTM"",$AD$6:$AD$205,1)-SUMIFS($D$6:$D$205,$A$6:$A$205,A83,$C$6:$C$205,""FY0"",$AD$6:$AD$205,1)&lt;366,ABS(D83-EDATE(SUMIFS($D$6:$D$205,$A$6:$A$205,A83,$C$6:$C$205,""FY0"",$A"&amp;"D$6:$AD$205,1),IF(C83=""FY0"",0,IF(C83=""FY-1"",-12,-24))))&lt;=31),1,0),0))"),"")</f>
        <v/>
      </c>
    </row>
    <row r="84" ht="31.5" customHeight="1">
      <c r="A84" s="85"/>
      <c r="B84" s="86" t="str">
        <f t="array" ref="B84">IF(A84="","",IF(AB84&lt;&gt;1,"Unmatched issuer",INDEX(Companies!$C$6:$C$55,MATCH(A84,Companies!$A$6:$A$55,0))))</f>
        <v/>
      </c>
      <c r="C84" s="87"/>
      <c r="D84" s="88"/>
      <c r="E84" s="88"/>
      <c r="F84" s="88"/>
      <c r="G84" s="87"/>
      <c r="H84" s="87"/>
      <c r="I84" s="85"/>
      <c r="J84" s="89"/>
      <c r="K84" s="89"/>
      <c r="L84" s="90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90"/>
      <c r="Z84" s="85"/>
      <c r="AA84" s="85"/>
      <c r="AB84" s="86" t="str">
        <f>IF(A84="","",COUNTIF(Companies!$A$6:$A$55,A84))</f>
        <v/>
      </c>
      <c r="AC84" s="86" t="str">
        <f t="shared" si="1"/>
        <v/>
      </c>
      <c r="AD84" s="86" t="str">
        <f>IF(A84="","",IFERROR(IF(AND(AB84=1,AC84=1,AM84=1,OR(C84="TTM",C84="FY0",C84="FY-1",C84="FY-2"),ISNUMBER(D84),D84&lt;=Rules!$B$6,ISNUMBER(E84),E84&gt;=D84,E84&lt;=Rules!$B$6,ISNUMBER(F84),ABS(D84-F84-365)&lt;=31,OR(G84="US GAAP",G84="IFRS"),H84="Yes",I84&lt;&gt;"",COUNT(J84:R84)=9,J84&gt;0,L84&gt;-1,L84&lt;1,M84&gt;=0,N84&gt;=0,Q84&gt;=0,R84&gt;=0,M84+O84-Q84&gt;0,N84+P84-R84&gt;0,Z84&lt;&gt;"",AA84&lt;&gt;""),1,0),0))</f>
        <v/>
      </c>
      <c r="AE84" s="91" t="str">
        <f t="shared" si="2"/>
        <v/>
      </c>
      <c r="AF84" s="91" t="str">
        <f t="shared" si="3"/>
        <v/>
      </c>
      <c r="AG84" s="92" t="str">
        <f t="shared" si="4"/>
        <v/>
      </c>
      <c r="AH84" s="92" t="str">
        <f t="shared" si="5"/>
        <v/>
      </c>
      <c r="AI84" s="92" t="str">
        <f t="shared" si="6"/>
        <v/>
      </c>
      <c r="AJ84" s="92" t="str">
        <f t="shared" si="7"/>
        <v/>
      </c>
      <c r="AK84" s="92" t="str">
        <f t="shared" si="8"/>
        <v/>
      </c>
      <c r="AL84" s="86" t="str">
        <f t="shared" si="9"/>
        <v/>
      </c>
      <c r="AM84" s="86" t="str">
        <f t="array" ref="AM84">IF(A84="","",IF(AB84&lt;&gt;1,0,IF(AND(INDEX(Companies!$R$6:$R$55,MATCH(A84,Companies!$A$6:$A$55,0))=1,INDEX(Companies!$I$6:$I$55,MATCH(A84,Companies!$A$6:$A$55,0))&gt;=MAX(10,Rules!$B$22)),1,0)))</f>
        <v/>
      </c>
      <c r="AN84" s="86" t="str">
        <f>IFERROR(__xludf.DUMMYFUNCTION("IF(A84="""","""",IFERROR(IF(AND(OR(C84=""FY0"",C84=""FY-1"",C84=""FY-2""),AD84=1,COUNTIFS($A$6:$A$205,A84,$C$6:$C$205,""FY0"",$AD$6:$AD$205,1)=1,COUNTIFS($A$6:$A$205,A84,$C$6:$C$205,""TTM"",$AD$6:$AD$205,1)=1,G84=IFNA(INDEX(FILTER($G$6:$G$205,$A$6:$A$205="&amp;"A84,$C$6:$C$205=""TTM"",$AD$6:$AD$205=1),1),""""),I84=IFNA(INDEX(FILTER($I$6:$I$205,$A$6:$A$205=A84,$C$6:$C$205=""TTM"",$AD$6:$AD$205=1),1),""""),SUMIFS($D$6:$D$205,$A$6:$A$205,A84,$C$6:$C$205,""FY0"",$AD$6:$AD$205,1)&lt;=SUMIFS($D$6:$D$205,$A$6:$A$205,A84,$"&amp;"C$6:$C$205,""TTM"",$AD$6:$AD$205,1),SUMIFS($D$6:$D$205,$A$6:$A$205,A84,$C$6:$C$205,""TTM"",$AD$6:$AD$205,1)-SUMIFS($D$6:$D$205,$A$6:$A$205,A84,$C$6:$C$205,""FY0"",$AD$6:$AD$205,1)&lt;366,ABS(D84-EDATE(SUMIFS($D$6:$D$205,$A$6:$A$205,A84,$C$6:$C$205,""FY0"",$A"&amp;"D$6:$AD$205,1),IF(C84=""FY0"",0,IF(C84=""FY-1"",-12,-24))))&lt;=31),1,0),0))"),"")</f>
        <v/>
      </c>
    </row>
    <row r="85" ht="31.5" customHeight="1">
      <c r="A85" s="85"/>
      <c r="B85" s="86" t="str">
        <f t="array" ref="B85">IF(A85="","",IF(AB85&lt;&gt;1,"Unmatched issuer",INDEX(Companies!$C$6:$C$55,MATCH(A85,Companies!$A$6:$A$55,0))))</f>
        <v/>
      </c>
      <c r="C85" s="87"/>
      <c r="D85" s="88"/>
      <c r="E85" s="88"/>
      <c r="F85" s="88"/>
      <c r="G85" s="87"/>
      <c r="H85" s="87"/>
      <c r="I85" s="85"/>
      <c r="J85" s="89"/>
      <c r="K85" s="89"/>
      <c r="L85" s="90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90"/>
      <c r="Z85" s="85"/>
      <c r="AA85" s="85"/>
      <c r="AB85" s="86" t="str">
        <f>IF(A85="","",COUNTIF(Companies!$A$6:$A$55,A85))</f>
        <v/>
      </c>
      <c r="AC85" s="86" t="str">
        <f t="shared" si="1"/>
        <v/>
      </c>
      <c r="AD85" s="86" t="str">
        <f>IF(A85="","",IFERROR(IF(AND(AB85=1,AC85=1,AM85=1,OR(C85="TTM",C85="FY0",C85="FY-1",C85="FY-2"),ISNUMBER(D85),D85&lt;=Rules!$B$6,ISNUMBER(E85),E85&gt;=D85,E85&lt;=Rules!$B$6,ISNUMBER(F85),ABS(D85-F85-365)&lt;=31,OR(G85="US GAAP",G85="IFRS"),H85="Yes",I85&lt;&gt;"",COUNT(J85:R85)=9,J85&gt;0,L85&gt;-1,L85&lt;1,M85&gt;=0,N85&gt;=0,Q85&gt;=0,R85&gt;=0,M85+O85-Q85&gt;0,N85+P85-R85&gt;0,Z85&lt;&gt;"",AA85&lt;&gt;""),1,0),0))</f>
        <v/>
      </c>
      <c r="AE85" s="91" t="str">
        <f t="shared" si="2"/>
        <v/>
      </c>
      <c r="AF85" s="91" t="str">
        <f t="shared" si="3"/>
        <v/>
      </c>
      <c r="AG85" s="92" t="str">
        <f t="shared" si="4"/>
        <v/>
      </c>
      <c r="AH85" s="92" t="str">
        <f t="shared" si="5"/>
        <v/>
      </c>
      <c r="AI85" s="92" t="str">
        <f t="shared" si="6"/>
        <v/>
      </c>
      <c r="AJ85" s="92" t="str">
        <f t="shared" si="7"/>
        <v/>
      </c>
      <c r="AK85" s="92" t="str">
        <f t="shared" si="8"/>
        <v/>
      </c>
      <c r="AL85" s="86" t="str">
        <f t="shared" si="9"/>
        <v/>
      </c>
      <c r="AM85" s="86" t="str">
        <f t="array" ref="AM85">IF(A85="","",IF(AB85&lt;&gt;1,0,IF(AND(INDEX(Companies!$R$6:$R$55,MATCH(A85,Companies!$A$6:$A$55,0))=1,INDEX(Companies!$I$6:$I$55,MATCH(A85,Companies!$A$6:$A$55,0))&gt;=MAX(10,Rules!$B$22)),1,0)))</f>
        <v/>
      </c>
      <c r="AN85" s="86" t="str">
        <f>IFERROR(__xludf.DUMMYFUNCTION("IF(A85="""","""",IFERROR(IF(AND(OR(C85=""FY0"",C85=""FY-1"",C85=""FY-2""),AD85=1,COUNTIFS($A$6:$A$205,A85,$C$6:$C$205,""FY0"",$AD$6:$AD$205,1)=1,COUNTIFS($A$6:$A$205,A85,$C$6:$C$205,""TTM"",$AD$6:$AD$205,1)=1,G85=IFNA(INDEX(FILTER($G$6:$G$205,$A$6:$A$205="&amp;"A85,$C$6:$C$205=""TTM"",$AD$6:$AD$205=1),1),""""),I85=IFNA(INDEX(FILTER($I$6:$I$205,$A$6:$A$205=A85,$C$6:$C$205=""TTM"",$AD$6:$AD$205=1),1),""""),SUMIFS($D$6:$D$205,$A$6:$A$205,A85,$C$6:$C$205,""FY0"",$AD$6:$AD$205,1)&lt;=SUMIFS($D$6:$D$205,$A$6:$A$205,A85,$"&amp;"C$6:$C$205,""TTM"",$AD$6:$AD$205,1),SUMIFS($D$6:$D$205,$A$6:$A$205,A85,$C$6:$C$205,""TTM"",$AD$6:$AD$205,1)-SUMIFS($D$6:$D$205,$A$6:$A$205,A85,$C$6:$C$205,""FY0"",$AD$6:$AD$205,1)&lt;366,ABS(D85-EDATE(SUMIFS($D$6:$D$205,$A$6:$A$205,A85,$C$6:$C$205,""FY0"",$A"&amp;"D$6:$AD$205,1),IF(C85=""FY0"",0,IF(C85=""FY-1"",-12,-24))))&lt;=31),1,0),0))"),"")</f>
        <v/>
      </c>
    </row>
    <row r="86" ht="31.5" customHeight="1">
      <c r="A86" s="85"/>
      <c r="B86" s="86" t="str">
        <f t="array" ref="B86">IF(A86="","",IF(AB86&lt;&gt;1,"Unmatched issuer",INDEX(Companies!$C$6:$C$55,MATCH(A86,Companies!$A$6:$A$55,0))))</f>
        <v/>
      </c>
      <c r="C86" s="87"/>
      <c r="D86" s="88"/>
      <c r="E86" s="88"/>
      <c r="F86" s="88"/>
      <c r="G86" s="87"/>
      <c r="H86" s="87"/>
      <c r="I86" s="85"/>
      <c r="J86" s="89"/>
      <c r="K86" s="89"/>
      <c r="L86" s="90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90"/>
      <c r="Z86" s="85"/>
      <c r="AA86" s="85"/>
      <c r="AB86" s="86" t="str">
        <f>IF(A86="","",COUNTIF(Companies!$A$6:$A$55,A86))</f>
        <v/>
      </c>
      <c r="AC86" s="86" t="str">
        <f t="shared" si="1"/>
        <v/>
      </c>
      <c r="AD86" s="86" t="str">
        <f>IF(A86="","",IFERROR(IF(AND(AB86=1,AC86=1,AM86=1,OR(C86="TTM",C86="FY0",C86="FY-1",C86="FY-2"),ISNUMBER(D86),D86&lt;=Rules!$B$6,ISNUMBER(E86),E86&gt;=D86,E86&lt;=Rules!$B$6,ISNUMBER(F86),ABS(D86-F86-365)&lt;=31,OR(G86="US GAAP",G86="IFRS"),H86="Yes",I86&lt;&gt;"",COUNT(J86:R86)=9,J86&gt;0,L86&gt;-1,L86&lt;1,M86&gt;=0,N86&gt;=0,Q86&gt;=0,R86&gt;=0,M86+O86-Q86&gt;0,N86+P86-R86&gt;0,Z86&lt;&gt;"",AA86&lt;&gt;""),1,0),0))</f>
        <v/>
      </c>
      <c r="AE86" s="91" t="str">
        <f t="shared" si="2"/>
        <v/>
      </c>
      <c r="AF86" s="91" t="str">
        <f t="shared" si="3"/>
        <v/>
      </c>
      <c r="AG86" s="92" t="str">
        <f t="shared" si="4"/>
        <v/>
      </c>
      <c r="AH86" s="92" t="str">
        <f t="shared" si="5"/>
        <v/>
      </c>
      <c r="AI86" s="92" t="str">
        <f t="shared" si="6"/>
        <v/>
      </c>
      <c r="AJ86" s="92" t="str">
        <f t="shared" si="7"/>
        <v/>
      </c>
      <c r="AK86" s="92" t="str">
        <f t="shared" si="8"/>
        <v/>
      </c>
      <c r="AL86" s="86" t="str">
        <f t="shared" si="9"/>
        <v/>
      </c>
      <c r="AM86" s="86" t="str">
        <f t="array" ref="AM86">IF(A86="","",IF(AB86&lt;&gt;1,0,IF(AND(INDEX(Companies!$R$6:$R$55,MATCH(A86,Companies!$A$6:$A$55,0))=1,INDEX(Companies!$I$6:$I$55,MATCH(A86,Companies!$A$6:$A$55,0))&gt;=MAX(10,Rules!$B$22)),1,0)))</f>
        <v/>
      </c>
      <c r="AN86" s="86" t="str">
        <f>IFERROR(__xludf.DUMMYFUNCTION("IF(A86="""","""",IFERROR(IF(AND(OR(C86=""FY0"",C86=""FY-1"",C86=""FY-2""),AD86=1,COUNTIFS($A$6:$A$205,A86,$C$6:$C$205,""FY0"",$AD$6:$AD$205,1)=1,COUNTIFS($A$6:$A$205,A86,$C$6:$C$205,""TTM"",$AD$6:$AD$205,1)=1,G86=IFNA(INDEX(FILTER($G$6:$G$205,$A$6:$A$205="&amp;"A86,$C$6:$C$205=""TTM"",$AD$6:$AD$205=1),1),""""),I86=IFNA(INDEX(FILTER($I$6:$I$205,$A$6:$A$205=A86,$C$6:$C$205=""TTM"",$AD$6:$AD$205=1),1),""""),SUMIFS($D$6:$D$205,$A$6:$A$205,A86,$C$6:$C$205,""FY0"",$AD$6:$AD$205,1)&lt;=SUMIFS($D$6:$D$205,$A$6:$A$205,A86,$"&amp;"C$6:$C$205,""TTM"",$AD$6:$AD$205,1),SUMIFS($D$6:$D$205,$A$6:$A$205,A86,$C$6:$C$205,""TTM"",$AD$6:$AD$205,1)-SUMIFS($D$6:$D$205,$A$6:$A$205,A86,$C$6:$C$205,""FY0"",$AD$6:$AD$205,1)&lt;366,ABS(D86-EDATE(SUMIFS($D$6:$D$205,$A$6:$A$205,A86,$C$6:$C$205,""FY0"",$A"&amp;"D$6:$AD$205,1),IF(C86=""FY0"",0,IF(C86=""FY-1"",-12,-24))))&lt;=31),1,0),0))"),"")</f>
        <v/>
      </c>
    </row>
    <row r="87" ht="31.5" customHeight="1">
      <c r="A87" s="85"/>
      <c r="B87" s="86" t="str">
        <f t="array" ref="B87">IF(A87="","",IF(AB87&lt;&gt;1,"Unmatched issuer",INDEX(Companies!$C$6:$C$55,MATCH(A87,Companies!$A$6:$A$55,0))))</f>
        <v/>
      </c>
      <c r="C87" s="87"/>
      <c r="D87" s="88"/>
      <c r="E87" s="88"/>
      <c r="F87" s="88"/>
      <c r="G87" s="87"/>
      <c r="H87" s="87"/>
      <c r="I87" s="85"/>
      <c r="J87" s="89"/>
      <c r="K87" s="89"/>
      <c r="L87" s="90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90"/>
      <c r="Z87" s="85"/>
      <c r="AA87" s="85"/>
      <c r="AB87" s="86" t="str">
        <f>IF(A87="","",COUNTIF(Companies!$A$6:$A$55,A87))</f>
        <v/>
      </c>
      <c r="AC87" s="86" t="str">
        <f t="shared" si="1"/>
        <v/>
      </c>
      <c r="AD87" s="86" t="str">
        <f>IF(A87="","",IFERROR(IF(AND(AB87=1,AC87=1,AM87=1,OR(C87="TTM",C87="FY0",C87="FY-1",C87="FY-2"),ISNUMBER(D87),D87&lt;=Rules!$B$6,ISNUMBER(E87),E87&gt;=D87,E87&lt;=Rules!$B$6,ISNUMBER(F87),ABS(D87-F87-365)&lt;=31,OR(G87="US GAAP",G87="IFRS"),H87="Yes",I87&lt;&gt;"",COUNT(J87:R87)=9,J87&gt;0,L87&gt;-1,L87&lt;1,M87&gt;=0,N87&gt;=0,Q87&gt;=0,R87&gt;=0,M87+O87-Q87&gt;0,N87+P87-R87&gt;0,Z87&lt;&gt;"",AA87&lt;&gt;""),1,0),0))</f>
        <v/>
      </c>
      <c r="AE87" s="91" t="str">
        <f t="shared" si="2"/>
        <v/>
      </c>
      <c r="AF87" s="91" t="str">
        <f t="shared" si="3"/>
        <v/>
      </c>
      <c r="AG87" s="92" t="str">
        <f t="shared" si="4"/>
        <v/>
      </c>
      <c r="AH87" s="92" t="str">
        <f t="shared" si="5"/>
        <v/>
      </c>
      <c r="AI87" s="92" t="str">
        <f t="shared" si="6"/>
        <v/>
      </c>
      <c r="AJ87" s="92" t="str">
        <f t="shared" si="7"/>
        <v/>
      </c>
      <c r="AK87" s="92" t="str">
        <f t="shared" si="8"/>
        <v/>
      </c>
      <c r="AL87" s="86" t="str">
        <f t="shared" si="9"/>
        <v/>
      </c>
      <c r="AM87" s="86" t="str">
        <f t="array" ref="AM87">IF(A87="","",IF(AB87&lt;&gt;1,0,IF(AND(INDEX(Companies!$R$6:$R$55,MATCH(A87,Companies!$A$6:$A$55,0))=1,INDEX(Companies!$I$6:$I$55,MATCH(A87,Companies!$A$6:$A$55,0))&gt;=MAX(10,Rules!$B$22)),1,0)))</f>
        <v/>
      </c>
      <c r="AN87" s="86" t="str">
        <f>IFERROR(__xludf.DUMMYFUNCTION("IF(A87="""","""",IFERROR(IF(AND(OR(C87=""FY0"",C87=""FY-1"",C87=""FY-2""),AD87=1,COUNTIFS($A$6:$A$205,A87,$C$6:$C$205,""FY0"",$AD$6:$AD$205,1)=1,COUNTIFS($A$6:$A$205,A87,$C$6:$C$205,""TTM"",$AD$6:$AD$205,1)=1,G87=IFNA(INDEX(FILTER($G$6:$G$205,$A$6:$A$205="&amp;"A87,$C$6:$C$205=""TTM"",$AD$6:$AD$205=1),1),""""),I87=IFNA(INDEX(FILTER($I$6:$I$205,$A$6:$A$205=A87,$C$6:$C$205=""TTM"",$AD$6:$AD$205=1),1),""""),SUMIFS($D$6:$D$205,$A$6:$A$205,A87,$C$6:$C$205,""FY0"",$AD$6:$AD$205,1)&lt;=SUMIFS($D$6:$D$205,$A$6:$A$205,A87,$"&amp;"C$6:$C$205,""TTM"",$AD$6:$AD$205,1),SUMIFS($D$6:$D$205,$A$6:$A$205,A87,$C$6:$C$205,""TTM"",$AD$6:$AD$205,1)-SUMIFS($D$6:$D$205,$A$6:$A$205,A87,$C$6:$C$205,""FY0"",$AD$6:$AD$205,1)&lt;366,ABS(D87-EDATE(SUMIFS($D$6:$D$205,$A$6:$A$205,A87,$C$6:$C$205,""FY0"",$A"&amp;"D$6:$AD$205,1),IF(C87=""FY0"",0,IF(C87=""FY-1"",-12,-24))))&lt;=31),1,0),0))"),"")</f>
        <v/>
      </c>
    </row>
    <row r="88" ht="31.5" customHeight="1">
      <c r="A88" s="85"/>
      <c r="B88" s="86" t="str">
        <f t="array" ref="B88">IF(A88="","",IF(AB88&lt;&gt;1,"Unmatched issuer",INDEX(Companies!$C$6:$C$55,MATCH(A88,Companies!$A$6:$A$55,0))))</f>
        <v/>
      </c>
      <c r="C88" s="87"/>
      <c r="D88" s="88"/>
      <c r="E88" s="88"/>
      <c r="F88" s="88"/>
      <c r="G88" s="87"/>
      <c r="H88" s="87"/>
      <c r="I88" s="85"/>
      <c r="J88" s="89"/>
      <c r="K88" s="89"/>
      <c r="L88" s="90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90"/>
      <c r="Z88" s="85"/>
      <c r="AA88" s="85"/>
      <c r="AB88" s="86" t="str">
        <f>IF(A88="","",COUNTIF(Companies!$A$6:$A$55,A88))</f>
        <v/>
      </c>
      <c r="AC88" s="86" t="str">
        <f t="shared" si="1"/>
        <v/>
      </c>
      <c r="AD88" s="86" t="str">
        <f>IF(A88="","",IFERROR(IF(AND(AB88=1,AC88=1,AM88=1,OR(C88="TTM",C88="FY0",C88="FY-1",C88="FY-2"),ISNUMBER(D88),D88&lt;=Rules!$B$6,ISNUMBER(E88),E88&gt;=D88,E88&lt;=Rules!$B$6,ISNUMBER(F88),ABS(D88-F88-365)&lt;=31,OR(G88="US GAAP",G88="IFRS"),H88="Yes",I88&lt;&gt;"",COUNT(J88:R88)=9,J88&gt;0,L88&gt;-1,L88&lt;1,M88&gt;=0,N88&gt;=0,Q88&gt;=0,R88&gt;=0,M88+O88-Q88&gt;0,N88+P88-R88&gt;0,Z88&lt;&gt;"",AA88&lt;&gt;""),1,0),0))</f>
        <v/>
      </c>
      <c r="AE88" s="91" t="str">
        <f t="shared" si="2"/>
        <v/>
      </c>
      <c r="AF88" s="91" t="str">
        <f t="shared" si="3"/>
        <v/>
      </c>
      <c r="AG88" s="92" t="str">
        <f t="shared" si="4"/>
        <v/>
      </c>
      <c r="AH88" s="92" t="str">
        <f t="shared" si="5"/>
        <v/>
      </c>
      <c r="AI88" s="92" t="str">
        <f t="shared" si="6"/>
        <v/>
      </c>
      <c r="AJ88" s="92" t="str">
        <f t="shared" si="7"/>
        <v/>
      </c>
      <c r="AK88" s="92" t="str">
        <f t="shared" si="8"/>
        <v/>
      </c>
      <c r="AL88" s="86" t="str">
        <f t="shared" si="9"/>
        <v/>
      </c>
      <c r="AM88" s="86" t="str">
        <f t="array" ref="AM88">IF(A88="","",IF(AB88&lt;&gt;1,0,IF(AND(INDEX(Companies!$R$6:$R$55,MATCH(A88,Companies!$A$6:$A$55,0))=1,INDEX(Companies!$I$6:$I$55,MATCH(A88,Companies!$A$6:$A$55,0))&gt;=MAX(10,Rules!$B$22)),1,0)))</f>
        <v/>
      </c>
      <c r="AN88" s="86" t="str">
        <f>IFERROR(__xludf.DUMMYFUNCTION("IF(A88="""","""",IFERROR(IF(AND(OR(C88=""FY0"",C88=""FY-1"",C88=""FY-2""),AD88=1,COUNTIFS($A$6:$A$205,A88,$C$6:$C$205,""FY0"",$AD$6:$AD$205,1)=1,COUNTIFS($A$6:$A$205,A88,$C$6:$C$205,""TTM"",$AD$6:$AD$205,1)=1,G88=IFNA(INDEX(FILTER($G$6:$G$205,$A$6:$A$205="&amp;"A88,$C$6:$C$205=""TTM"",$AD$6:$AD$205=1),1),""""),I88=IFNA(INDEX(FILTER($I$6:$I$205,$A$6:$A$205=A88,$C$6:$C$205=""TTM"",$AD$6:$AD$205=1),1),""""),SUMIFS($D$6:$D$205,$A$6:$A$205,A88,$C$6:$C$205,""FY0"",$AD$6:$AD$205,1)&lt;=SUMIFS($D$6:$D$205,$A$6:$A$205,A88,$"&amp;"C$6:$C$205,""TTM"",$AD$6:$AD$205,1),SUMIFS($D$6:$D$205,$A$6:$A$205,A88,$C$6:$C$205,""TTM"",$AD$6:$AD$205,1)-SUMIFS($D$6:$D$205,$A$6:$A$205,A88,$C$6:$C$205,""FY0"",$AD$6:$AD$205,1)&lt;366,ABS(D88-EDATE(SUMIFS($D$6:$D$205,$A$6:$A$205,A88,$C$6:$C$205,""FY0"",$A"&amp;"D$6:$AD$205,1),IF(C88=""FY0"",0,IF(C88=""FY-1"",-12,-24))))&lt;=31),1,0),0))"),"")</f>
        <v/>
      </c>
    </row>
    <row r="89" ht="31.5" customHeight="1">
      <c r="A89" s="85"/>
      <c r="B89" s="86" t="str">
        <f t="array" ref="B89">IF(A89="","",IF(AB89&lt;&gt;1,"Unmatched issuer",INDEX(Companies!$C$6:$C$55,MATCH(A89,Companies!$A$6:$A$55,0))))</f>
        <v/>
      </c>
      <c r="C89" s="87"/>
      <c r="D89" s="88"/>
      <c r="E89" s="88"/>
      <c r="F89" s="88"/>
      <c r="G89" s="87"/>
      <c r="H89" s="87"/>
      <c r="I89" s="85"/>
      <c r="J89" s="89"/>
      <c r="K89" s="89"/>
      <c r="L89" s="90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90"/>
      <c r="Z89" s="85"/>
      <c r="AA89" s="85"/>
      <c r="AB89" s="86" t="str">
        <f>IF(A89="","",COUNTIF(Companies!$A$6:$A$55,A89))</f>
        <v/>
      </c>
      <c r="AC89" s="86" t="str">
        <f t="shared" si="1"/>
        <v/>
      </c>
      <c r="AD89" s="86" t="str">
        <f>IF(A89="","",IFERROR(IF(AND(AB89=1,AC89=1,AM89=1,OR(C89="TTM",C89="FY0",C89="FY-1",C89="FY-2"),ISNUMBER(D89),D89&lt;=Rules!$B$6,ISNUMBER(E89),E89&gt;=D89,E89&lt;=Rules!$B$6,ISNUMBER(F89),ABS(D89-F89-365)&lt;=31,OR(G89="US GAAP",G89="IFRS"),H89="Yes",I89&lt;&gt;"",COUNT(J89:R89)=9,J89&gt;0,L89&gt;-1,L89&lt;1,M89&gt;=0,N89&gt;=0,Q89&gt;=0,R89&gt;=0,M89+O89-Q89&gt;0,N89+P89-R89&gt;0,Z89&lt;&gt;"",AA89&lt;&gt;""),1,0),0))</f>
        <v/>
      </c>
      <c r="AE89" s="91" t="str">
        <f t="shared" si="2"/>
        <v/>
      </c>
      <c r="AF89" s="91" t="str">
        <f t="shared" si="3"/>
        <v/>
      </c>
      <c r="AG89" s="92" t="str">
        <f t="shared" si="4"/>
        <v/>
      </c>
      <c r="AH89" s="92" t="str">
        <f t="shared" si="5"/>
        <v/>
      </c>
      <c r="AI89" s="92" t="str">
        <f t="shared" si="6"/>
        <v/>
      </c>
      <c r="AJ89" s="92" t="str">
        <f t="shared" si="7"/>
        <v/>
      </c>
      <c r="AK89" s="92" t="str">
        <f t="shared" si="8"/>
        <v/>
      </c>
      <c r="AL89" s="86" t="str">
        <f t="shared" si="9"/>
        <v/>
      </c>
      <c r="AM89" s="86" t="str">
        <f t="array" ref="AM89">IF(A89="","",IF(AB89&lt;&gt;1,0,IF(AND(INDEX(Companies!$R$6:$R$55,MATCH(A89,Companies!$A$6:$A$55,0))=1,INDEX(Companies!$I$6:$I$55,MATCH(A89,Companies!$A$6:$A$55,0))&gt;=MAX(10,Rules!$B$22)),1,0)))</f>
        <v/>
      </c>
      <c r="AN89" s="86" t="str">
        <f>IFERROR(__xludf.DUMMYFUNCTION("IF(A89="""","""",IFERROR(IF(AND(OR(C89=""FY0"",C89=""FY-1"",C89=""FY-2""),AD89=1,COUNTIFS($A$6:$A$205,A89,$C$6:$C$205,""FY0"",$AD$6:$AD$205,1)=1,COUNTIFS($A$6:$A$205,A89,$C$6:$C$205,""TTM"",$AD$6:$AD$205,1)=1,G89=IFNA(INDEX(FILTER($G$6:$G$205,$A$6:$A$205="&amp;"A89,$C$6:$C$205=""TTM"",$AD$6:$AD$205=1),1),""""),I89=IFNA(INDEX(FILTER($I$6:$I$205,$A$6:$A$205=A89,$C$6:$C$205=""TTM"",$AD$6:$AD$205=1),1),""""),SUMIFS($D$6:$D$205,$A$6:$A$205,A89,$C$6:$C$205,""FY0"",$AD$6:$AD$205,1)&lt;=SUMIFS($D$6:$D$205,$A$6:$A$205,A89,$"&amp;"C$6:$C$205,""TTM"",$AD$6:$AD$205,1),SUMIFS($D$6:$D$205,$A$6:$A$205,A89,$C$6:$C$205,""TTM"",$AD$6:$AD$205,1)-SUMIFS($D$6:$D$205,$A$6:$A$205,A89,$C$6:$C$205,""FY0"",$AD$6:$AD$205,1)&lt;366,ABS(D89-EDATE(SUMIFS($D$6:$D$205,$A$6:$A$205,A89,$C$6:$C$205,""FY0"",$A"&amp;"D$6:$AD$205,1),IF(C89=""FY0"",0,IF(C89=""FY-1"",-12,-24))))&lt;=31),1,0),0))"),"")</f>
        <v/>
      </c>
    </row>
    <row r="90" ht="31.5" customHeight="1">
      <c r="A90" s="85"/>
      <c r="B90" s="86" t="str">
        <f t="array" ref="B90">IF(A90="","",IF(AB90&lt;&gt;1,"Unmatched issuer",INDEX(Companies!$C$6:$C$55,MATCH(A90,Companies!$A$6:$A$55,0))))</f>
        <v/>
      </c>
      <c r="C90" s="87"/>
      <c r="D90" s="88"/>
      <c r="E90" s="88"/>
      <c r="F90" s="88"/>
      <c r="G90" s="87"/>
      <c r="H90" s="87"/>
      <c r="I90" s="85"/>
      <c r="J90" s="89"/>
      <c r="K90" s="89"/>
      <c r="L90" s="90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90"/>
      <c r="Z90" s="85"/>
      <c r="AA90" s="85"/>
      <c r="AB90" s="86" t="str">
        <f>IF(A90="","",COUNTIF(Companies!$A$6:$A$55,A90))</f>
        <v/>
      </c>
      <c r="AC90" s="86" t="str">
        <f t="shared" si="1"/>
        <v/>
      </c>
      <c r="AD90" s="86" t="str">
        <f>IF(A90="","",IFERROR(IF(AND(AB90=1,AC90=1,AM90=1,OR(C90="TTM",C90="FY0",C90="FY-1",C90="FY-2"),ISNUMBER(D90),D90&lt;=Rules!$B$6,ISNUMBER(E90),E90&gt;=D90,E90&lt;=Rules!$B$6,ISNUMBER(F90),ABS(D90-F90-365)&lt;=31,OR(G90="US GAAP",G90="IFRS"),H90="Yes",I90&lt;&gt;"",COUNT(J90:R90)=9,J90&gt;0,L90&gt;-1,L90&lt;1,M90&gt;=0,N90&gt;=0,Q90&gt;=0,R90&gt;=0,M90+O90-Q90&gt;0,N90+P90-R90&gt;0,Z90&lt;&gt;"",AA90&lt;&gt;""),1,0),0))</f>
        <v/>
      </c>
      <c r="AE90" s="91" t="str">
        <f t="shared" si="2"/>
        <v/>
      </c>
      <c r="AF90" s="91" t="str">
        <f t="shared" si="3"/>
        <v/>
      </c>
      <c r="AG90" s="92" t="str">
        <f t="shared" si="4"/>
        <v/>
      </c>
      <c r="AH90" s="92" t="str">
        <f t="shared" si="5"/>
        <v/>
      </c>
      <c r="AI90" s="92" t="str">
        <f t="shared" si="6"/>
        <v/>
      </c>
      <c r="AJ90" s="92" t="str">
        <f t="shared" si="7"/>
        <v/>
      </c>
      <c r="AK90" s="92" t="str">
        <f t="shared" si="8"/>
        <v/>
      </c>
      <c r="AL90" s="86" t="str">
        <f t="shared" si="9"/>
        <v/>
      </c>
      <c r="AM90" s="86" t="str">
        <f t="array" ref="AM90">IF(A90="","",IF(AB90&lt;&gt;1,0,IF(AND(INDEX(Companies!$R$6:$R$55,MATCH(A90,Companies!$A$6:$A$55,0))=1,INDEX(Companies!$I$6:$I$55,MATCH(A90,Companies!$A$6:$A$55,0))&gt;=MAX(10,Rules!$B$22)),1,0)))</f>
        <v/>
      </c>
      <c r="AN90" s="86" t="str">
        <f>IFERROR(__xludf.DUMMYFUNCTION("IF(A90="""","""",IFERROR(IF(AND(OR(C90=""FY0"",C90=""FY-1"",C90=""FY-2""),AD90=1,COUNTIFS($A$6:$A$205,A90,$C$6:$C$205,""FY0"",$AD$6:$AD$205,1)=1,COUNTIFS($A$6:$A$205,A90,$C$6:$C$205,""TTM"",$AD$6:$AD$205,1)=1,G90=IFNA(INDEX(FILTER($G$6:$G$205,$A$6:$A$205="&amp;"A90,$C$6:$C$205=""TTM"",$AD$6:$AD$205=1),1),""""),I90=IFNA(INDEX(FILTER($I$6:$I$205,$A$6:$A$205=A90,$C$6:$C$205=""TTM"",$AD$6:$AD$205=1),1),""""),SUMIFS($D$6:$D$205,$A$6:$A$205,A90,$C$6:$C$205,""FY0"",$AD$6:$AD$205,1)&lt;=SUMIFS($D$6:$D$205,$A$6:$A$205,A90,$"&amp;"C$6:$C$205,""TTM"",$AD$6:$AD$205,1),SUMIFS($D$6:$D$205,$A$6:$A$205,A90,$C$6:$C$205,""TTM"",$AD$6:$AD$205,1)-SUMIFS($D$6:$D$205,$A$6:$A$205,A90,$C$6:$C$205,""FY0"",$AD$6:$AD$205,1)&lt;366,ABS(D90-EDATE(SUMIFS($D$6:$D$205,$A$6:$A$205,A90,$C$6:$C$205,""FY0"",$A"&amp;"D$6:$AD$205,1),IF(C90=""FY0"",0,IF(C90=""FY-1"",-12,-24))))&lt;=31),1,0),0))"),"")</f>
        <v/>
      </c>
    </row>
    <row r="91" ht="31.5" customHeight="1">
      <c r="A91" s="85"/>
      <c r="B91" s="86" t="str">
        <f t="array" ref="B91">IF(A91="","",IF(AB91&lt;&gt;1,"Unmatched issuer",INDEX(Companies!$C$6:$C$55,MATCH(A91,Companies!$A$6:$A$55,0))))</f>
        <v/>
      </c>
      <c r="C91" s="87"/>
      <c r="D91" s="88"/>
      <c r="E91" s="88"/>
      <c r="F91" s="88"/>
      <c r="G91" s="87"/>
      <c r="H91" s="87"/>
      <c r="I91" s="85"/>
      <c r="J91" s="89"/>
      <c r="K91" s="89"/>
      <c r="L91" s="90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90"/>
      <c r="Z91" s="85"/>
      <c r="AA91" s="85"/>
      <c r="AB91" s="86" t="str">
        <f>IF(A91="","",COUNTIF(Companies!$A$6:$A$55,A91))</f>
        <v/>
      </c>
      <c r="AC91" s="86" t="str">
        <f t="shared" si="1"/>
        <v/>
      </c>
      <c r="AD91" s="86" t="str">
        <f>IF(A91="","",IFERROR(IF(AND(AB91=1,AC91=1,AM91=1,OR(C91="TTM",C91="FY0",C91="FY-1",C91="FY-2"),ISNUMBER(D91),D91&lt;=Rules!$B$6,ISNUMBER(E91),E91&gt;=D91,E91&lt;=Rules!$B$6,ISNUMBER(F91),ABS(D91-F91-365)&lt;=31,OR(G91="US GAAP",G91="IFRS"),H91="Yes",I91&lt;&gt;"",COUNT(J91:R91)=9,J91&gt;0,L91&gt;-1,L91&lt;1,M91&gt;=0,N91&gt;=0,Q91&gt;=0,R91&gt;=0,M91+O91-Q91&gt;0,N91+P91-R91&gt;0,Z91&lt;&gt;"",AA91&lt;&gt;""),1,0),0))</f>
        <v/>
      </c>
      <c r="AE91" s="91" t="str">
        <f t="shared" si="2"/>
        <v/>
      </c>
      <c r="AF91" s="91" t="str">
        <f t="shared" si="3"/>
        <v/>
      </c>
      <c r="AG91" s="92" t="str">
        <f t="shared" si="4"/>
        <v/>
      </c>
      <c r="AH91" s="92" t="str">
        <f t="shared" si="5"/>
        <v/>
      </c>
      <c r="AI91" s="92" t="str">
        <f t="shared" si="6"/>
        <v/>
      </c>
      <c r="AJ91" s="92" t="str">
        <f t="shared" si="7"/>
        <v/>
      </c>
      <c r="AK91" s="92" t="str">
        <f t="shared" si="8"/>
        <v/>
      </c>
      <c r="AL91" s="86" t="str">
        <f t="shared" si="9"/>
        <v/>
      </c>
      <c r="AM91" s="86" t="str">
        <f t="array" ref="AM91">IF(A91="","",IF(AB91&lt;&gt;1,0,IF(AND(INDEX(Companies!$R$6:$R$55,MATCH(A91,Companies!$A$6:$A$55,0))=1,INDEX(Companies!$I$6:$I$55,MATCH(A91,Companies!$A$6:$A$55,0))&gt;=MAX(10,Rules!$B$22)),1,0)))</f>
        <v/>
      </c>
      <c r="AN91" s="86" t="str">
        <f>IFERROR(__xludf.DUMMYFUNCTION("IF(A91="""","""",IFERROR(IF(AND(OR(C91=""FY0"",C91=""FY-1"",C91=""FY-2""),AD91=1,COUNTIFS($A$6:$A$205,A91,$C$6:$C$205,""FY0"",$AD$6:$AD$205,1)=1,COUNTIFS($A$6:$A$205,A91,$C$6:$C$205,""TTM"",$AD$6:$AD$205,1)=1,G91=IFNA(INDEX(FILTER($G$6:$G$205,$A$6:$A$205="&amp;"A91,$C$6:$C$205=""TTM"",$AD$6:$AD$205=1),1),""""),I91=IFNA(INDEX(FILTER($I$6:$I$205,$A$6:$A$205=A91,$C$6:$C$205=""TTM"",$AD$6:$AD$205=1),1),""""),SUMIFS($D$6:$D$205,$A$6:$A$205,A91,$C$6:$C$205,""FY0"",$AD$6:$AD$205,1)&lt;=SUMIFS($D$6:$D$205,$A$6:$A$205,A91,$"&amp;"C$6:$C$205,""TTM"",$AD$6:$AD$205,1),SUMIFS($D$6:$D$205,$A$6:$A$205,A91,$C$6:$C$205,""TTM"",$AD$6:$AD$205,1)-SUMIFS($D$6:$D$205,$A$6:$A$205,A91,$C$6:$C$205,""FY0"",$AD$6:$AD$205,1)&lt;366,ABS(D91-EDATE(SUMIFS($D$6:$D$205,$A$6:$A$205,A91,$C$6:$C$205,""FY0"",$A"&amp;"D$6:$AD$205,1),IF(C91=""FY0"",0,IF(C91=""FY-1"",-12,-24))))&lt;=31),1,0),0))"),"")</f>
        <v/>
      </c>
    </row>
    <row r="92" ht="31.5" customHeight="1">
      <c r="A92" s="85"/>
      <c r="B92" s="86" t="str">
        <f t="array" ref="B92">IF(A92="","",IF(AB92&lt;&gt;1,"Unmatched issuer",INDEX(Companies!$C$6:$C$55,MATCH(A92,Companies!$A$6:$A$55,0))))</f>
        <v/>
      </c>
      <c r="C92" s="87"/>
      <c r="D92" s="88"/>
      <c r="E92" s="88"/>
      <c r="F92" s="88"/>
      <c r="G92" s="87"/>
      <c r="H92" s="87"/>
      <c r="I92" s="85"/>
      <c r="J92" s="89"/>
      <c r="K92" s="89"/>
      <c r="L92" s="90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90"/>
      <c r="Z92" s="85"/>
      <c r="AA92" s="85"/>
      <c r="AB92" s="86" t="str">
        <f>IF(A92="","",COUNTIF(Companies!$A$6:$A$55,A92))</f>
        <v/>
      </c>
      <c r="AC92" s="86" t="str">
        <f t="shared" si="1"/>
        <v/>
      </c>
      <c r="AD92" s="86" t="str">
        <f>IF(A92="","",IFERROR(IF(AND(AB92=1,AC92=1,AM92=1,OR(C92="TTM",C92="FY0",C92="FY-1",C92="FY-2"),ISNUMBER(D92),D92&lt;=Rules!$B$6,ISNUMBER(E92),E92&gt;=D92,E92&lt;=Rules!$B$6,ISNUMBER(F92),ABS(D92-F92-365)&lt;=31,OR(G92="US GAAP",G92="IFRS"),H92="Yes",I92&lt;&gt;"",COUNT(J92:R92)=9,J92&gt;0,L92&gt;-1,L92&lt;1,M92&gt;=0,N92&gt;=0,Q92&gt;=0,R92&gt;=0,M92+O92-Q92&gt;0,N92+P92-R92&gt;0,Z92&lt;&gt;"",AA92&lt;&gt;""),1,0),0))</f>
        <v/>
      </c>
      <c r="AE92" s="91" t="str">
        <f t="shared" si="2"/>
        <v/>
      </c>
      <c r="AF92" s="91" t="str">
        <f t="shared" si="3"/>
        <v/>
      </c>
      <c r="AG92" s="92" t="str">
        <f t="shared" si="4"/>
        <v/>
      </c>
      <c r="AH92" s="92" t="str">
        <f t="shared" si="5"/>
        <v/>
      </c>
      <c r="AI92" s="92" t="str">
        <f t="shared" si="6"/>
        <v/>
      </c>
      <c r="AJ92" s="92" t="str">
        <f t="shared" si="7"/>
        <v/>
      </c>
      <c r="AK92" s="92" t="str">
        <f t="shared" si="8"/>
        <v/>
      </c>
      <c r="AL92" s="86" t="str">
        <f t="shared" si="9"/>
        <v/>
      </c>
      <c r="AM92" s="86" t="str">
        <f t="array" ref="AM92">IF(A92="","",IF(AB92&lt;&gt;1,0,IF(AND(INDEX(Companies!$R$6:$R$55,MATCH(A92,Companies!$A$6:$A$55,0))=1,INDEX(Companies!$I$6:$I$55,MATCH(A92,Companies!$A$6:$A$55,0))&gt;=MAX(10,Rules!$B$22)),1,0)))</f>
        <v/>
      </c>
      <c r="AN92" s="86" t="str">
        <f>IFERROR(__xludf.DUMMYFUNCTION("IF(A92="""","""",IFERROR(IF(AND(OR(C92=""FY0"",C92=""FY-1"",C92=""FY-2""),AD92=1,COUNTIFS($A$6:$A$205,A92,$C$6:$C$205,""FY0"",$AD$6:$AD$205,1)=1,COUNTIFS($A$6:$A$205,A92,$C$6:$C$205,""TTM"",$AD$6:$AD$205,1)=1,G92=IFNA(INDEX(FILTER($G$6:$G$205,$A$6:$A$205="&amp;"A92,$C$6:$C$205=""TTM"",$AD$6:$AD$205=1),1),""""),I92=IFNA(INDEX(FILTER($I$6:$I$205,$A$6:$A$205=A92,$C$6:$C$205=""TTM"",$AD$6:$AD$205=1),1),""""),SUMIFS($D$6:$D$205,$A$6:$A$205,A92,$C$6:$C$205,""FY0"",$AD$6:$AD$205,1)&lt;=SUMIFS($D$6:$D$205,$A$6:$A$205,A92,$"&amp;"C$6:$C$205,""TTM"",$AD$6:$AD$205,1),SUMIFS($D$6:$D$205,$A$6:$A$205,A92,$C$6:$C$205,""TTM"",$AD$6:$AD$205,1)-SUMIFS($D$6:$D$205,$A$6:$A$205,A92,$C$6:$C$205,""FY0"",$AD$6:$AD$205,1)&lt;366,ABS(D92-EDATE(SUMIFS($D$6:$D$205,$A$6:$A$205,A92,$C$6:$C$205,""FY0"",$A"&amp;"D$6:$AD$205,1),IF(C92=""FY0"",0,IF(C92=""FY-1"",-12,-24))))&lt;=31),1,0),0))"),"")</f>
        <v/>
      </c>
    </row>
    <row r="93" ht="31.5" customHeight="1">
      <c r="A93" s="85"/>
      <c r="B93" s="86" t="str">
        <f t="array" ref="B93">IF(A93="","",IF(AB93&lt;&gt;1,"Unmatched issuer",INDEX(Companies!$C$6:$C$55,MATCH(A93,Companies!$A$6:$A$55,0))))</f>
        <v/>
      </c>
      <c r="C93" s="87"/>
      <c r="D93" s="88"/>
      <c r="E93" s="88"/>
      <c r="F93" s="88"/>
      <c r="G93" s="87"/>
      <c r="H93" s="87"/>
      <c r="I93" s="85"/>
      <c r="J93" s="89"/>
      <c r="K93" s="89"/>
      <c r="L93" s="90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90"/>
      <c r="Z93" s="85"/>
      <c r="AA93" s="85"/>
      <c r="AB93" s="86" t="str">
        <f>IF(A93="","",COUNTIF(Companies!$A$6:$A$55,A93))</f>
        <v/>
      </c>
      <c r="AC93" s="86" t="str">
        <f t="shared" si="1"/>
        <v/>
      </c>
      <c r="AD93" s="86" t="str">
        <f>IF(A93="","",IFERROR(IF(AND(AB93=1,AC93=1,AM93=1,OR(C93="TTM",C93="FY0",C93="FY-1",C93="FY-2"),ISNUMBER(D93),D93&lt;=Rules!$B$6,ISNUMBER(E93),E93&gt;=D93,E93&lt;=Rules!$B$6,ISNUMBER(F93),ABS(D93-F93-365)&lt;=31,OR(G93="US GAAP",G93="IFRS"),H93="Yes",I93&lt;&gt;"",COUNT(J93:R93)=9,J93&gt;0,L93&gt;-1,L93&lt;1,M93&gt;=0,N93&gt;=0,Q93&gt;=0,R93&gt;=0,M93+O93-Q93&gt;0,N93+P93-R93&gt;0,Z93&lt;&gt;"",AA93&lt;&gt;""),1,0),0))</f>
        <v/>
      </c>
      <c r="AE93" s="91" t="str">
        <f t="shared" si="2"/>
        <v/>
      </c>
      <c r="AF93" s="91" t="str">
        <f t="shared" si="3"/>
        <v/>
      </c>
      <c r="AG93" s="92" t="str">
        <f t="shared" si="4"/>
        <v/>
      </c>
      <c r="AH93" s="92" t="str">
        <f t="shared" si="5"/>
        <v/>
      </c>
      <c r="AI93" s="92" t="str">
        <f t="shared" si="6"/>
        <v/>
      </c>
      <c r="AJ93" s="92" t="str">
        <f t="shared" si="7"/>
        <v/>
      </c>
      <c r="AK93" s="92" t="str">
        <f t="shared" si="8"/>
        <v/>
      </c>
      <c r="AL93" s="86" t="str">
        <f t="shared" si="9"/>
        <v/>
      </c>
      <c r="AM93" s="86" t="str">
        <f t="array" ref="AM93">IF(A93="","",IF(AB93&lt;&gt;1,0,IF(AND(INDEX(Companies!$R$6:$R$55,MATCH(A93,Companies!$A$6:$A$55,0))=1,INDEX(Companies!$I$6:$I$55,MATCH(A93,Companies!$A$6:$A$55,0))&gt;=MAX(10,Rules!$B$22)),1,0)))</f>
        <v/>
      </c>
      <c r="AN93" s="86" t="str">
        <f>IFERROR(__xludf.DUMMYFUNCTION("IF(A93="""","""",IFERROR(IF(AND(OR(C93=""FY0"",C93=""FY-1"",C93=""FY-2""),AD93=1,COUNTIFS($A$6:$A$205,A93,$C$6:$C$205,""FY0"",$AD$6:$AD$205,1)=1,COUNTIFS($A$6:$A$205,A93,$C$6:$C$205,""TTM"",$AD$6:$AD$205,1)=1,G93=IFNA(INDEX(FILTER($G$6:$G$205,$A$6:$A$205="&amp;"A93,$C$6:$C$205=""TTM"",$AD$6:$AD$205=1),1),""""),I93=IFNA(INDEX(FILTER($I$6:$I$205,$A$6:$A$205=A93,$C$6:$C$205=""TTM"",$AD$6:$AD$205=1),1),""""),SUMIFS($D$6:$D$205,$A$6:$A$205,A93,$C$6:$C$205,""FY0"",$AD$6:$AD$205,1)&lt;=SUMIFS($D$6:$D$205,$A$6:$A$205,A93,$"&amp;"C$6:$C$205,""TTM"",$AD$6:$AD$205,1),SUMIFS($D$6:$D$205,$A$6:$A$205,A93,$C$6:$C$205,""TTM"",$AD$6:$AD$205,1)-SUMIFS($D$6:$D$205,$A$6:$A$205,A93,$C$6:$C$205,""FY0"",$AD$6:$AD$205,1)&lt;366,ABS(D93-EDATE(SUMIFS($D$6:$D$205,$A$6:$A$205,A93,$C$6:$C$205,""FY0"",$A"&amp;"D$6:$AD$205,1),IF(C93=""FY0"",0,IF(C93=""FY-1"",-12,-24))))&lt;=31),1,0),0))"),"")</f>
        <v/>
      </c>
    </row>
    <row r="94" ht="31.5" customHeight="1">
      <c r="A94" s="85"/>
      <c r="B94" s="86" t="str">
        <f t="array" ref="B94">IF(A94="","",IF(AB94&lt;&gt;1,"Unmatched issuer",INDEX(Companies!$C$6:$C$55,MATCH(A94,Companies!$A$6:$A$55,0))))</f>
        <v/>
      </c>
      <c r="C94" s="87"/>
      <c r="D94" s="88"/>
      <c r="E94" s="88"/>
      <c r="F94" s="88"/>
      <c r="G94" s="87"/>
      <c r="H94" s="87"/>
      <c r="I94" s="85"/>
      <c r="J94" s="89"/>
      <c r="K94" s="89"/>
      <c r="L94" s="90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90"/>
      <c r="Z94" s="85"/>
      <c r="AA94" s="85"/>
      <c r="AB94" s="86" t="str">
        <f>IF(A94="","",COUNTIF(Companies!$A$6:$A$55,A94))</f>
        <v/>
      </c>
      <c r="AC94" s="86" t="str">
        <f t="shared" si="1"/>
        <v/>
      </c>
      <c r="AD94" s="86" t="str">
        <f>IF(A94="","",IFERROR(IF(AND(AB94=1,AC94=1,AM94=1,OR(C94="TTM",C94="FY0",C94="FY-1",C94="FY-2"),ISNUMBER(D94),D94&lt;=Rules!$B$6,ISNUMBER(E94),E94&gt;=D94,E94&lt;=Rules!$B$6,ISNUMBER(F94),ABS(D94-F94-365)&lt;=31,OR(G94="US GAAP",G94="IFRS"),H94="Yes",I94&lt;&gt;"",COUNT(J94:R94)=9,J94&gt;0,L94&gt;-1,L94&lt;1,M94&gt;=0,N94&gt;=0,Q94&gt;=0,R94&gt;=0,M94+O94-Q94&gt;0,N94+P94-R94&gt;0,Z94&lt;&gt;"",AA94&lt;&gt;""),1,0),0))</f>
        <v/>
      </c>
      <c r="AE94" s="91" t="str">
        <f t="shared" si="2"/>
        <v/>
      </c>
      <c r="AF94" s="91" t="str">
        <f t="shared" si="3"/>
        <v/>
      </c>
      <c r="AG94" s="92" t="str">
        <f t="shared" si="4"/>
        <v/>
      </c>
      <c r="AH94" s="92" t="str">
        <f t="shared" si="5"/>
        <v/>
      </c>
      <c r="AI94" s="92" t="str">
        <f t="shared" si="6"/>
        <v/>
      </c>
      <c r="AJ94" s="92" t="str">
        <f t="shared" si="7"/>
        <v/>
      </c>
      <c r="AK94" s="92" t="str">
        <f t="shared" si="8"/>
        <v/>
      </c>
      <c r="AL94" s="86" t="str">
        <f t="shared" si="9"/>
        <v/>
      </c>
      <c r="AM94" s="86" t="str">
        <f t="array" ref="AM94">IF(A94="","",IF(AB94&lt;&gt;1,0,IF(AND(INDEX(Companies!$R$6:$R$55,MATCH(A94,Companies!$A$6:$A$55,0))=1,INDEX(Companies!$I$6:$I$55,MATCH(A94,Companies!$A$6:$A$55,0))&gt;=MAX(10,Rules!$B$22)),1,0)))</f>
        <v/>
      </c>
      <c r="AN94" s="86" t="str">
        <f>IFERROR(__xludf.DUMMYFUNCTION("IF(A94="""","""",IFERROR(IF(AND(OR(C94=""FY0"",C94=""FY-1"",C94=""FY-2""),AD94=1,COUNTIFS($A$6:$A$205,A94,$C$6:$C$205,""FY0"",$AD$6:$AD$205,1)=1,COUNTIFS($A$6:$A$205,A94,$C$6:$C$205,""TTM"",$AD$6:$AD$205,1)=1,G94=IFNA(INDEX(FILTER($G$6:$G$205,$A$6:$A$205="&amp;"A94,$C$6:$C$205=""TTM"",$AD$6:$AD$205=1),1),""""),I94=IFNA(INDEX(FILTER($I$6:$I$205,$A$6:$A$205=A94,$C$6:$C$205=""TTM"",$AD$6:$AD$205=1),1),""""),SUMIFS($D$6:$D$205,$A$6:$A$205,A94,$C$6:$C$205,""FY0"",$AD$6:$AD$205,1)&lt;=SUMIFS($D$6:$D$205,$A$6:$A$205,A94,$"&amp;"C$6:$C$205,""TTM"",$AD$6:$AD$205,1),SUMIFS($D$6:$D$205,$A$6:$A$205,A94,$C$6:$C$205,""TTM"",$AD$6:$AD$205,1)-SUMIFS($D$6:$D$205,$A$6:$A$205,A94,$C$6:$C$205,""FY0"",$AD$6:$AD$205,1)&lt;366,ABS(D94-EDATE(SUMIFS($D$6:$D$205,$A$6:$A$205,A94,$C$6:$C$205,""FY0"",$A"&amp;"D$6:$AD$205,1),IF(C94=""FY0"",0,IF(C94=""FY-1"",-12,-24))))&lt;=31),1,0),0))"),"")</f>
        <v/>
      </c>
    </row>
    <row r="95" ht="31.5" customHeight="1">
      <c r="A95" s="85"/>
      <c r="B95" s="86" t="str">
        <f t="array" ref="B95">IF(A95="","",IF(AB95&lt;&gt;1,"Unmatched issuer",INDEX(Companies!$C$6:$C$55,MATCH(A95,Companies!$A$6:$A$55,0))))</f>
        <v/>
      </c>
      <c r="C95" s="87"/>
      <c r="D95" s="88"/>
      <c r="E95" s="88"/>
      <c r="F95" s="88"/>
      <c r="G95" s="87"/>
      <c r="H95" s="87"/>
      <c r="I95" s="85"/>
      <c r="J95" s="89"/>
      <c r="K95" s="89"/>
      <c r="L95" s="90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90"/>
      <c r="Z95" s="85"/>
      <c r="AA95" s="85"/>
      <c r="AB95" s="86" t="str">
        <f>IF(A95="","",COUNTIF(Companies!$A$6:$A$55,A95))</f>
        <v/>
      </c>
      <c r="AC95" s="86" t="str">
        <f t="shared" si="1"/>
        <v/>
      </c>
      <c r="AD95" s="86" t="str">
        <f>IF(A95="","",IFERROR(IF(AND(AB95=1,AC95=1,AM95=1,OR(C95="TTM",C95="FY0",C95="FY-1",C95="FY-2"),ISNUMBER(D95),D95&lt;=Rules!$B$6,ISNUMBER(E95),E95&gt;=D95,E95&lt;=Rules!$B$6,ISNUMBER(F95),ABS(D95-F95-365)&lt;=31,OR(G95="US GAAP",G95="IFRS"),H95="Yes",I95&lt;&gt;"",COUNT(J95:R95)=9,J95&gt;0,L95&gt;-1,L95&lt;1,M95&gt;=0,N95&gt;=0,Q95&gt;=0,R95&gt;=0,M95+O95-Q95&gt;0,N95+P95-R95&gt;0,Z95&lt;&gt;"",AA95&lt;&gt;""),1,0),0))</f>
        <v/>
      </c>
      <c r="AE95" s="91" t="str">
        <f t="shared" si="2"/>
        <v/>
      </c>
      <c r="AF95" s="91" t="str">
        <f t="shared" si="3"/>
        <v/>
      </c>
      <c r="AG95" s="92" t="str">
        <f t="shared" si="4"/>
        <v/>
      </c>
      <c r="AH95" s="92" t="str">
        <f t="shared" si="5"/>
        <v/>
      </c>
      <c r="AI95" s="92" t="str">
        <f t="shared" si="6"/>
        <v/>
      </c>
      <c r="AJ95" s="92" t="str">
        <f t="shared" si="7"/>
        <v/>
      </c>
      <c r="AK95" s="92" t="str">
        <f t="shared" si="8"/>
        <v/>
      </c>
      <c r="AL95" s="86" t="str">
        <f t="shared" si="9"/>
        <v/>
      </c>
      <c r="AM95" s="86" t="str">
        <f t="array" ref="AM95">IF(A95="","",IF(AB95&lt;&gt;1,0,IF(AND(INDEX(Companies!$R$6:$R$55,MATCH(A95,Companies!$A$6:$A$55,0))=1,INDEX(Companies!$I$6:$I$55,MATCH(A95,Companies!$A$6:$A$55,0))&gt;=MAX(10,Rules!$B$22)),1,0)))</f>
        <v/>
      </c>
      <c r="AN95" s="86" t="str">
        <f>IFERROR(__xludf.DUMMYFUNCTION("IF(A95="""","""",IFERROR(IF(AND(OR(C95=""FY0"",C95=""FY-1"",C95=""FY-2""),AD95=1,COUNTIFS($A$6:$A$205,A95,$C$6:$C$205,""FY0"",$AD$6:$AD$205,1)=1,COUNTIFS($A$6:$A$205,A95,$C$6:$C$205,""TTM"",$AD$6:$AD$205,1)=1,G95=IFNA(INDEX(FILTER($G$6:$G$205,$A$6:$A$205="&amp;"A95,$C$6:$C$205=""TTM"",$AD$6:$AD$205=1),1),""""),I95=IFNA(INDEX(FILTER($I$6:$I$205,$A$6:$A$205=A95,$C$6:$C$205=""TTM"",$AD$6:$AD$205=1),1),""""),SUMIFS($D$6:$D$205,$A$6:$A$205,A95,$C$6:$C$205,""FY0"",$AD$6:$AD$205,1)&lt;=SUMIFS($D$6:$D$205,$A$6:$A$205,A95,$"&amp;"C$6:$C$205,""TTM"",$AD$6:$AD$205,1),SUMIFS($D$6:$D$205,$A$6:$A$205,A95,$C$6:$C$205,""TTM"",$AD$6:$AD$205,1)-SUMIFS($D$6:$D$205,$A$6:$A$205,A95,$C$6:$C$205,""FY0"",$AD$6:$AD$205,1)&lt;366,ABS(D95-EDATE(SUMIFS($D$6:$D$205,$A$6:$A$205,A95,$C$6:$C$205,""FY0"",$A"&amp;"D$6:$AD$205,1),IF(C95=""FY0"",0,IF(C95=""FY-1"",-12,-24))))&lt;=31),1,0),0))"),"")</f>
        <v/>
      </c>
    </row>
    <row r="96" ht="31.5" customHeight="1">
      <c r="A96" s="85"/>
      <c r="B96" s="86" t="str">
        <f t="array" ref="B96">IF(A96="","",IF(AB96&lt;&gt;1,"Unmatched issuer",INDEX(Companies!$C$6:$C$55,MATCH(A96,Companies!$A$6:$A$55,0))))</f>
        <v/>
      </c>
      <c r="C96" s="87"/>
      <c r="D96" s="88"/>
      <c r="E96" s="88"/>
      <c r="F96" s="88"/>
      <c r="G96" s="87"/>
      <c r="H96" s="87"/>
      <c r="I96" s="85"/>
      <c r="J96" s="89"/>
      <c r="K96" s="89"/>
      <c r="L96" s="90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90"/>
      <c r="Z96" s="85"/>
      <c r="AA96" s="85"/>
      <c r="AB96" s="86" t="str">
        <f>IF(A96="","",COUNTIF(Companies!$A$6:$A$55,A96))</f>
        <v/>
      </c>
      <c r="AC96" s="86" t="str">
        <f t="shared" si="1"/>
        <v/>
      </c>
      <c r="AD96" s="86" t="str">
        <f>IF(A96="","",IFERROR(IF(AND(AB96=1,AC96=1,AM96=1,OR(C96="TTM",C96="FY0",C96="FY-1",C96="FY-2"),ISNUMBER(D96),D96&lt;=Rules!$B$6,ISNUMBER(E96),E96&gt;=D96,E96&lt;=Rules!$B$6,ISNUMBER(F96),ABS(D96-F96-365)&lt;=31,OR(G96="US GAAP",G96="IFRS"),H96="Yes",I96&lt;&gt;"",COUNT(J96:R96)=9,J96&gt;0,L96&gt;-1,L96&lt;1,M96&gt;=0,N96&gt;=0,Q96&gt;=0,R96&gt;=0,M96+O96-Q96&gt;0,N96+P96-R96&gt;0,Z96&lt;&gt;"",AA96&lt;&gt;""),1,0),0))</f>
        <v/>
      </c>
      <c r="AE96" s="91" t="str">
        <f t="shared" si="2"/>
        <v/>
      </c>
      <c r="AF96" s="91" t="str">
        <f t="shared" si="3"/>
        <v/>
      </c>
      <c r="AG96" s="92" t="str">
        <f t="shared" si="4"/>
        <v/>
      </c>
      <c r="AH96" s="92" t="str">
        <f t="shared" si="5"/>
        <v/>
      </c>
      <c r="AI96" s="92" t="str">
        <f t="shared" si="6"/>
        <v/>
      </c>
      <c r="AJ96" s="92" t="str">
        <f t="shared" si="7"/>
        <v/>
      </c>
      <c r="AK96" s="92" t="str">
        <f t="shared" si="8"/>
        <v/>
      </c>
      <c r="AL96" s="86" t="str">
        <f t="shared" si="9"/>
        <v/>
      </c>
      <c r="AM96" s="86" t="str">
        <f t="array" ref="AM96">IF(A96="","",IF(AB96&lt;&gt;1,0,IF(AND(INDEX(Companies!$R$6:$R$55,MATCH(A96,Companies!$A$6:$A$55,0))=1,INDEX(Companies!$I$6:$I$55,MATCH(A96,Companies!$A$6:$A$55,0))&gt;=MAX(10,Rules!$B$22)),1,0)))</f>
        <v/>
      </c>
      <c r="AN96" s="86" t="str">
        <f>IFERROR(__xludf.DUMMYFUNCTION("IF(A96="""","""",IFERROR(IF(AND(OR(C96=""FY0"",C96=""FY-1"",C96=""FY-2""),AD96=1,COUNTIFS($A$6:$A$205,A96,$C$6:$C$205,""FY0"",$AD$6:$AD$205,1)=1,COUNTIFS($A$6:$A$205,A96,$C$6:$C$205,""TTM"",$AD$6:$AD$205,1)=1,G96=IFNA(INDEX(FILTER($G$6:$G$205,$A$6:$A$205="&amp;"A96,$C$6:$C$205=""TTM"",$AD$6:$AD$205=1),1),""""),I96=IFNA(INDEX(FILTER($I$6:$I$205,$A$6:$A$205=A96,$C$6:$C$205=""TTM"",$AD$6:$AD$205=1),1),""""),SUMIFS($D$6:$D$205,$A$6:$A$205,A96,$C$6:$C$205,""FY0"",$AD$6:$AD$205,1)&lt;=SUMIFS($D$6:$D$205,$A$6:$A$205,A96,$"&amp;"C$6:$C$205,""TTM"",$AD$6:$AD$205,1),SUMIFS($D$6:$D$205,$A$6:$A$205,A96,$C$6:$C$205,""TTM"",$AD$6:$AD$205,1)-SUMIFS($D$6:$D$205,$A$6:$A$205,A96,$C$6:$C$205,""FY0"",$AD$6:$AD$205,1)&lt;366,ABS(D96-EDATE(SUMIFS($D$6:$D$205,$A$6:$A$205,A96,$C$6:$C$205,""FY0"",$A"&amp;"D$6:$AD$205,1),IF(C96=""FY0"",0,IF(C96=""FY-1"",-12,-24))))&lt;=31),1,0),0))"),"")</f>
        <v/>
      </c>
    </row>
    <row r="97" ht="31.5" customHeight="1">
      <c r="A97" s="85"/>
      <c r="B97" s="86" t="str">
        <f t="array" ref="B97">IF(A97="","",IF(AB97&lt;&gt;1,"Unmatched issuer",INDEX(Companies!$C$6:$C$55,MATCH(A97,Companies!$A$6:$A$55,0))))</f>
        <v/>
      </c>
      <c r="C97" s="87"/>
      <c r="D97" s="88"/>
      <c r="E97" s="88"/>
      <c r="F97" s="88"/>
      <c r="G97" s="87"/>
      <c r="H97" s="87"/>
      <c r="I97" s="85"/>
      <c r="J97" s="89"/>
      <c r="K97" s="89"/>
      <c r="L97" s="90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90"/>
      <c r="Z97" s="85"/>
      <c r="AA97" s="85"/>
      <c r="AB97" s="86" t="str">
        <f>IF(A97="","",COUNTIF(Companies!$A$6:$A$55,A97))</f>
        <v/>
      </c>
      <c r="AC97" s="86" t="str">
        <f t="shared" si="1"/>
        <v/>
      </c>
      <c r="AD97" s="86" t="str">
        <f>IF(A97="","",IFERROR(IF(AND(AB97=1,AC97=1,AM97=1,OR(C97="TTM",C97="FY0",C97="FY-1",C97="FY-2"),ISNUMBER(D97),D97&lt;=Rules!$B$6,ISNUMBER(E97),E97&gt;=D97,E97&lt;=Rules!$B$6,ISNUMBER(F97),ABS(D97-F97-365)&lt;=31,OR(G97="US GAAP",G97="IFRS"),H97="Yes",I97&lt;&gt;"",COUNT(J97:R97)=9,J97&gt;0,L97&gt;-1,L97&lt;1,M97&gt;=0,N97&gt;=0,Q97&gt;=0,R97&gt;=0,M97+O97-Q97&gt;0,N97+P97-R97&gt;0,Z97&lt;&gt;"",AA97&lt;&gt;""),1,0),0))</f>
        <v/>
      </c>
      <c r="AE97" s="91" t="str">
        <f t="shared" si="2"/>
        <v/>
      </c>
      <c r="AF97" s="91" t="str">
        <f t="shared" si="3"/>
        <v/>
      </c>
      <c r="AG97" s="92" t="str">
        <f t="shared" si="4"/>
        <v/>
      </c>
      <c r="AH97" s="92" t="str">
        <f t="shared" si="5"/>
        <v/>
      </c>
      <c r="AI97" s="92" t="str">
        <f t="shared" si="6"/>
        <v/>
      </c>
      <c r="AJ97" s="92" t="str">
        <f t="shared" si="7"/>
        <v/>
      </c>
      <c r="AK97" s="92" t="str">
        <f t="shared" si="8"/>
        <v/>
      </c>
      <c r="AL97" s="86" t="str">
        <f t="shared" si="9"/>
        <v/>
      </c>
      <c r="AM97" s="86" t="str">
        <f t="array" ref="AM97">IF(A97="","",IF(AB97&lt;&gt;1,0,IF(AND(INDEX(Companies!$R$6:$R$55,MATCH(A97,Companies!$A$6:$A$55,0))=1,INDEX(Companies!$I$6:$I$55,MATCH(A97,Companies!$A$6:$A$55,0))&gt;=MAX(10,Rules!$B$22)),1,0)))</f>
        <v/>
      </c>
      <c r="AN97" s="86" t="str">
        <f>IFERROR(__xludf.DUMMYFUNCTION("IF(A97="""","""",IFERROR(IF(AND(OR(C97=""FY0"",C97=""FY-1"",C97=""FY-2""),AD97=1,COUNTIFS($A$6:$A$205,A97,$C$6:$C$205,""FY0"",$AD$6:$AD$205,1)=1,COUNTIFS($A$6:$A$205,A97,$C$6:$C$205,""TTM"",$AD$6:$AD$205,1)=1,G97=IFNA(INDEX(FILTER($G$6:$G$205,$A$6:$A$205="&amp;"A97,$C$6:$C$205=""TTM"",$AD$6:$AD$205=1),1),""""),I97=IFNA(INDEX(FILTER($I$6:$I$205,$A$6:$A$205=A97,$C$6:$C$205=""TTM"",$AD$6:$AD$205=1),1),""""),SUMIFS($D$6:$D$205,$A$6:$A$205,A97,$C$6:$C$205,""FY0"",$AD$6:$AD$205,1)&lt;=SUMIFS($D$6:$D$205,$A$6:$A$205,A97,$"&amp;"C$6:$C$205,""TTM"",$AD$6:$AD$205,1),SUMIFS($D$6:$D$205,$A$6:$A$205,A97,$C$6:$C$205,""TTM"",$AD$6:$AD$205,1)-SUMIFS($D$6:$D$205,$A$6:$A$205,A97,$C$6:$C$205,""FY0"",$AD$6:$AD$205,1)&lt;366,ABS(D97-EDATE(SUMIFS($D$6:$D$205,$A$6:$A$205,A97,$C$6:$C$205,""FY0"",$A"&amp;"D$6:$AD$205,1),IF(C97=""FY0"",0,IF(C97=""FY-1"",-12,-24))))&lt;=31),1,0),0))"),"")</f>
        <v/>
      </c>
    </row>
    <row r="98" ht="31.5" customHeight="1">
      <c r="A98" s="85"/>
      <c r="B98" s="86" t="str">
        <f t="array" ref="B98">IF(A98="","",IF(AB98&lt;&gt;1,"Unmatched issuer",INDEX(Companies!$C$6:$C$55,MATCH(A98,Companies!$A$6:$A$55,0))))</f>
        <v/>
      </c>
      <c r="C98" s="87"/>
      <c r="D98" s="88"/>
      <c r="E98" s="88"/>
      <c r="F98" s="88"/>
      <c r="G98" s="87"/>
      <c r="H98" s="87"/>
      <c r="I98" s="85"/>
      <c r="J98" s="89"/>
      <c r="K98" s="89"/>
      <c r="L98" s="90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90"/>
      <c r="Z98" s="85"/>
      <c r="AA98" s="85"/>
      <c r="AB98" s="86" t="str">
        <f>IF(A98="","",COUNTIF(Companies!$A$6:$A$55,A98))</f>
        <v/>
      </c>
      <c r="AC98" s="86" t="str">
        <f t="shared" si="1"/>
        <v/>
      </c>
      <c r="AD98" s="86" t="str">
        <f>IF(A98="","",IFERROR(IF(AND(AB98=1,AC98=1,AM98=1,OR(C98="TTM",C98="FY0",C98="FY-1",C98="FY-2"),ISNUMBER(D98),D98&lt;=Rules!$B$6,ISNUMBER(E98),E98&gt;=D98,E98&lt;=Rules!$B$6,ISNUMBER(F98),ABS(D98-F98-365)&lt;=31,OR(G98="US GAAP",G98="IFRS"),H98="Yes",I98&lt;&gt;"",COUNT(J98:R98)=9,J98&gt;0,L98&gt;-1,L98&lt;1,M98&gt;=0,N98&gt;=0,Q98&gt;=0,R98&gt;=0,M98+O98-Q98&gt;0,N98+P98-R98&gt;0,Z98&lt;&gt;"",AA98&lt;&gt;""),1,0),0))</f>
        <v/>
      </c>
      <c r="AE98" s="91" t="str">
        <f t="shared" si="2"/>
        <v/>
      </c>
      <c r="AF98" s="91" t="str">
        <f t="shared" si="3"/>
        <v/>
      </c>
      <c r="AG98" s="92" t="str">
        <f t="shared" si="4"/>
        <v/>
      </c>
      <c r="AH98" s="92" t="str">
        <f t="shared" si="5"/>
        <v/>
      </c>
      <c r="AI98" s="92" t="str">
        <f t="shared" si="6"/>
        <v/>
      </c>
      <c r="AJ98" s="92" t="str">
        <f t="shared" si="7"/>
        <v/>
      </c>
      <c r="AK98" s="92" t="str">
        <f t="shared" si="8"/>
        <v/>
      </c>
      <c r="AL98" s="86" t="str">
        <f t="shared" si="9"/>
        <v/>
      </c>
      <c r="AM98" s="86" t="str">
        <f t="array" ref="AM98">IF(A98="","",IF(AB98&lt;&gt;1,0,IF(AND(INDEX(Companies!$R$6:$R$55,MATCH(A98,Companies!$A$6:$A$55,0))=1,INDEX(Companies!$I$6:$I$55,MATCH(A98,Companies!$A$6:$A$55,0))&gt;=MAX(10,Rules!$B$22)),1,0)))</f>
        <v/>
      </c>
      <c r="AN98" s="86" t="str">
        <f>IFERROR(__xludf.DUMMYFUNCTION("IF(A98="""","""",IFERROR(IF(AND(OR(C98=""FY0"",C98=""FY-1"",C98=""FY-2""),AD98=1,COUNTIFS($A$6:$A$205,A98,$C$6:$C$205,""FY0"",$AD$6:$AD$205,1)=1,COUNTIFS($A$6:$A$205,A98,$C$6:$C$205,""TTM"",$AD$6:$AD$205,1)=1,G98=IFNA(INDEX(FILTER($G$6:$G$205,$A$6:$A$205="&amp;"A98,$C$6:$C$205=""TTM"",$AD$6:$AD$205=1),1),""""),I98=IFNA(INDEX(FILTER($I$6:$I$205,$A$6:$A$205=A98,$C$6:$C$205=""TTM"",$AD$6:$AD$205=1),1),""""),SUMIFS($D$6:$D$205,$A$6:$A$205,A98,$C$6:$C$205,""FY0"",$AD$6:$AD$205,1)&lt;=SUMIFS($D$6:$D$205,$A$6:$A$205,A98,$"&amp;"C$6:$C$205,""TTM"",$AD$6:$AD$205,1),SUMIFS($D$6:$D$205,$A$6:$A$205,A98,$C$6:$C$205,""TTM"",$AD$6:$AD$205,1)-SUMIFS($D$6:$D$205,$A$6:$A$205,A98,$C$6:$C$205,""FY0"",$AD$6:$AD$205,1)&lt;366,ABS(D98-EDATE(SUMIFS($D$6:$D$205,$A$6:$A$205,A98,$C$6:$C$205,""FY0"",$A"&amp;"D$6:$AD$205,1),IF(C98=""FY0"",0,IF(C98=""FY-1"",-12,-24))))&lt;=31),1,0),0))"),"")</f>
        <v/>
      </c>
    </row>
    <row r="99" ht="31.5" customHeight="1">
      <c r="A99" s="85"/>
      <c r="B99" s="86" t="str">
        <f t="array" ref="B99">IF(A99="","",IF(AB99&lt;&gt;1,"Unmatched issuer",INDEX(Companies!$C$6:$C$55,MATCH(A99,Companies!$A$6:$A$55,0))))</f>
        <v/>
      </c>
      <c r="C99" s="87"/>
      <c r="D99" s="88"/>
      <c r="E99" s="88"/>
      <c r="F99" s="88"/>
      <c r="G99" s="87"/>
      <c r="H99" s="87"/>
      <c r="I99" s="85"/>
      <c r="J99" s="89"/>
      <c r="K99" s="89"/>
      <c r="L99" s="90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90"/>
      <c r="Z99" s="85"/>
      <c r="AA99" s="85"/>
      <c r="AB99" s="86" t="str">
        <f>IF(A99="","",COUNTIF(Companies!$A$6:$A$55,A99))</f>
        <v/>
      </c>
      <c r="AC99" s="86" t="str">
        <f t="shared" si="1"/>
        <v/>
      </c>
      <c r="AD99" s="86" t="str">
        <f>IF(A99="","",IFERROR(IF(AND(AB99=1,AC99=1,AM99=1,OR(C99="TTM",C99="FY0",C99="FY-1",C99="FY-2"),ISNUMBER(D99),D99&lt;=Rules!$B$6,ISNUMBER(E99),E99&gt;=D99,E99&lt;=Rules!$B$6,ISNUMBER(F99),ABS(D99-F99-365)&lt;=31,OR(G99="US GAAP",G99="IFRS"),H99="Yes",I99&lt;&gt;"",COUNT(J99:R99)=9,J99&gt;0,L99&gt;-1,L99&lt;1,M99&gt;=0,N99&gt;=0,Q99&gt;=0,R99&gt;=0,M99+O99-Q99&gt;0,N99+P99-R99&gt;0,Z99&lt;&gt;"",AA99&lt;&gt;""),1,0),0))</f>
        <v/>
      </c>
      <c r="AE99" s="91" t="str">
        <f t="shared" si="2"/>
        <v/>
      </c>
      <c r="AF99" s="91" t="str">
        <f t="shared" si="3"/>
        <v/>
      </c>
      <c r="AG99" s="92" t="str">
        <f t="shared" si="4"/>
        <v/>
      </c>
      <c r="AH99" s="92" t="str">
        <f t="shared" si="5"/>
        <v/>
      </c>
      <c r="AI99" s="92" t="str">
        <f t="shared" si="6"/>
        <v/>
      </c>
      <c r="AJ99" s="92" t="str">
        <f t="shared" si="7"/>
        <v/>
      </c>
      <c r="AK99" s="92" t="str">
        <f t="shared" si="8"/>
        <v/>
      </c>
      <c r="AL99" s="86" t="str">
        <f t="shared" si="9"/>
        <v/>
      </c>
      <c r="AM99" s="86" t="str">
        <f t="array" ref="AM99">IF(A99="","",IF(AB99&lt;&gt;1,0,IF(AND(INDEX(Companies!$R$6:$R$55,MATCH(A99,Companies!$A$6:$A$55,0))=1,INDEX(Companies!$I$6:$I$55,MATCH(A99,Companies!$A$6:$A$55,0))&gt;=MAX(10,Rules!$B$22)),1,0)))</f>
        <v/>
      </c>
      <c r="AN99" s="86" t="str">
        <f>IFERROR(__xludf.DUMMYFUNCTION("IF(A99="""","""",IFERROR(IF(AND(OR(C99=""FY0"",C99=""FY-1"",C99=""FY-2""),AD99=1,COUNTIFS($A$6:$A$205,A99,$C$6:$C$205,""FY0"",$AD$6:$AD$205,1)=1,COUNTIFS($A$6:$A$205,A99,$C$6:$C$205,""TTM"",$AD$6:$AD$205,1)=1,G99=IFNA(INDEX(FILTER($G$6:$G$205,$A$6:$A$205="&amp;"A99,$C$6:$C$205=""TTM"",$AD$6:$AD$205=1),1),""""),I99=IFNA(INDEX(FILTER($I$6:$I$205,$A$6:$A$205=A99,$C$6:$C$205=""TTM"",$AD$6:$AD$205=1),1),""""),SUMIFS($D$6:$D$205,$A$6:$A$205,A99,$C$6:$C$205,""FY0"",$AD$6:$AD$205,1)&lt;=SUMIFS($D$6:$D$205,$A$6:$A$205,A99,$"&amp;"C$6:$C$205,""TTM"",$AD$6:$AD$205,1),SUMIFS($D$6:$D$205,$A$6:$A$205,A99,$C$6:$C$205,""TTM"",$AD$6:$AD$205,1)-SUMIFS($D$6:$D$205,$A$6:$A$205,A99,$C$6:$C$205,""FY0"",$AD$6:$AD$205,1)&lt;366,ABS(D99-EDATE(SUMIFS($D$6:$D$205,$A$6:$A$205,A99,$C$6:$C$205,""FY0"",$A"&amp;"D$6:$AD$205,1),IF(C99=""FY0"",0,IF(C99=""FY-1"",-12,-24))))&lt;=31),1,0),0))"),"")</f>
        <v/>
      </c>
    </row>
    <row r="100" ht="31.5" customHeight="1">
      <c r="A100" s="85"/>
      <c r="B100" s="86" t="str">
        <f t="array" ref="B100">IF(A100="","",IF(AB100&lt;&gt;1,"Unmatched issuer",INDEX(Companies!$C$6:$C$55,MATCH(A100,Companies!$A$6:$A$55,0))))</f>
        <v/>
      </c>
      <c r="C100" s="87"/>
      <c r="D100" s="88"/>
      <c r="E100" s="88"/>
      <c r="F100" s="88"/>
      <c r="G100" s="87"/>
      <c r="H100" s="87"/>
      <c r="I100" s="85"/>
      <c r="J100" s="89"/>
      <c r="K100" s="89"/>
      <c r="L100" s="90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90"/>
      <c r="Z100" s="85"/>
      <c r="AA100" s="85"/>
      <c r="AB100" s="86" t="str">
        <f>IF(A100="","",COUNTIF(Companies!$A$6:$A$55,A100))</f>
        <v/>
      </c>
      <c r="AC100" s="86" t="str">
        <f t="shared" si="1"/>
        <v/>
      </c>
      <c r="AD100" s="86" t="str">
        <f>IF(A100="","",IFERROR(IF(AND(AB100=1,AC100=1,AM100=1,OR(C100="TTM",C100="FY0",C100="FY-1",C100="FY-2"),ISNUMBER(D100),D100&lt;=Rules!$B$6,ISNUMBER(E100),E100&gt;=D100,E100&lt;=Rules!$B$6,ISNUMBER(F100),ABS(D100-F100-365)&lt;=31,OR(G100="US GAAP",G100="IFRS"),H100="Yes",I100&lt;&gt;"",COUNT(J100:R100)=9,J100&gt;0,L100&gt;-1,L100&lt;1,M100&gt;=0,N100&gt;=0,Q100&gt;=0,R100&gt;=0,M100+O100-Q100&gt;0,N100+P100-R100&gt;0,Z100&lt;&gt;"",AA100&lt;&gt;""),1,0),0))</f>
        <v/>
      </c>
      <c r="AE100" s="91" t="str">
        <f t="shared" si="2"/>
        <v/>
      </c>
      <c r="AF100" s="91" t="str">
        <f t="shared" si="3"/>
        <v/>
      </c>
      <c r="AG100" s="92" t="str">
        <f t="shared" si="4"/>
        <v/>
      </c>
      <c r="AH100" s="92" t="str">
        <f t="shared" si="5"/>
        <v/>
      </c>
      <c r="AI100" s="92" t="str">
        <f t="shared" si="6"/>
        <v/>
      </c>
      <c r="AJ100" s="92" t="str">
        <f t="shared" si="7"/>
        <v/>
      </c>
      <c r="AK100" s="92" t="str">
        <f t="shared" si="8"/>
        <v/>
      </c>
      <c r="AL100" s="86" t="str">
        <f t="shared" si="9"/>
        <v/>
      </c>
      <c r="AM100" s="86" t="str">
        <f t="array" ref="AM100">IF(A100="","",IF(AB100&lt;&gt;1,0,IF(AND(INDEX(Companies!$R$6:$R$55,MATCH(A100,Companies!$A$6:$A$55,0))=1,INDEX(Companies!$I$6:$I$55,MATCH(A100,Companies!$A$6:$A$55,0))&gt;=MAX(10,Rules!$B$22)),1,0)))</f>
        <v/>
      </c>
      <c r="AN100" s="86" t="str">
        <f>IFERROR(__xludf.DUMMYFUNCTION("IF(A100="""","""",IFERROR(IF(AND(OR(C100=""FY0"",C100=""FY-1"",C100=""FY-2""),AD100=1,COUNTIFS($A$6:$A$205,A100,$C$6:$C$205,""FY0"",$AD$6:$AD$205,1)=1,COUNTIFS($A$6:$A$205,A100,$C$6:$C$205,""TTM"",$AD$6:$AD$205,1)=1,G100=IFNA(INDEX(FILTER($G$6:$G$205,$A$6"&amp;":$A$205=A100,$C$6:$C$205=""TTM"",$AD$6:$AD$205=1),1),""""),I100=IFNA(INDEX(FILTER($I$6:$I$205,$A$6:$A$205=A100,$C$6:$C$205=""TTM"",$AD$6:$AD$205=1),1),""""),SUMIFS($D$6:$D$205,$A$6:$A$205,A100,$C$6:$C$205,""FY0"",$AD$6:$AD$205,1)&lt;=SUMIFS($D$6:$D$205,$A$6:"&amp;"$A$205,A100,$C$6:$C$205,""TTM"",$AD$6:$AD$205,1),SUMIFS($D$6:$D$205,$A$6:$A$205,A100,$C$6:$C$205,""TTM"",$AD$6:$AD$205,1)-SUMIFS($D$6:$D$205,$A$6:$A$205,A100,$C$6:$C$205,""FY0"",$AD$6:$AD$205,1)&lt;366,ABS(D100-EDATE(SUMIFS($D$6:$D$205,$A$6:$A$205,A100,$C$6:"&amp;"$C$205,""FY0"",$AD$6:$AD$205,1),IF(C100=""FY0"",0,IF(C100=""FY-1"",-12,-24))))&lt;=31),1,0),0))"),"")</f>
        <v/>
      </c>
    </row>
    <row r="101" ht="31.5" customHeight="1">
      <c r="A101" s="85"/>
      <c r="B101" s="86" t="str">
        <f t="array" ref="B101">IF(A101="","",IF(AB101&lt;&gt;1,"Unmatched issuer",INDEX(Companies!$C$6:$C$55,MATCH(A101,Companies!$A$6:$A$55,0))))</f>
        <v/>
      </c>
      <c r="C101" s="87"/>
      <c r="D101" s="88"/>
      <c r="E101" s="88"/>
      <c r="F101" s="88"/>
      <c r="G101" s="87"/>
      <c r="H101" s="87"/>
      <c r="I101" s="85"/>
      <c r="J101" s="89"/>
      <c r="K101" s="89"/>
      <c r="L101" s="90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90"/>
      <c r="Z101" s="85"/>
      <c r="AA101" s="85"/>
      <c r="AB101" s="86" t="str">
        <f>IF(A101="","",COUNTIF(Companies!$A$6:$A$55,A101))</f>
        <v/>
      </c>
      <c r="AC101" s="86" t="str">
        <f t="shared" si="1"/>
        <v/>
      </c>
      <c r="AD101" s="86" t="str">
        <f>IF(A101="","",IFERROR(IF(AND(AB101=1,AC101=1,AM101=1,OR(C101="TTM",C101="FY0",C101="FY-1",C101="FY-2"),ISNUMBER(D101),D101&lt;=Rules!$B$6,ISNUMBER(E101),E101&gt;=D101,E101&lt;=Rules!$B$6,ISNUMBER(F101),ABS(D101-F101-365)&lt;=31,OR(G101="US GAAP",G101="IFRS"),H101="Yes",I101&lt;&gt;"",COUNT(J101:R101)=9,J101&gt;0,L101&gt;-1,L101&lt;1,M101&gt;=0,N101&gt;=0,Q101&gt;=0,R101&gt;=0,M101+O101-Q101&gt;0,N101+P101-R101&gt;0,Z101&lt;&gt;"",AA101&lt;&gt;""),1,0),0))</f>
        <v/>
      </c>
      <c r="AE101" s="91" t="str">
        <f t="shared" si="2"/>
        <v/>
      </c>
      <c r="AF101" s="91" t="str">
        <f t="shared" si="3"/>
        <v/>
      </c>
      <c r="AG101" s="92" t="str">
        <f t="shared" si="4"/>
        <v/>
      </c>
      <c r="AH101" s="92" t="str">
        <f t="shared" si="5"/>
        <v/>
      </c>
      <c r="AI101" s="92" t="str">
        <f t="shared" si="6"/>
        <v/>
      </c>
      <c r="AJ101" s="92" t="str">
        <f t="shared" si="7"/>
        <v/>
      </c>
      <c r="AK101" s="92" t="str">
        <f t="shared" si="8"/>
        <v/>
      </c>
      <c r="AL101" s="86" t="str">
        <f t="shared" si="9"/>
        <v/>
      </c>
      <c r="AM101" s="86" t="str">
        <f t="array" ref="AM101">IF(A101="","",IF(AB101&lt;&gt;1,0,IF(AND(INDEX(Companies!$R$6:$R$55,MATCH(A101,Companies!$A$6:$A$55,0))=1,INDEX(Companies!$I$6:$I$55,MATCH(A101,Companies!$A$6:$A$55,0))&gt;=MAX(10,Rules!$B$22)),1,0)))</f>
        <v/>
      </c>
      <c r="AN101" s="86" t="str">
        <f>IFERROR(__xludf.DUMMYFUNCTION("IF(A101="""","""",IFERROR(IF(AND(OR(C101=""FY0"",C101=""FY-1"",C101=""FY-2""),AD101=1,COUNTIFS($A$6:$A$205,A101,$C$6:$C$205,""FY0"",$AD$6:$AD$205,1)=1,COUNTIFS($A$6:$A$205,A101,$C$6:$C$205,""TTM"",$AD$6:$AD$205,1)=1,G101=IFNA(INDEX(FILTER($G$6:$G$205,$A$6"&amp;":$A$205=A101,$C$6:$C$205=""TTM"",$AD$6:$AD$205=1),1),""""),I101=IFNA(INDEX(FILTER($I$6:$I$205,$A$6:$A$205=A101,$C$6:$C$205=""TTM"",$AD$6:$AD$205=1),1),""""),SUMIFS($D$6:$D$205,$A$6:$A$205,A101,$C$6:$C$205,""FY0"",$AD$6:$AD$205,1)&lt;=SUMIFS($D$6:$D$205,$A$6:"&amp;"$A$205,A101,$C$6:$C$205,""TTM"",$AD$6:$AD$205,1),SUMIFS($D$6:$D$205,$A$6:$A$205,A101,$C$6:$C$205,""TTM"",$AD$6:$AD$205,1)-SUMIFS($D$6:$D$205,$A$6:$A$205,A101,$C$6:$C$205,""FY0"",$AD$6:$AD$205,1)&lt;366,ABS(D101-EDATE(SUMIFS($D$6:$D$205,$A$6:$A$205,A101,$C$6:"&amp;"$C$205,""FY0"",$AD$6:$AD$205,1),IF(C101=""FY0"",0,IF(C101=""FY-1"",-12,-24))))&lt;=31),1,0),0))"),"")</f>
        <v/>
      </c>
    </row>
    <row r="102" ht="31.5" customHeight="1">
      <c r="A102" s="85"/>
      <c r="B102" s="86" t="str">
        <f t="array" ref="B102">IF(A102="","",IF(AB102&lt;&gt;1,"Unmatched issuer",INDEX(Companies!$C$6:$C$55,MATCH(A102,Companies!$A$6:$A$55,0))))</f>
        <v/>
      </c>
      <c r="C102" s="87"/>
      <c r="D102" s="88"/>
      <c r="E102" s="88"/>
      <c r="F102" s="88"/>
      <c r="G102" s="87"/>
      <c r="H102" s="87"/>
      <c r="I102" s="85"/>
      <c r="J102" s="89"/>
      <c r="K102" s="89"/>
      <c r="L102" s="90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90"/>
      <c r="Z102" s="85"/>
      <c r="AA102" s="85"/>
      <c r="AB102" s="86" t="str">
        <f>IF(A102="","",COUNTIF(Companies!$A$6:$A$55,A102))</f>
        <v/>
      </c>
      <c r="AC102" s="86" t="str">
        <f t="shared" si="1"/>
        <v/>
      </c>
      <c r="AD102" s="86" t="str">
        <f>IF(A102="","",IFERROR(IF(AND(AB102=1,AC102=1,AM102=1,OR(C102="TTM",C102="FY0",C102="FY-1",C102="FY-2"),ISNUMBER(D102),D102&lt;=Rules!$B$6,ISNUMBER(E102),E102&gt;=D102,E102&lt;=Rules!$B$6,ISNUMBER(F102),ABS(D102-F102-365)&lt;=31,OR(G102="US GAAP",G102="IFRS"),H102="Yes",I102&lt;&gt;"",COUNT(J102:R102)=9,J102&gt;0,L102&gt;-1,L102&lt;1,M102&gt;=0,N102&gt;=0,Q102&gt;=0,R102&gt;=0,M102+O102-Q102&gt;0,N102+P102-R102&gt;0,Z102&lt;&gt;"",AA102&lt;&gt;""),1,0),0))</f>
        <v/>
      </c>
      <c r="AE102" s="91" t="str">
        <f t="shared" si="2"/>
        <v/>
      </c>
      <c r="AF102" s="91" t="str">
        <f t="shared" si="3"/>
        <v/>
      </c>
      <c r="AG102" s="92" t="str">
        <f t="shared" si="4"/>
        <v/>
      </c>
      <c r="AH102" s="92" t="str">
        <f t="shared" si="5"/>
        <v/>
      </c>
      <c r="AI102" s="92" t="str">
        <f t="shared" si="6"/>
        <v/>
      </c>
      <c r="AJ102" s="92" t="str">
        <f t="shared" si="7"/>
        <v/>
      </c>
      <c r="AK102" s="92" t="str">
        <f t="shared" si="8"/>
        <v/>
      </c>
      <c r="AL102" s="86" t="str">
        <f t="shared" si="9"/>
        <v/>
      </c>
      <c r="AM102" s="86" t="str">
        <f t="array" ref="AM102">IF(A102="","",IF(AB102&lt;&gt;1,0,IF(AND(INDEX(Companies!$R$6:$R$55,MATCH(A102,Companies!$A$6:$A$55,0))=1,INDEX(Companies!$I$6:$I$55,MATCH(A102,Companies!$A$6:$A$55,0))&gt;=MAX(10,Rules!$B$22)),1,0)))</f>
        <v/>
      </c>
      <c r="AN102" s="86" t="str">
        <f>IFERROR(__xludf.DUMMYFUNCTION("IF(A102="""","""",IFERROR(IF(AND(OR(C102=""FY0"",C102=""FY-1"",C102=""FY-2""),AD102=1,COUNTIFS($A$6:$A$205,A102,$C$6:$C$205,""FY0"",$AD$6:$AD$205,1)=1,COUNTIFS($A$6:$A$205,A102,$C$6:$C$205,""TTM"",$AD$6:$AD$205,1)=1,G102=IFNA(INDEX(FILTER($G$6:$G$205,$A$6"&amp;":$A$205=A102,$C$6:$C$205=""TTM"",$AD$6:$AD$205=1),1),""""),I102=IFNA(INDEX(FILTER($I$6:$I$205,$A$6:$A$205=A102,$C$6:$C$205=""TTM"",$AD$6:$AD$205=1),1),""""),SUMIFS($D$6:$D$205,$A$6:$A$205,A102,$C$6:$C$205,""FY0"",$AD$6:$AD$205,1)&lt;=SUMIFS($D$6:$D$205,$A$6:"&amp;"$A$205,A102,$C$6:$C$205,""TTM"",$AD$6:$AD$205,1),SUMIFS($D$6:$D$205,$A$6:$A$205,A102,$C$6:$C$205,""TTM"",$AD$6:$AD$205,1)-SUMIFS($D$6:$D$205,$A$6:$A$205,A102,$C$6:$C$205,""FY0"",$AD$6:$AD$205,1)&lt;366,ABS(D102-EDATE(SUMIFS($D$6:$D$205,$A$6:$A$205,A102,$C$6:"&amp;"$C$205,""FY0"",$AD$6:$AD$205,1),IF(C102=""FY0"",0,IF(C102=""FY-1"",-12,-24))))&lt;=31),1,0),0))"),"")</f>
        <v/>
      </c>
    </row>
    <row r="103" ht="31.5" customHeight="1">
      <c r="A103" s="85"/>
      <c r="B103" s="86" t="str">
        <f t="array" ref="B103">IF(A103="","",IF(AB103&lt;&gt;1,"Unmatched issuer",INDEX(Companies!$C$6:$C$55,MATCH(A103,Companies!$A$6:$A$55,0))))</f>
        <v/>
      </c>
      <c r="C103" s="87"/>
      <c r="D103" s="88"/>
      <c r="E103" s="88"/>
      <c r="F103" s="88"/>
      <c r="G103" s="87"/>
      <c r="H103" s="87"/>
      <c r="I103" s="85"/>
      <c r="J103" s="89"/>
      <c r="K103" s="89"/>
      <c r="L103" s="90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90"/>
      <c r="Z103" s="85"/>
      <c r="AA103" s="85"/>
      <c r="AB103" s="86" t="str">
        <f>IF(A103="","",COUNTIF(Companies!$A$6:$A$55,A103))</f>
        <v/>
      </c>
      <c r="AC103" s="86" t="str">
        <f t="shared" si="1"/>
        <v/>
      </c>
      <c r="AD103" s="86" t="str">
        <f>IF(A103="","",IFERROR(IF(AND(AB103=1,AC103=1,AM103=1,OR(C103="TTM",C103="FY0",C103="FY-1",C103="FY-2"),ISNUMBER(D103),D103&lt;=Rules!$B$6,ISNUMBER(E103),E103&gt;=D103,E103&lt;=Rules!$B$6,ISNUMBER(F103),ABS(D103-F103-365)&lt;=31,OR(G103="US GAAP",G103="IFRS"),H103="Yes",I103&lt;&gt;"",COUNT(J103:R103)=9,J103&gt;0,L103&gt;-1,L103&lt;1,M103&gt;=0,N103&gt;=0,Q103&gt;=0,R103&gt;=0,M103+O103-Q103&gt;0,N103+P103-R103&gt;0,Z103&lt;&gt;"",AA103&lt;&gt;""),1,0),0))</f>
        <v/>
      </c>
      <c r="AE103" s="91" t="str">
        <f t="shared" si="2"/>
        <v/>
      </c>
      <c r="AF103" s="91" t="str">
        <f t="shared" si="3"/>
        <v/>
      </c>
      <c r="AG103" s="92" t="str">
        <f t="shared" si="4"/>
        <v/>
      </c>
      <c r="AH103" s="92" t="str">
        <f t="shared" si="5"/>
        <v/>
      </c>
      <c r="AI103" s="92" t="str">
        <f t="shared" si="6"/>
        <v/>
      </c>
      <c r="AJ103" s="92" t="str">
        <f t="shared" si="7"/>
        <v/>
      </c>
      <c r="AK103" s="92" t="str">
        <f t="shared" si="8"/>
        <v/>
      </c>
      <c r="AL103" s="86" t="str">
        <f t="shared" si="9"/>
        <v/>
      </c>
      <c r="AM103" s="86" t="str">
        <f t="array" ref="AM103">IF(A103="","",IF(AB103&lt;&gt;1,0,IF(AND(INDEX(Companies!$R$6:$R$55,MATCH(A103,Companies!$A$6:$A$55,0))=1,INDEX(Companies!$I$6:$I$55,MATCH(A103,Companies!$A$6:$A$55,0))&gt;=MAX(10,Rules!$B$22)),1,0)))</f>
        <v/>
      </c>
      <c r="AN103" s="86" t="str">
        <f>IFERROR(__xludf.DUMMYFUNCTION("IF(A103="""","""",IFERROR(IF(AND(OR(C103=""FY0"",C103=""FY-1"",C103=""FY-2""),AD103=1,COUNTIFS($A$6:$A$205,A103,$C$6:$C$205,""FY0"",$AD$6:$AD$205,1)=1,COUNTIFS($A$6:$A$205,A103,$C$6:$C$205,""TTM"",$AD$6:$AD$205,1)=1,G103=IFNA(INDEX(FILTER($G$6:$G$205,$A$6"&amp;":$A$205=A103,$C$6:$C$205=""TTM"",$AD$6:$AD$205=1),1),""""),I103=IFNA(INDEX(FILTER($I$6:$I$205,$A$6:$A$205=A103,$C$6:$C$205=""TTM"",$AD$6:$AD$205=1),1),""""),SUMIFS($D$6:$D$205,$A$6:$A$205,A103,$C$6:$C$205,""FY0"",$AD$6:$AD$205,1)&lt;=SUMIFS($D$6:$D$205,$A$6:"&amp;"$A$205,A103,$C$6:$C$205,""TTM"",$AD$6:$AD$205,1),SUMIFS($D$6:$D$205,$A$6:$A$205,A103,$C$6:$C$205,""TTM"",$AD$6:$AD$205,1)-SUMIFS($D$6:$D$205,$A$6:$A$205,A103,$C$6:$C$205,""FY0"",$AD$6:$AD$205,1)&lt;366,ABS(D103-EDATE(SUMIFS($D$6:$D$205,$A$6:$A$205,A103,$C$6:"&amp;"$C$205,""FY0"",$AD$6:$AD$205,1),IF(C103=""FY0"",0,IF(C103=""FY-1"",-12,-24))))&lt;=31),1,0),0))"),"")</f>
        <v/>
      </c>
    </row>
    <row r="104" ht="31.5" customHeight="1">
      <c r="A104" s="85"/>
      <c r="B104" s="86" t="str">
        <f t="array" ref="B104">IF(A104="","",IF(AB104&lt;&gt;1,"Unmatched issuer",INDEX(Companies!$C$6:$C$55,MATCH(A104,Companies!$A$6:$A$55,0))))</f>
        <v/>
      </c>
      <c r="C104" s="87"/>
      <c r="D104" s="88"/>
      <c r="E104" s="88"/>
      <c r="F104" s="88"/>
      <c r="G104" s="87"/>
      <c r="H104" s="87"/>
      <c r="I104" s="85"/>
      <c r="J104" s="89"/>
      <c r="K104" s="89"/>
      <c r="L104" s="90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90"/>
      <c r="Z104" s="85"/>
      <c r="AA104" s="85"/>
      <c r="AB104" s="86" t="str">
        <f>IF(A104="","",COUNTIF(Companies!$A$6:$A$55,A104))</f>
        <v/>
      </c>
      <c r="AC104" s="86" t="str">
        <f t="shared" si="1"/>
        <v/>
      </c>
      <c r="AD104" s="86" t="str">
        <f>IF(A104="","",IFERROR(IF(AND(AB104=1,AC104=1,AM104=1,OR(C104="TTM",C104="FY0",C104="FY-1",C104="FY-2"),ISNUMBER(D104),D104&lt;=Rules!$B$6,ISNUMBER(E104),E104&gt;=D104,E104&lt;=Rules!$B$6,ISNUMBER(F104),ABS(D104-F104-365)&lt;=31,OR(G104="US GAAP",G104="IFRS"),H104="Yes",I104&lt;&gt;"",COUNT(J104:R104)=9,J104&gt;0,L104&gt;-1,L104&lt;1,M104&gt;=0,N104&gt;=0,Q104&gt;=0,R104&gt;=0,M104+O104-Q104&gt;0,N104+P104-R104&gt;0,Z104&lt;&gt;"",AA104&lt;&gt;""),1,0),0))</f>
        <v/>
      </c>
      <c r="AE104" s="91" t="str">
        <f t="shared" si="2"/>
        <v/>
      </c>
      <c r="AF104" s="91" t="str">
        <f t="shared" si="3"/>
        <v/>
      </c>
      <c r="AG104" s="92" t="str">
        <f t="shared" si="4"/>
        <v/>
      </c>
      <c r="AH104" s="92" t="str">
        <f t="shared" si="5"/>
        <v/>
      </c>
      <c r="AI104" s="92" t="str">
        <f t="shared" si="6"/>
        <v/>
      </c>
      <c r="AJ104" s="92" t="str">
        <f t="shared" si="7"/>
        <v/>
      </c>
      <c r="AK104" s="92" t="str">
        <f t="shared" si="8"/>
        <v/>
      </c>
      <c r="AL104" s="86" t="str">
        <f t="shared" si="9"/>
        <v/>
      </c>
      <c r="AM104" s="86" t="str">
        <f t="array" ref="AM104">IF(A104="","",IF(AB104&lt;&gt;1,0,IF(AND(INDEX(Companies!$R$6:$R$55,MATCH(A104,Companies!$A$6:$A$55,0))=1,INDEX(Companies!$I$6:$I$55,MATCH(A104,Companies!$A$6:$A$55,0))&gt;=MAX(10,Rules!$B$22)),1,0)))</f>
        <v/>
      </c>
      <c r="AN104" s="86" t="str">
        <f>IFERROR(__xludf.DUMMYFUNCTION("IF(A104="""","""",IFERROR(IF(AND(OR(C104=""FY0"",C104=""FY-1"",C104=""FY-2""),AD104=1,COUNTIFS($A$6:$A$205,A104,$C$6:$C$205,""FY0"",$AD$6:$AD$205,1)=1,COUNTIFS($A$6:$A$205,A104,$C$6:$C$205,""TTM"",$AD$6:$AD$205,1)=1,G104=IFNA(INDEX(FILTER($G$6:$G$205,$A$6"&amp;":$A$205=A104,$C$6:$C$205=""TTM"",$AD$6:$AD$205=1),1),""""),I104=IFNA(INDEX(FILTER($I$6:$I$205,$A$6:$A$205=A104,$C$6:$C$205=""TTM"",$AD$6:$AD$205=1),1),""""),SUMIFS($D$6:$D$205,$A$6:$A$205,A104,$C$6:$C$205,""FY0"",$AD$6:$AD$205,1)&lt;=SUMIFS($D$6:$D$205,$A$6:"&amp;"$A$205,A104,$C$6:$C$205,""TTM"",$AD$6:$AD$205,1),SUMIFS($D$6:$D$205,$A$6:$A$205,A104,$C$6:$C$205,""TTM"",$AD$6:$AD$205,1)-SUMIFS($D$6:$D$205,$A$6:$A$205,A104,$C$6:$C$205,""FY0"",$AD$6:$AD$205,1)&lt;366,ABS(D104-EDATE(SUMIFS($D$6:$D$205,$A$6:$A$205,A104,$C$6:"&amp;"$C$205,""FY0"",$AD$6:$AD$205,1),IF(C104=""FY0"",0,IF(C104=""FY-1"",-12,-24))))&lt;=31),1,0),0))"),"")</f>
        <v/>
      </c>
    </row>
    <row r="105" ht="31.5" customHeight="1">
      <c r="A105" s="85"/>
      <c r="B105" s="86" t="str">
        <f t="array" ref="B105">IF(A105="","",IF(AB105&lt;&gt;1,"Unmatched issuer",INDEX(Companies!$C$6:$C$55,MATCH(A105,Companies!$A$6:$A$55,0))))</f>
        <v/>
      </c>
      <c r="C105" s="87"/>
      <c r="D105" s="88"/>
      <c r="E105" s="88"/>
      <c r="F105" s="88"/>
      <c r="G105" s="87"/>
      <c r="H105" s="87"/>
      <c r="I105" s="85"/>
      <c r="J105" s="89"/>
      <c r="K105" s="89"/>
      <c r="L105" s="90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90"/>
      <c r="Z105" s="85"/>
      <c r="AA105" s="85"/>
      <c r="AB105" s="86" t="str">
        <f>IF(A105="","",COUNTIF(Companies!$A$6:$A$55,A105))</f>
        <v/>
      </c>
      <c r="AC105" s="86" t="str">
        <f t="shared" si="1"/>
        <v/>
      </c>
      <c r="AD105" s="86" t="str">
        <f>IF(A105="","",IFERROR(IF(AND(AB105=1,AC105=1,AM105=1,OR(C105="TTM",C105="FY0",C105="FY-1",C105="FY-2"),ISNUMBER(D105),D105&lt;=Rules!$B$6,ISNUMBER(E105),E105&gt;=D105,E105&lt;=Rules!$B$6,ISNUMBER(F105),ABS(D105-F105-365)&lt;=31,OR(G105="US GAAP",G105="IFRS"),H105="Yes",I105&lt;&gt;"",COUNT(J105:R105)=9,J105&gt;0,L105&gt;-1,L105&lt;1,M105&gt;=0,N105&gt;=0,Q105&gt;=0,R105&gt;=0,M105+O105-Q105&gt;0,N105+P105-R105&gt;0,Z105&lt;&gt;"",AA105&lt;&gt;""),1,0),0))</f>
        <v/>
      </c>
      <c r="AE105" s="91" t="str">
        <f t="shared" si="2"/>
        <v/>
      </c>
      <c r="AF105" s="91" t="str">
        <f t="shared" si="3"/>
        <v/>
      </c>
      <c r="AG105" s="92" t="str">
        <f t="shared" si="4"/>
        <v/>
      </c>
      <c r="AH105" s="92" t="str">
        <f t="shared" si="5"/>
        <v/>
      </c>
      <c r="AI105" s="92" t="str">
        <f t="shared" si="6"/>
        <v/>
      </c>
      <c r="AJ105" s="92" t="str">
        <f t="shared" si="7"/>
        <v/>
      </c>
      <c r="AK105" s="92" t="str">
        <f t="shared" si="8"/>
        <v/>
      </c>
      <c r="AL105" s="86" t="str">
        <f t="shared" si="9"/>
        <v/>
      </c>
      <c r="AM105" s="86" t="str">
        <f t="array" ref="AM105">IF(A105="","",IF(AB105&lt;&gt;1,0,IF(AND(INDEX(Companies!$R$6:$R$55,MATCH(A105,Companies!$A$6:$A$55,0))=1,INDEX(Companies!$I$6:$I$55,MATCH(A105,Companies!$A$6:$A$55,0))&gt;=MAX(10,Rules!$B$22)),1,0)))</f>
        <v/>
      </c>
      <c r="AN105" s="86" t="str">
        <f>IFERROR(__xludf.DUMMYFUNCTION("IF(A105="""","""",IFERROR(IF(AND(OR(C105=""FY0"",C105=""FY-1"",C105=""FY-2""),AD105=1,COUNTIFS($A$6:$A$205,A105,$C$6:$C$205,""FY0"",$AD$6:$AD$205,1)=1,COUNTIFS($A$6:$A$205,A105,$C$6:$C$205,""TTM"",$AD$6:$AD$205,1)=1,G105=IFNA(INDEX(FILTER($G$6:$G$205,$A$6"&amp;":$A$205=A105,$C$6:$C$205=""TTM"",$AD$6:$AD$205=1),1),""""),I105=IFNA(INDEX(FILTER($I$6:$I$205,$A$6:$A$205=A105,$C$6:$C$205=""TTM"",$AD$6:$AD$205=1),1),""""),SUMIFS($D$6:$D$205,$A$6:$A$205,A105,$C$6:$C$205,""FY0"",$AD$6:$AD$205,1)&lt;=SUMIFS($D$6:$D$205,$A$6:"&amp;"$A$205,A105,$C$6:$C$205,""TTM"",$AD$6:$AD$205,1),SUMIFS($D$6:$D$205,$A$6:$A$205,A105,$C$6:$C$205,""TTM"",$AD$6:$AD$205,1)-SUMIFS($D$6:$D$205,$A$6:$A$205,A105,$C$6:$C$205,""FY0"",$AD$6:$AD$205,1)&lt;366,ABS(D105-EDATE(SUMIFS($D$6:$D$205,$A$6:$A$205,A105,$C$6:"&amp;"$C$205,""FY0"",$AD$6:$AD$205,1),IF(C105=""FY0"",0,IF(C105=""FY-1"",-12,-24))))&lt;=31),1,0),0))"),"")</f>
        <v/>
      </c>
    </row>
    <row r="106" ht="31.5" customHeight="1">
      <c r="A106" s="85"/>
      <c r="B106" s="86" t="str">
        <f t="array" ref="B106">IF(A106="","",IF(AB106&lt;&gt;1,"Unmatched issuer",INDEX(Companies!$C$6:$C$55,MATCH(A106,Companies!$A$6:$A$55,0))))</f>
        <v/>
      </c>
      <c r="C106" s="87"/>
      <c r="D106" s="88"/>
      <c r="E106" s="88"/>
      <c r="F106" s="88"/>
      <c r="G106" s="87"/>
      <c r="H106" s="87"/>
      <c r="I106" s="85"/>
      <c r="J106" s="89"/>
      <c r="K106" s="89"/>
      <c r="L106" s="90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90"/>
      <c r="Z106" s="85"/>
      <c r="AA106" s="85"/>
      <c r="AB106" s="86" t="str">
        <f>IF(A106="","",COUNTIF(Companies!$A$6:$A$55,A106))</f>
        <v/>
      </c>
      <c r="AC106" s="86" t="str">
        <f t="shared" si="1"/>
        <v/>
      </c>
      <c r="AD106" s="86" t="str">
        <f>IF(A106="","",IFERROR(IF(AND(AB106=1,AC106=1,AM106=1,OR(C106="TTM",C106="FY0",C106="FY-1",C106="FY-2"),ISNUMBER(D106),D106&lt;=Rules!$B$6,ISNUMBER(E106),E106&gt;=D106,E106&lt;=Rules!$B$6,ISNUMBER(F106),ABS(D106-F106-365)&lt;=31,OR(G106="US GAAP",G106="IFRS"),H106="Yes",I106&lt;&gt;"",COUNT(J106:R106)=9,J106&gt;0,L106&gt;-1,L106&lt;1,M106&gt;=0,N106&gt;=0,Q106&gt;=0,R106&gt;=0,M106+O106-Q106&gt;0,N106+P106-R106&gt;0,Z106&lt;&gt;"",AA106&lt;&gt;""),1,0),0))</f>
        <v/>
      </c>
      <c r="AE106" s="91" t="str">
        <f t="shared" si="2"/>
        <v/>
      </c>
      <c r="AF106" s="91" t="str">
        <f t="shared" si="3"/>
        <v/>
      </c>
      <c r="AG106" s="92" t="str">
        <f t="shared" si="4"/>
        <v/>
      </c>
      <c r="AH106" s="92" t="str">
        <f t="shared" si="5"/>
        <v/>
      </c>
      <c r="AI106" s="92" t="str">
        <f t="shared" si="6"/>
        <v/>
      </c>
      <c r="AJ106" s="92" t="str">
        <f t="shared" si="7"/>
        <v/>
      </c>
      <c r="AK106" s="92" t="str">
        <f t="shared" si="8"/>
        <v/>
      </c>
      <c r="AL106" s="86" t="str">
        <f t="shared" si="9"/>
        <v/>
      </c>
      <c r="AM106" s="86" t="str">
        <f t="array" ref="AM106">IF(A106="","",IF(AB106&lt;&gt;1,0,IF(AND(INDEX(Companies!$R$6:$R$55,MATCH(A106,Companies!$A$6:$A$55,0))=1,INDEX(Companies!$I$6:$I$55,MATCH(A106,Companies!$A$6:$A$55,0))&gt;=MAX(10,Rules!$B$22)),1,0)))</f>
        <v/>
      </c>
      <c r="AN106" s="86" t="str">
        <f>IFERROR(__xludf.DUMMYFUNCTION("IF(A106="""","""",IFERROR(IF(AND(OR(C106=""FY0"",C106=""FY-1"",C106=""FY-2""),AD106=1,COUNTIFS($A$6:$A$205,A106,$C$6:$C$205,""FY0"",$AD$6:$AD$205,1)=1,COUNTIFS($A$6:$A$205,A106,$C$6:$C$205,""TTM"",$AD$6:$AD$205,1)=1,G106=IFNA(INDEX(FILTER($G$6:$G$205,$A$6"&amp;":$A$205=A106,$C$6:$C$205=""TTM"",$AD$6:$AD$205=1),1),""""),I106=IFNA(INDEX(FILTER($I$6:$I$205,$A$6:$A$205=A106,$C$6:$C$205=""TTM"",$AD$6:$AD$205=1),1),""""),SUMIFS($D$6:$D$205,$A$6:$A$205,A106,$C$6:$C$205,""FY0"",$AD$6:$AD$205,1)&lt;=SUMIFS($D$6:$D$205,$A$6:"&amp;"$A$205,A106,$C$6:$C$205,""TTM"",$AD$6:$AD$205,1),SUMIFS($D$6:$D$205,$A$6:$A$205,A106,$C$6:$C$205,""TTM"",$AD$6:$AD$205,1)-SUMIFS($D$6:$D$205,$A$6:$A$205,A106,$C$6:$C$205,""FY0"",$AD$6:$AD$205,1)&lt;366,ABS(D106-EDATE(SUMIFS($D$6:$D$205,$A$6:$A$205,A106,$C$6:"&amp;"$C$205,""FY0"",$AD$6:$AD$205,1),IF(C106=""FY0"",0,IF(C106=""FY-1"",-12,-24))))&lt;=31),1,0),0))"),"")</f>
        <v/>
      </c>
    </row>
    <row r="107" ht="31.5" customHeight="1">
      <c r="A107" s="85"/>
      <c r="B107" s="86" t="str">
        <f t="array" ref="B107">IF(A107="","",IF(AB107&lt;&gt;1,"Unmatched issuer",INDEX(Companies!$C$6:$C$55,MATCH(A107,Companies!$A$6:$A$55,0))))</f>
        <v/>
      </c>
      <c r="C107" s="87"/>
      <c r="D107" s="88"/>
      <c r="E107" s="88"/>
      <c r="F107" s="88"/>
      <c r="G107" s="87"/>
      <c r="H107" s="87"/>
      <c r="I107" s="85"/>
      <c r="J107" s="89"/>
      <c r="K107" s="89"/>
      <c r="L107" s="90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90"/>
      <c r="Z107" s="85"/>
      <c r="AA107" s="85"/>
      <c r="AB107" s="86" t="str">
        <f>IF(A107="","",COUNTIF(Companies!$A$6:$A$55,A107))</f>
        <v/>
      </c>
      <c r="AC107" s="86" t="str">
        <f t="shared" si="1"/>
        <v/>
      </c>
      <c r="AD107" s="86" t="str">
        <f>IF(A107="","",IFERROR(IF(AND(AB107=1,AC107=1,AM107=1,OR(C107="TTM",C107="FY0",C107="FY-1",C107="FY-2"),ISNUMBER(D107),D107&lt;=Rules!$B$6,ISNUMBER(E107),E107&gt;=D107,E107&lt;=Rules!$B$6,ISNUMBER(F107),ABS(D107-F107-365)&lt;=31,OR(G107="US GAAP",G107="IFRS"),H107="Yes",I107&lt;&gt;"",COUNT(J107:R107)=9,J107&gt;0,L107&gt;-1,L107&lt;1,M107&gt;=0,N107&gt;=0,Q107&gt;=0,R107&gt;=0,M107+O107-Q107&gt;0,N107+P107-R107&gt;0,Z107&lt;&gt;"",AA107&lt;&gt;""),1,0),0))</f>
        <v/>
      </c>
      <c r="AE107" s="91" t="str">
        <f t="shared" si="2"/>
        <v/>
      </c>
      <c r="AF107" s="91" t="str">
        <f t="shared" si="3"/>
        <v/>
      </c>
      <c r="AG107" s="92" t="str">
        <f t="shared" si="4"/>
        <v/>
      </c>
      <c r="AH107" s="92" t="str">
        <f t="shared" si="5"/>
        <v/>
      </c>
      <c r="AI107" s="92" t="str">
        <f t="shared" si="6"/>
        <v/>
      </c>
      <c r="AJ107" s="92" t="str">
        <f t="shared" si="7"/>
        <v/>
      </c>
      <c r="AK107" s="92" t="str">
        <f t="shared" si="8"/>
        <v/>
      </c>
      <c r="AL107" s="86" t="str">
        <f t="shared" si="9"/>
        <v/>
      </c>
      <c r="AM107" s="86" t="str">
        <f t="array" ref="AM107">IF(A107="","",IF(AB107&lt;&gt;1,0,IF(AND(INDEX(Companies!$R$6:$R$55,MATCH(A107,Companies!$A$6:$A$55,0))=1,INDEX(Companies!$I$6:$I$55,MATCH(A107,Companies!$A$6:$A$55,0))&gt;=MAX(10,Rules!$B$22)),1,0)))</f>
        <v/>
      </c>
      <c r="AN107" s="86" t="str">
        <f>IFERROR(__xludf.DUMMYFUNCTION("IF(A107="""","""",IFERROR(IF(AND(OR(C107=""FY0"",C107=""FY-1"",C107=""FY-2""),AD107=1,COUNTIFS($A$6:$A$205,A107,$C$6:$C$205,""FY0"",$AD$6:$AD$205,1)=1,COUNTIFS($A$6:$A$205,A107,$C$6:$C$205,""TTM"",$AD$6:$AD$205,1)=1,G107=IFNA(INDEX(FILTER($G$6:$G$205,$A$6"&amp;":$A$205=A107,$C$6:$C$205=""TTM"",$AD$6:$AD$205=1),1),""""),I107=IFNA(INDEX(FILTER($I$6:$I$205,$A$6:$A$205=A107,$C$6:$C$205=""TTM"",$AD$6:$AD$205=1),1),""""),SUMIFS($D$6:$D$205,$A$6:$A$205,A107,$C$6:$C$205,""FY0"",$AD$6:$AD$205,1)&lt;=SUMIFS($D$6:$D$205,$A$6:"&amp;"$A$205,A107,$C$6:$C$205,""TTM"",$AD$6:$AD$205,1),SUMIFS($D$6:$D$205,$A$6:$A$205,A107,$C$6:$C$205,""TTM"",$AD$6:$AD$205,1)-SUMIFS($D$6:$D$205,$A$6:$A$205,A107,$C$6:$C$205,""FY0"",$AD$6:$AD$205,1)&lt;366,ABS(D107-EDATE(SUMIFS($D$6:$D$205,$A$6:$A$205,A107,$C$6:"&amp;"$C$205,""FY0"",$AD$6:$AD$205,1),IF(C107=""FY0"",0,IF(C107=""FY-1"",-12,-24))))&lt;=31),1,0),0))"),"")</f>
        <v/>
      </c>
    </row>
    <row r="108" ht="31.5" customHeight="1">
      <c r="A108" s="85"/>
      <c r="B108" s="86" t="str">
        <f t="array" ref="B108">IF(A108="","",IF(AB108&lt;&gt;1,"Unmatched issuer",INDEX(Companies!$C$6:$C$55,MATCH(A108,Companies!$A$6:$A$55,0))))</f>
        <v/>
      </c>
      <c r="C108" s="87"/>
      <c r="D108" s="88"/>
      <c r="E108" s="88"/>
      <c r="F108" s="88"/>
      <c r="G108" s="87"/>
      <c r="H108" s="87"/>
      <c r="I108" s="85"/>
      <c r="J108" s="89"/>
      <c r="K108" s="89"/>
      <c r="L108" s="90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90"/>
      <c r="Z108" s="85"/>
      <c r="AA108" s="85"/>
      <c r="AB108" s="86" t="str">
        <f>IF(A108="","",COUNTIF(Companies!$A$6:$A$55,A108))</f>
        <v/>
      </c>
      <c r="AC108" s="86" t="str">
        <f t="shared" si="1"/>
        <v/>
      </c>
      <c r="AD108" s="86" t="str">
        <f>IF(A108="","",IFERROR(IF(AND(AB108=1,AC108=1,AM108=1,OR(C108="TTM",C108="FY0",C108="FY-1",C108="FY-2"),ISNUMBER(D108),D108&lt;=Rules!$B$6,ISNUMBER(E108),E108&gt;=D108,E108&lt;=Rules!$B$6,ISNUMBER(F108),ABS(D108-F108-365)&lt;=31,OR(G108="US GAAP",G108="IFRS"),H108="Yes",I108&lt;&gt;"",COUNT(J108:R108)=9,J108&gt;0,L108&gt;-1,L108&lt;1,M108&gt;=0,N108&gt;=0,Q108&gt;=0,R108&gt;=0,M108+O108-Q108&gt;0,N108+P108-R108&gt;0,Z108&lt;&gt;"",AA108&lt;&gt;""),1,0),0))</f>
        <v/>
      </c>
      <c r="AE108" s="91" t="str">
        <f t="shared" si="2"/>
        <v/>
      </c>
      <c r="AF108" s="91" t="str">
        <f t="shared" si="3"/>
        <v/>
      </c>
      <c r="AG108" s="92" t="str">
        <f t="shared" si="4"/>
        <v/>
      </c>
      <c r="AH108" s="92" t="str">
        <f t="shared" si="5"/>
        <v/>
      </c>
      <c r="AI108" s="92" t="str">
        <f t="shared" si="6"/>
        <v/>
      </c>
      <c r="AJ108" s="92" t="str">
        <f t="shared" si="7"/>
        <v/>
      </c>
      <c r="AK108" s="92" t="str">
        <f t="shared" si="8"/>
        <v/>
      </c>
      <c r="AL108" s="86" t="str">
        <f t="shared" si="9"/>
        <v/>
      </c>
      <c r="AM108" s="86" t="str">
        <f t="array" ref="AM108">IF(A108="","",IF(AB108&lt;&gt;1,0,IF(AND(INDEX(Companies!$R$6:$R$55,MATCH(A108,Companies!$A$6:$A$55,0))=1,INDEX(Companies!$I$6:$I$55,MATCH(A108,Companies!$A$6:$A$55,0))&gt;=MAX(10,Rules!$B$22)),1,0)))</f>
        <v/>
      </c>
      <c r="AN108" s="86" t="str">
        <f>IFERROR(__xludf.DUMMYFUNCTION("IF(A108="""","""",IFERROR(IF(AND(OR(C108=""FY0"",C108=""FY-1"",C108=""FY-2""),AD108=1,COUNTIFS($A$6:$A$205,A108,$C$6:$C$205,""FY0"",$AD$6:$AD$205,1)=1,COUNTIFS($A$6:$A$205,A108,$C$6:$C$205,""TTM"",$AD$6:$AD$205,1)=1,G108=IFNA(INDEX(FILTER($G$6:$G$205,$A$6"&amp;":$A$205=A108,$C$6:$C$205=""TTM"",$AD$6:$AD$205=1),1),""""),I108=IFNA(INDEX(FILTER($I$6:$I$205,$A$6:$A$205=A108,$C$6:$C$205=""TTM"",$AD$6:$AD$205=1),1),""""),SUMIFS($D$6:$D$205,$A$6:$A$205,A108,$C$6:$C$205,""FY0"",$AD$6:$AD$205,1)&lt;=SUMIFS($D$6:$D$205,$A$6:"&amp;"$A$205,A108,$C$6:$C$205,""TTM"",$AD$6:$AD$205,1),SUMIFS($D$6:$D$205,$A$6:$A$205,A108,$C$6:$C$205,""TTM"",$AD$6:$AD$205,1)-SUMIFS($D$6:$D$205,$A$6:$A$205,A108,$C$6:$C$205,""FY0"",$AD$6:$AD$205,1)&lt;366,ABS(D108-EDATE(SUMIFS($D$6:$D$205,$A$6:$A$205,A108,$C$6:"&amp;"$C$205,""FY0"",$AD$6:$AD$205,1),IF(C108=""FY0"",0,IF(C108=""FY-1"",-12,-24))))&lt;=31),1,0),0))"),"")</f>
        <v/>
      </c>
    </row>
    <row r="109" ht="31.5" customHeight="1">
      <c r="A109" s="85"/>
      <c r="B109" s="86" t="str">
        <f t="array" ref="B109">IF(A109="","",IF(AB109&lt;&gt;1,"Unmatched issuer",INDEX(Companies!$C$6:$C$55,MATCH(A109,Companies!$A$6:$A$55,0))))</f>
        <v/>
      </c>
      <c r="C109" s="87"/>
      <c r="D109" s="88"/>
      <c r="E109" s="88"/>
      <c r="F109" s="88"/>
      <c r="G109" s="87"/>
      <c r="H109" s="87"/>
      <c r="I109" s="85"/>
      <c r="J109" s="89"/>
      <c r="K109" s="89"/>
      <c r="L109" s="90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90"/>
      <c r="Z109" s="85"/>
      <c r="AA109" s="85"/>
      <c r="AB109" s="86" t="str">
        <f>IF(A109="","",COUNTIF(Companies!$A$6:$A$55,A109))</f>
        <v/>
      </c>
      <c r="AC109" s="86" t="str">
        <f t="shared" si="1"/>
        <v/>
      </c>
      <c r="AD109" s="86" t="str">
        <f>IF(A109="","",IFERROR(IF(AND(AB109=1,AC109=1,AM109=1,OR(C109="TTM",C109="FY0",C109="FY-1",C109="FY-2"),ISNUMBER(D109),D109&lt;=Rules!$B$6,ISNUMBER(E109),E109&gt;=D109,E109&lt;=Rules!$B$6,ISNUMBER(F109),ABS(D109-F109-365)&lt;=31,OR(G109="US GAAP",G109="IFRS"),H109="Yes",I109&lt;&gt;"",COUNT(J109:R109)=9,J109&gt;0,L109&gt;-1,L109&lt;1,M109&gt;=0,N109&gt;=0,Q109&gt;=0,R109&gt;=0,M109+O109-Q109&gt;0,N109+P109-R109&gt;0,Z109&lt;&gt;"",AA109&lt;&gt;""),1,0),0))</f>
        <v/>
      </c>
      <c r="AE109" s="91" t="str">
        <f t="shared" si="2"/>
        <v/>
      </c>
      <c r="AF109" s="91" t="str">
        <f t="shared" si="3"/>
        <v/>
      </c>
      <c r="AG109" s="92" t="str">
        <f t="shared" si="4"/>
        <v/>
      </c>
      <c r="AH109" s="92" t="str">
        <f t="shared" si="5"/>
        <v/>
      </c>
      <c r="AI109" s="92" t="str">
        <f t="shared" si="6"/>
        <v/>
      </c>
      <c r="AJ109" s="92" t="str">
        <f t="shared" si="7"/>
        <v/>
      </c>
      <c r="AK109" s="92" t="str">
        <f t="shared" si="8"/>
        <v/>
      </c>
      <c r="AL109" s="86" t="str">
        <f t="shared" si="9"/>
        <v/>
      </c>
      <c r="AM109" s="86" t="str">
        <f t="array" ref="AM109">IF(A109="","",IF(AB109&lt;&gt;1,0,IF(AND(INDEX(Companies!$R$6:$R$55,MATCH(A109,Companies!$A$6:$A$55,0))=1,INDEX(Companies!$I$6:$I$55,MATCH(A109,Companies!$A$6:$A$55,0))&gt;=MAX(10,Rules!$B$22)),1,0)))</f>
        <v/>
      </c>
      <c r="AN109" s="86" t="str">
        <f>IFERROR(__xludf.DUMMYFUNCTION("IF(A109="""","""",IFERROR(IF(AND(OR(C109=""FY0"",C109=""FY-1"",C109=""FY-2""),AD109=1,COUNTIFS($A$6:$A$205,A109,$C$6:$C$205,""FY0"",$AD$6:$AD$205,1)=1,COUNTIFS($A$6:$A$205,A109,$C$6:$C$205,""TTM"",$AD$6:$AD$205,1)=1,G109=IFNA(INDEX(FILTER($G$6:$G$205,$A$6"&amp;":$A$205=A109,$C$6:$C$205=""TTM"",$AD$6:$AD$205=1),1),""""),I109=IFNA(INDEX(FILTER($I$6:$I$205,$A$6:$A$205=A109,$C$6:$C$205=""TTM"",$AD$6:$AD$205=1),1),""""),SUMIFS($D$6:$D$205,$A$6:$A$205,A109,$C$6:$C$205,""FY0"",$AD$6:$AD$205,1)&lt;=SUMIFS($D$6:$D$205,$A$6:"&amp;"$A$205,A109,$C$6:$C$205,""TTM"",$AD$6:$AD$205,1),SUMIFS($D$6:$D$205,$A$6:$A$205,A109,$C$6:$C$205,""TTM"",$AD$6:$AD$205,1)-SUMIFS($D$6:$D$205,$A$6:$A$205,A109,$C$6:$C$205,""FY0"",$AD$6:$AD$205,1)&lt;366,ABS(D109-EDATE(SUMIFS($D$6:$D$205,$A$6:$A$205,A109,$C$6:"&amp;"$C$205,""FY0"",$AD$6:$AD$205,1),IF(C109=""FY0"",0,IF(C109=""FY-1"",-12,-24))))&lt;=31),1,0),0))"),"")</f>
        <v/>
      </c>
    </row>
    <row r="110" ht="31.5" customHeight="1">
      <c r="A110" s="85"/>
      <c r="B110" s="86" t="str">
        <f t="array" ref="B110">IF(A110="","",IF(AB110&lt;&gt;1,"Unmatched issuer",INDEX(Companies!$C$6:$C$55,MATCH(A110,Companies!$A$6:$A$55,0))))</f>
        <v/>
      </c>
      <c r="C110" s="87"/>
      <c r="D110" s="88"/>
      <c r="E110" s="88"/>
      <c r="F110" s="88"/>
      <c r="G110" s="87"/>
      <c r="H110" s="87"/>
      <c r="I110" s="85"/>
      <c r="J110" s="89"/>
      <c r="K110" s="89"/>
      <c r="L110" s="90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90"/>
      <c r="Z110" s="85"/>
      <c r="AA110" s="85"/>
      <c r="AB110" s="86" t="str">
        <f>IF(A110="","",COUNTIF(Companies!$A$6:$A$55,A110))</f>
        <v/>
      </c>
      <c r="AC110" s="86" t="str">
        <f t="shared" si="1"/>
        <v/>
      </c>
      <c r="AD110" s="86" t="str">
        <f>IF(A110="","",IFERROR(IF(AND(AB110=1,AC110=1,AM110=1,OR(C110="TTM",C110="FY0",C110="FY-1",C110="FY-2"),ISNUMBER(D110),D110&lt;=Rules!$B$6,ISNUMBER(E110),E110&gt;=D110,E110&lt;=Rules!$B$6,ISNUMBER(F110),ABS(D110-F110-365)&lt;=31,OR(G110="US GAAP",G110="IFRS"),H110="Yes",I110&lt;&gt;"",COUNT(J110:R110)=9,J110&gt;0,L110&gt;-1,L110&lt;1,M110&gt;=0,N110&gt;=0,Q110&gt;=0,R110&gt;=0,M110+O110-Q110&gt;0,N110+P110-R110&gt;0,Z110&lt;&gt;"",AA110&lt;&gt;""),1,0),0))</f>
        <v/>
      </c>
      <c r="AE110" s="91" t="str">
        <f t="shared" si="2"/>
        <v/>
      </c>
      <c r="AF110" s="91" t="str">
        <f t="shared" si="3"/>
        <v/>
      </c>
      <c r="AG110" s="92" t="str">
        <f t="shared" si="4"/>
        <v/>
      </c>
      <c r="AH110" s="92" t="str">
        <f t="shared" si="5"/>
        <v/>
      </c>
      <c r="AI110" s="92" t="str">
        <f t="shared" si="6"/>
        <v/>
      </c>
      <c r="AJ110" s="92" t="str">
        <f t="shared" si="7"/>
        <v/>
      </c>
      <c r="AK110" s="92" t="str">
        <f t="shared" si="8"/>
        <v/>
      </c>
      <c r="AL110" s="86" t="str">
        <f t="shared" si="9"/>
        <v/>
      </c>
      <c r="AM110" s="86" t="str">
        <f t="array" ref="AM110">IF(A110="","",IF(AB110&lt;&gt;1,0,IF(AND(INDEX(Companies!$R$6:$R$55,MATCH(A110,Companies!$A$6:$A$55,0))=1,INDEX(Companies!$I$6:$I$55,MATCH(A110,Companies!$A$6:$A$55,0))&gt;=MAX(10,Rules!$B$22)),1,0)))</f>
        <v/>
      </c>
      <c r="AN110" s="86" t="str">
        <f>IFERROR(__xludf.DUMMYFUNCTION("IF(A110="""","""",IFERROR(IF(AND(OR(C110=""FY0"",C110=""FY-1"",C110=""FY-2""),AD110=1,COUNTIFS($A$6:$A$205,A110,$C$6:$C$205,""FY0"",$AD$6:$AD$205,1)=1,COUNTIFS($A$6:$A$205,A110,$C$6:$C$205,""TTM"",$AD$6:$AD$205,1)=1,G110=IFNA(INDEX(FILTER($G$6:$G$205,$A$6"&amp;":$A$205=A110,$C$6:$C$205=""TTM"",$AD$6:$AD$205=1),1),""""),I110=IFNA(INDEX(FILTER($I$6:$I$205,$A$6:$A$205=A110,$C$6:$C$205=""TTM"",$AD$6:$AD$205=1),1),""""),SUMIFS($D$6:$D$205,$A$6:$A$205,A110,$C$6:$C$205,""FY0"",$AD$6:$AD$205,1)&lt;=SUMIFS($D$6:$D$205,$A$6:"&amp;"$A$205,A110,$C$6:$C$205,""TTM"",$AD$6:$AD$205,1),SUMIFS($D$6:$D$205,$A$6:$A$205,A110,$C$6:$C$205,""TTM"",$AD$6:$AD$205,1)-SUMIFS($D$6:$D$205,$A$6:$A$205,A110,$C$6:$C$205,""FY0"",$AD$6:$AD$205,1)&lt;366,ABS(D110-EDATE(SUMIFS($D$6:$D$205,$A$6:$A$205,A110,$C$6:"&amp;"$C$205,""FY0"",$AD$6:$AD$205,1),IF(C110=""FY0"",0,IF(C110=""FY-1"",-12,-24))))&lt;=31),1,0),0))"),"")</f>
        <v/>
      </c>
    </row>
    <row r="111" ht="31.5" customHeight="1">
      <c r="A111" s="85"/>
      <c r="B111" s="86" t="str">
        <f t="array" ref="B111">IF(A111="","",IF(AB111&lt;&gt;1,"Unmatched issuer",INDEX(Companies!$C$6:$C$55,MATCH(A111,Companies!$A$6:$A$55,0))))</f>
        <v/>
      </c>
      <c r="C111" s="87"/>
      <c r="D111" s="88"/>
      <c r="E111" s="88"/>
      <c r="F111" s="88"/>
      <c r="G111" s="87"/>
      <c r="H111" s="87"/>
      <c r="I111" s="85"/>
      <c r="J111" s="89"/>
      <c r="K111" s="89"/>
      <c r="L111" s="90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90"/>
      <c r="Z111" s="85"/>
      <c r="AA111" s="85"/>
      <c r="AB111" s="86" t="str">
        <f>IF(A111="","",COUNTIF(Companies!$A$6:$A$55,A111))</f>
        <v/>
      </c>
      <c r="AC111" s="86" t="str">
        <f t="shared" si="1"/>
        <v/>
      </c>
      <c r="AD111" s="86" t="str">
        <f>IF(A111="","",IFERROR(IF(AND(AB111=1,AC111=1,AM111=1,OR(C111="TTM",C111="FY0",C111="FY-1",C111="FY-2"),ISNUMBER(D111),D111&lt;=Rules!$B$6,ISNUMBER(E111),E111&gt;=D111,E111&lt;=Rules!$B$6,ISNUMBER(F111),ABS(D111-F111-365)&lt;=31,OR(G111="US GAAP",G111="IFRS"),H111="Yes",I111&lt;&gt;"",COUNT(J111:R111)=9,J111&gt;0,L111&gt;-1,L111&lt;1,M111&gt;=0,N111&gt;=0,Q111&gt;=0,R111&gt;=0,M111+O111-Q111&gt;0,N111+P111-R111&gt;0,Z111&lt;&gt;"",AA111&lt;&gt;""),1,0),0))</f>
        <v/>
      </c>
      <c r="AE111" s="91" t="str">
        <f t="shared" si="2"/>
        <v/>
      </c>
      <c r="AF111" s="91" t="str">
        <f t="shared" si="3"/>
        <v/>
      </c>
      <c r="AG111" s="92" t="str">
        <f t="shared" si="4"/>
        <v/>
      </c>
      <c r="AH111" s="92" t="str">
        <f t="shared" si="5"/>
        <v/>
      </c>
      <c r="AI111" s="92" t="str">
        <f t="shared" si="6"/>
        <v/>
      </c>
      <c r="AJ111" s="92" t="str">
        <f t="shared" si="7"/>
        <v/>
      </c>
      <c r="AK111" s="92" t="str">
        <f t="shared" si="8"/>
        <v/>
      </c>
      <c r="AL111" s="86" t="str">
        <f t="shared" si="9"/>
        <v/>
      </c>
      <c r="AM111" s="86" t="str">
        <f t="array" ref="AM111">IF(A111="","",IF(AB111&lt;&gt;1,0,IF(AND(INDEX(Companies!$R$6:$R$55,MATCH(A111,Companies!$A$6:$A$55,0))=1,INDEX(Companies!$I$6:$I$55,MATCH(A111,Companies!$A$6:$A$55,0))&gt;=MAX(10,Rules!$B$22)),1,0)))</f>
        <v/>
      </c>
      <c r="AN111" s="86" t="str">
        <f>IFERROR(__xludf.DUMMYFUNCTION("IF(A111="""","""",IFERROR(IF(AND(OR(C111=""FY0"",C111=""FY-1"",C111=""FY-2""),AD111=1,COUNTIFS($A$6:$A$205,A111,$C$6:$C$205,""FY0"",$AD$6:$AD$205,1)=1,COUNTIFS($A$6:$A$205,A111,$C$6:$C$205,""TTM"",$AD$6:$AD$205,1)=1,G111=IFNA(INDEX(FILTER($G$6:$G$205,$A$6"&amp;":$A$205=A111,$C$6:$C$205=""TTM"",$AD$6:$AD$205=1),1),""""),I111=IFNA(INDEX(FILTER($I$6:$I$205,$A$6:$A$205=A111,$C$6:$C$205=""TTM"",$AD$6:$AD$205=1),1),""""),SUMIFS($D$6:$D$205,$A$6:$A$205,A111,$C$6:$C$205,""FY0"",$AD$6:$AD$205,1)&lt;=SUMIFS($D$6:$D$205,$A$6:"&amp;"$A$205,A111,$C$6:$C$205,""TTM"",$AD$6:$AD$205,1),SUMIFS($D$6:$D$205,$A$6:$A$205,A111,$C$6:$C$205,""TTM"",$AD$6:$AD$205,1)-SUMIFS($D$6:$D$205,$A$6:$A$205,A111,$C$6:$C$205,""FY0"",$AD$6:$AD$205,1)&lt;366,ABS(D111-EDATE(SUMIFS($D$6:$D$205,$A$6:$A$205,A111,$C$6:"&amp;"$C$205,""FY0"",$AD$6:$AD$205,1),IF(C111=""FY0"",0,IF(C111=""FY-1"",-12,-24))))&lt;=31),1,0),0))"),"")</f>
        <v/>
      </c>
    </row>
    <row r="112" ht="31.5" customHeight="1">
      <c r="A112" s="85"/>
      <c r="B112" s="86" t="str">
        <f t="array" ref="B112">IF(A112="","",IF(AB112&lt;&gt;1,"Unmatched issuer",INDEX(Companies!$C$6:$C$55,MATCH(A112,Companies!$A$6:$A$55,0))))</f>
        <v/>
      </c>
      <c r="C112" s="87"/>
      <c r="D112" s="88"/>
      <c r="E112" s="88"/>
      <c r="F112" s="88"/>
      <c r="G112" s="87"/>
      <c r="H112" s="87"/>
      <c r="I112" s="85"/>
      <c r="J112" s="89"/>
      <c r="K112" s="89"/>
      <c r="L112" s="90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90"/>
      <c r="Z112" s="85"/>
      <c r="AA112" s="85"/>
      <c r="AB112" s="86" t="str">
        <f>IF(A112="","",COUNTIF(Companies!$A$6:$A$55,A112))</f>
        <v/>
      </c>
      <c r="AC112" s="86" t="str">
        <f t="shared" si="1"/>
        <v/>
      </c>
      <c r="AD112" s="86" t="str">
        <f>IF(A112="","",IFERROR(IF(AND(AB112=1,AC112=1,AM112=1,OR(C112="TTM",C112="FY0",C112="FY-1",C112="FY-2"),ISNUMBER(D112),D112&lt;=Rules!$B$6,ISNUMBER(E112),E112&gt;=D112,E112&lt;=Rules!$B$6,ISNUMBER(F112),ABS(D112-F112-365)&lt;=31,OR(G112="US GAAP",G112="IFRS"),H112="Yes",I112&lt;&gt;"",COUNT(J112:R112)=9,J112&gt;0,L112&gt;-1,L112&lt;1,M112&gt;=0,N112&gt;=0,Q112&gt;=0,R112&gt;=0,M112+O112-Q112&gt;0,N112+P112-R112&gt;0,Z112&lt;&gt;"",AA112&lt;&gt;""),1,0),0))</f>
        <v/>
      </c>
      <c r="AE112" s="91" t="str">
        <f t="shared" si="2"/>
        <v/>
      </c>
      <c r="AF112" s="91" t="str">
        <f t="shared" si="3"/>
        <v/>
      </c>
      <c r="AG112" s="92" t="str">
        <f t="shared" si="4"/>
        <v/>
      </c>
      <c r="AH112" s="92" t="str">
        <f t="shared" si="5"/>
        <v/>
      </c>
      <c r="AI112" s="92" t="str">
        <f t="shared" si="6"/>
        <v/>
      </c>
      <c r="AJ112" s="92" t="str">
        <f t="shared" si="7"/>
        <v/>
      </c>
      <c r="AK112" s="92" t="str">
        <f t="shared" si="8"/>
        <v/>
      </c>
      <c r="AL112" s="86" t="str">
        <f t="shared" si="9"/>
        <v/>
      </c>
      <c r="AM112" s="86" t="str">
        <f t="array" ref="AM112">IF(A112="","",IF(AB112&lt;&gt;1,0,IF(AND(INDEX(Companies!$R$6:$R$55,MATCH(A112,Companies!$A$6:$A$55,0))=1,INDEX(Companies!$I$6:$I$55,MATCH(A112,Companies!$A$6:$A$55,0))&gt;=MAX(10,Rules!$B$22)),1,0)))</f>
        <v/>
      </c>
      <c r="AN112" s="86" t="str">
        <f>IFERROR(__xludf.DUMMYFUNCTION("IF(A112="""","""",IFERROR(IF(AND(OR(C112=""FY0"",C112=""FY-1"",C112=""FY-2""),AD112=1,COUNTIFS($A$6:$A$205,A112,$C$6:$C$205,""FY0"",$AD$6:$AD$205,1)=1,COUNTIFS($A$6:$A$205,A112,$C$6:$C$205,""TTM"",$AD$6:$AD$205,1)=1,G112=IFNA(INDEX(FILTER($G$6:$G$205,$A$6"&amp;":$A$205=A112,$C$6:$C$205=""TTM"",$AD$6:$AD$205=1),1),""""),I112=IFNA(INDEX(FILTER($I$6:$I$205,$A$6:$A$205=A112,$C$6:$C$205=""TTM"",$AD$6:$AD$205=1),1),""""),SUMIFS($D$6:$D$205,$A$6:$A$205,A112,$C$6:$C$205,""FY0"",$AD$6:$AD$205,1)&lt;=SUMIFS($D$6:$D$205,$A$6:"&amp;"$A$205,A112,$C$6:$C$205,""TTM"",$AD$6:$AD$205,1),SUMIFS($D$6:$D$205,$A$6:$A$205,A112,$C$6:$C$205,""TTM"",$AD$6:$AD$205,1)-SUMIFS($D$6:$D$205,$A$6:$A$205,A112,$C$6:$C$205,""FY0"",$AD$6:$AD$205,1)&lt;366,ABS(D112-EDATE(SUMIFS($D$6:$D$205,$A$6:$A$205,A112,$C$6:"&amp;"$C$205,""FY0"",$AD$6:$AD$205,1),IF(C112=""FY0"",0,IF(C112=""FY-1"",-12,-24))))&lt;=31),1,0),0))"),"")</f>
        <v/>
      </c>
    </row>
    <row r="113" ht="31.5" customHeight="1">
      <c r="A113" s="85"/>
      <c r="B113" s="86" t="str">
        <f t="array" ref="B113">IF(A113="","",IF(AB113&lt;&gt;1,"Unmatched issuer",INDEX(Companies!$C$6:$C$55,MATCH(A113,Companies!$A$6:$A$55,0))))</f>
        <v/>
      </c>
      <c r="C113" s="87"/>
      <c r="D113" s="88"/>
      <c r="E113" s="88"/>
      <c r="F113" s="88"/>
      <c r="G113" s="87"/>
      <c r="H113" s="87"/>
      <c r="I113" s="85"/>
      <c r="J113" s="89"/>
      <c r="K113" s="89"/>
      <c r="L113" s="90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90"/>
      <c r="Z113" s="85"/>
      <c r="AA113" s="85"/>
      <c r="AB113" s="86" t="str">
        <f>IF(A113="","",COUNTIF(Companies!$A$6:$A$55,A113))</f>
        <v/>
      </c>
      <c r="AC113" s="86" t="str">
        <f t="shared" si="1"/>
        <v/>
      </c>
      <c r="AD113" s="86" t="str">
        <f>IF(A113="","",IFERROR(IF(AND(AB113=1,AC113=1,AM113=1,OR(C113="TTM",C113="FY0",C113="FY-1",C113="FY-2"),ISNUMBER(D113),D113&lt;=Rules!$B$6,ISNUMBER(E113),E113&gt;=D113,E113&lt;=Rules!$B$6,ISNUMBER(F113),ABS(D113-F113-365)&lt;=31,OR(G113="US GAAP",G113="IFRS"),H113="Yes",I113&lt;&gt;"",COUNT(J113:R113)=9,J113&gt;0,L113&gt;-1,L113&lt;1,M113&gt;=0,N113&gt;=0,Q113&gt;=0,R113&gt;=0,M113+O113-Q113&gt;0,N113+P113-R113&gt;0,Z113&lt;&gt;"",AA113&lt;&gt;""),1,0),0))</f>
        <v/>
      </c>
      <c r="AE113" s="91" t="str">
        <f t="shared" si="2"/>
        <v/>
      </c>
      <c r="AF113" s="91" t="str">
        <f t="shared" si="3"/>
        <v/>
      </c>
      <c r="AG113" s="92" t="str">
        <f t="shared" si="4"/>
        <v/>
      </c>
      <c r="AH113" s="92" t="str">
        <f t="shared" si="5"/>
        <v/>
      </c>
      <c r="AI113" s="92" t="str">
        <f t="shared" si="6"/>
        <v/>
      </c>
      <c r="AJ113" s="92" t="str">
        <f t="shared" si="7"/>
        <v/>
      </c>
      <c r="AK113" s="92" t="str">
        <f t="shared" si="8"/>
        <v/>
      </c>
      <c r="AL113" s="86" t="str">
        <f t="shared" si="9"/>
        <v/>
      </c>
      <c r="AM113" s="86" t="str">
        <f t="array" ref="AM113">IF(A113="","",IF(AB113&lt;&gt;1,0,IF(AND(INDEX(Companies!$R$6:$R$55,MATCH(A113,Companies!$A$6:$A$55,0))=1,INDEX(Companies!$I$6:$I$55,MATCH(A113,Companies!$A$6:$A$55,0))&gt;=MAX(10,Rules!$B$22)),1,0)))</f>
        <v/>
      </c>
      <c r="AN113" s="86" t="str">
        <f>IFERROR(__xludf.DUMMYFUNCTION("IF(A113="""","""",IFERROR(IF(AND(OR(C113=""FY0"",C113=""FY-1"",C113=""FY-2""),AD113=1,COUNTIFS($A$6:$A$205,A113,$C$6:$C$205,""FY0"",$AD$6:$AD$205,1)=1,COUNTIFS($A$6:$A$205,A113,$C$6:$C$205,""TTM"",$AD$6:$AD$205,1)=1,G113=IFNA(INDEX(FILTER($G$6:$G$205,$A$6"&amp;":$A$205=A113,$C$6:$C$205=""TTM"",$AD$6:$AD$205=1),1),""""),I113=IFNA(INDEX(FILTER($I$6:$I$205,$A$6:$A$205=A113,$C$6:$C$205=""TTM"",$AD$6:$AD$205=1),1),""""),SUMIFS($D$6:$D$205,$A$6:$A$205,A113,$C$6:$C$205,""FY0"",$AD$6:$AD$205,1)&lt;=SUMIFS($D$6:$D$205,$A$6:"&amp;"$A$205,A113,$C$6:$C$205,""TTM"",$AD$6:$AD$205,1),SUMIFS($D$6:$D$205,$A$6:$A$205,A113,$C$6:$C$205,""TTM"",$AD$6:$AD$205,1)-SUMIFS($D$6:$D$205,$A$6:$A$205,A113,$C$6:$C$205,""FY0"",$AD$6:$AD$205,1)&lt;366,ABS(D113-EDATE(SUMIFS($D$6:$D$205,$A$6:$A$205,A113,$C$6:"&amp;"$C$205,""FY0"",$AD$6:$AD$205,1),IF(C113=""FY0"",0,IF(C113=""FY-1"",-12,-24))))&lt;=31),1,0),0))"),"")</f>
        <v/>
      </c>
    </row>
    <row r="114" ht="31.5" customHeight="1">
      <c r="A114" s="85"/>
      <c r="B114" s="86" t="str">
        <f t="array" ref="B114">IF(A114="","",IF(AB114&lt;&gt;1,"Unmatched issuer",INDEX(Companies!$C$6:$C$55,MATCH(A114,Companies!$A$6:$A$55,0))))</f>
        <v/>
      </c>
      <c r="C114" s="87"/>
      <c r="D114" s="88"/>
      <c r="E114" s="88"/>
      <c r="F114" s="88"/>
      <c r="G114" s="87"/>
      <c r="H114" s="87"/>
      <c r="I114" s="85"/>
      <c r="J114" s="89"/>
      <c r="K114" s="89"/>
      <c r="L114" s="90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90"/>
      <c r="Z114" s="85"/>
      <c r="AA114" s="85"/>
      <c r="AB114" s="86" t="str">
        <f>IF(A114="","",COUNTIF(Companies!$A$6:$A$55,A114))</f>
        <v/>
      </c>
      <c r="AC114" s="86" t="str">
        <f t="shared" si="1"/>
        <v/>
      </c>
      <c r="AD114" s="86" t="str">
        <f>IF(A114="","",IFERROR(IF(AND(AB114=1,AC114=1,AM114=1,OR(C114="TTM",C114="FY0",C114="FY-1",C114="FY-2"),ISNUMBER(D114),D114&lt;=Rules!$B$6,ISNUMBER(E114),E114&gt;=D114,E114&lt;=Rules!$B$6,ISNUMBER(F114),ABS(D114-F114-365)&lt;=31,OR(G114="US GAAP",G114="IFRS"),H114="Yes",I114&lt;&gt;"",COUNT(J114:R114)=9,J114&gt;0,L114&gt;-1,L114&lt;1,M114&gt;=0,N114&gt;=0,Q114&gt;=0,R114&gt;=0,M114+O114-Q114&gt;0,N114+P114-R114&gt;0,Z114&lt;&gt;"",AA114&lt;&gt;""),1,0),0))</f>
        <v/>
      </c>
      <c r="AE114" s="91" t="str">
        <f t="shared" si="2"/>
        <v/>
      </c>
      <c r="AF114" s="91" t="str">
        <f t="shared" si="3"/>
        <v/>
      </c>
      <c r="AG114" s="92" t="str">
        <f t="shared" si="4"/>
        <v/>
      </c>
      <c r="AH114" s="92" t="str">
        <f t="shared" si="5"/>
        <v/>
      </c>
      <c r="AI114" s="92" t="str">
        <f t="shared" si="6"/>
        <v/>
      </c>
      <c r="AJ114" s="92" t="str">
        <f t="shared" si="7"/>
        <v/>
      </c>
      <c r="AK114" s="92" t="str">
        <f t="shared" si="8"/>
        <v/>
      </c>
      <c r="AL114" s="86" t="str">
        <f t="shared" si="9"/>
        <v/>
      </c>
      <c r="AM114" s="86" t="str">
        <f t="array" ref="AM114">IF(A114="","",IF(AB114&lt;&gt;1,0,IF(AND(INDEX(Companies!$R$6:$R$55,MATCH(A114,Companies!$A$6:$A$55,0))=1,INDEX(Companies!$I$6:$I$55,MATCH(A114,Companies!$A$6:$A$55,0))&gt;=MAX(10,Rules!$B$22)),1,0)))</f>
        <v/>
      </c>
      <c r="AN114" s="86" t="str">
        <f>IFERROR(__xludf.DUMMYFUNCTION("IF(A114="""","""",IFERROR(IF(AND(OR(C114=""FY0"",C114=""FY-1"",C114=""FY-2""),AD114=1,COUNTIFS($A$6:$A$205,A114,$C$6:$C$205,""FY0"",$AD$6:$AD$205,1)=1,COUNTIFS($A$6:$A$205,A114,$C$6:$C$205,""TTM"",$AD$6:$AD$205,1)=1,G114=IFNA(INDEX(FILTER($G$6:$G$205,$A$6"&amp;":$A$205=A114,$C$6:$C$205=""TTM"",$AD$6:$AD$205=1),1),""""),I114=IFNA(INDEX(FILTER($I$6:$I$205,$A$6:$A$205=A114,$C$6:$C$205=""TTM"",$AD$6:$AD$205=1),1),""""),SUMIFS($D$6:$D$205,$A$6:$A$205,A114,$C$6:$C$205,""FY0"",$AD$6:$AD$205,1)&lt;=SUMIFS($D$6:$D$205,$A$6:"&amp;"$A$205,A114,$C$6:$C$205,""TTM"",$AD$6:$AD$205,1),SUMIFS($D$6:$D$205,$A$6:$A$205,A114,$C$6:$C$205,""TTM"",$AD$6:$AD$205,1)-SUMIFS($D$6:$D$205,$A$6:$A$205,A114,$C$6:$C$205,""FY0"",$AD$6:$AD$205,1)&lt;366,ABS(D114-EDATE(SUMIFS($D$6:$D$205,$A$6:$A$205,A114,$C$6:"&amp;"$C$205,""FY0"",$AD$6:$AD$205,1),IF(C114=""FY0"",0,IF(C114=""FY-1"",-12,-24))))&lt;=31),1,0),0))"),"")</f>
        <v/>
      </c>
    </row>
    <row r="115" ht="31.5" customHeight="1">
      <c r="A115" s="85"/>
      <c r="B115" s="86" t="str">
        <f t="array" ref="B115">IF(A115="","",IF(AB115&lt;&gt;1,"Unmatched issuer",INDEX(Companies!$C$6:$C$55,MATCH(A115,Companies!$A$6:$A$55,0))))</f>
        <v/>
      </c>
      <c r="C115" s="87"/>
      <c r="D115" s="88"/>
      <c r="E115" s="88"/>
      <c r="F115" s="88"/>
      <c r="G115" s="87"/>
      <c r="H115" s="87"/>
      <c r="I115" s="85"/>
      <c r="J115" s="89"/>
      <c r="K115" s="89"/>
      <c r="L115" s="90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90"/>
      <c r="Z115" s="85"/>
      <c r="AA115" s="85"/>
      <c r="AB115" s="86" t="str">
        <f>IF(A115="","",COUNTIF(Companies!$A$6:$A$55,A115))</f>
        <v/>
      </c>
      <c r="AC115" s="86" t="str">
        <f t="shared" si="1"/>
        <v/>
      </c>
      <c r="AD115" s="86" t="str">
        <f>IF(A115="","",IFERROR(IF(AND(AB115=1,AC115=1,AM115=1,OR(C115="TTM",C115="FY0",C115="FY-1",C115="FY-2"),ISNUMBER(D115),D115&lt;=Rules!$B$6,ISNUMBER(E115),E115&gt;=D115,E115&lt;=Rules!$B$6,ISNUMBER(F115),ABS(D115-F115-365)&lt;=31,OR(G115="US GAAP",G115="IFRS"),H115="Yes",I115&lt;&gt;"",COUNT(J115:R115)=9,J115&gt;0,L115&gt;-1,L115&lt;1,M115&gt;=0,N115&gt;=0,Q115&gt;=0,R115&gt;=0,M115+O115-Q115&gt;0,N115+P115-R115&gt;0,Z115&lt;&gt;"",AA115&lt;&gt;""),1,0),0))</f>
        <v/>
      </c>
      <c r="AE115" s="91" t="str">
        <f t="shared" si="2"/>
        <v/>
      </c>
      <c r="AF115" s="91" t="str">
        <f t="shared" si="3"/>
        <v/>
      </c>
      <c r="AG115" s="92" t="str">
        <f t="shared" si="4"/>
        <v/>
      </c>
      <c r="AH115" s="92" t="str">
        <f t="shared" si="5"/>
        <v/>
      </c>
      <c r="AI115" s="92" t="str">
        <f t="shared" si="6"/>
        <v/>
      </c>
      <c r="AJ115" s="92" t="str">
        <f t="shared" si="7"/>
        <v/>
      </c>
      <c r="AK115" s="92" t="str">
        <f t="shared" si="8"/>
        <v/>
      </c>
      <c r="AL115" s="86" t="str">
        <f t="shared" si="9"/>
        <v/>
      </c>
      <c r="AM115" s="86" t="str">
        <f t="array" ref="AM115">IF(A115="","",IF(AB115&lt;&gt;1,0,IF(AND(INDEX(Companies!$R$6:$R$55,MATCH(A115,Companies!$A$6:$A$55,0))=1,INDEX(Companies!$I$6:$I$55,MATCH(A115,Companies!$A$6:$A$55,0))&gt;=MAX(10,Rules!$B$22)),1,0)))</f>
        <v/>
      </c>
      <c r="AN115" s="86" t="str">
        <f>IFERROR(__xludf.DUMMYFUNCTION("IF(A115="""","""",IFERROR(IF(AND(OR(C115=""FY0"",C115=""FY-1"",C115=""FY-2""),AD115=1,COUNTIFS($A$6:$A$205,A115,$C$6:$C$205,""FY0"",$AD$6:$AD$205,1)=1,COUNTIFS($A$6:$A$205,A115,$C$6:$C$205,""TTM"",$AD$6:$AD$205,1)=1,G115=IFNA(INDEX(FILTER($G$6:$G$205,$A$6"&amp;":$A$205=A115,$C$6:$C$205=""TTM"",$AD$6:$AD$205=1),1),""""),I115=IFNA(INDEX(FILTER($I$6:$I$205,$A$6:$A$205=A115,$C$6:$C$205=""TTM"",$AD$6:$AD$205=1),1),""""),SUMIFS($D$6:$D$205,$A$6:$A$205,A115,$C$6:$C$205,""FY0"",$AD$6:$AD$205,1)&lt;=SUMIFS($D$6:$D$205,$A$6:"&amp;"$A$205,A115,$C$6:$C$205,""TTM"",$AD$6:$AD$205,1),SUMIFS($D$6:$D$205,$A$6:$A$205,A115,$C$6:$C$205,""TTM"",$AD$6:$AD$205,1)-SUMIFS($D$6:$D$205,$A$6:$A$205,A115,$C$6:$C$205,""FY0"",$AD$6:$AD$205,1)&lt;366,ABS(D115-EDATE(SUMIFS($D$6:$D$205,$A$6:$A$205,A115,$C$6:"&amp;"$C$205,""FY0"",$AD$6:$AD$205,1),IF(C115=""FY0"",0,IF(C115=""FY-1"",-12,-24))))&lt;=31),1,0),0))"),"")</f>
        <v/>
      </c>
    </row>
    <row r="116" ht="31.5" customHeight="1">
      <c r="A116" s="85"/>
      <c r="B116" s="86" t="str">
        <f t="array" ref="B116">IF(A116="","",IF(AB116&lt;&gt;1,"Unmatched issuer",INDEX(Companies!$C$6:$C$55,MATCH(A116,Companies!$A$6:$A$55,0))))</f>
        <v/>
      </c>
      <c r="C116" s="87"/>
      <c r="D116" s="88"/>
      <c r="E116" s="88"/>
      <c r="F116" s="88"/>
      <c r="G116" s="87"/>
      <c r="H116" s="87"/>
      <c r="I116" s="85"/>
      <c r="J116" s="89"/>
      <c r="K116" s="89"/>
      <c r="L116" s="90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90"/>
      <c r="Z116" s="85"/>
      <c r="AA116" s="85"/>
      <c r="AB116" s="86" t="str">
        <f>IF(A116="","",COUNTIF(Companies!$A$6:$A$55,A116))</f>
        <v/>
      </c>
      <c r="AC116" s="86" t="str">
        <f t="shared" si="1"/>
        <v/>
      </c>
      <c r="AD116" s="86" t="str">
        <f>IF(A116="","",IFERROR(IF(AND(AB116=1,AC116=1,AM116=1,OR(C116="TTM",C116="FY0",C116="FY-1",C116="FY-2"),ISNUMBER(D116),D116&lt;=Rules!$B$6,ISNUMBER(E116),E116&gt;=D116,E116&lt;=Rules!$B$6,ISNUMBER(F116),ABS(D116-F116-365)&lt;=31,OR(G116="US GAAP",G116="IFRS"),H116="Yes",I116&lt;&gt;"",COUNT(J116:R116)=9,J116&gt;0,L116&gt;-1,L116&lt;1,M116&gt;=0,N116&gt;=0,Q116&gt;=0,R116&gt;=0,M116+O116-Q116&gt;0,N116+P116-R116&gt;0,Z116&lt;&gt;"",AA116&lt;&gt;""),1,0),0))</f>
        <v/>
      </c>
      <c r="AE116" s="91" t="str">
        <f t="shared" si="2"/>
        <v/>
      </c>
      <c r="AF116" s="91" t="str">
        <f t="shared" si="3"/>
        <v/>
      </c>
      <c r="AG116" s="92" t="str">
        <f t="shared" si="4"/>
        <v/>
      </c>
      <c r="AH116" s="92" t="str">
        <f t="shared" si="5"/>
        <v/>
      </c>
      <c r="AI116" s="92" t="str">
        <f t="shared" si="6"/>
        <v/>
      </c>
      <c r="AJ116" s="92" t="str">
        <f t="shared" si="7"/>
        <v/>
      </c>
      <c r="AK116" s="92" t="str">
        <f t="shared" si="8"/>
        <v/>
      </c>
      <c r="AL116" s="86" t="str">
        <f t="shared" si="9"/>
        <v/>
      </c>
      <c r="AM116" s="86" t="str">
        <f t="array" ref="AM116">IF(A116="","",IF(AB116&lt;&gt;1,0,IF(AND(INDEX(Companies!$R$6:$R$55,MATCH(A116,Companies!$A$6:$A$55,0))=1,INDEX(Companies!$I$6:$I$55,MATCH(A116,Companies!$A$6:$A$55,0))&gt;=MAX(10,Rules!$B$22)),1,0)))</f>
        <v/>
      </c>
      <c r="AN116" s="86" t="str">
        <f>IFERROR(__xludf.DUMMYFUNCTION("IF(A116="""","""",IFERROR(IF(AND(OR(C116=""FY0"",C116=""FY-1"",C116=""FY-2""),AD116=1,COUNTIFS($A$6:$A$205,A116,$C$6:$C$205,""FY0"",$AD$6:$AD$205,1)=1,COUNTIFS($A$6:$A$205,A116,$C$6:$C$205,""TTM"",$AD$6:$AD$205,1)=1,G116=IFNA(INDEX(FILTER($G$6:$G$205,$A$6"&amp;":$A$205=A116,$C$6:$C$205=""TTM"",$AD$6:$AD$205=1),1),""""),I116=IFNA(INDEX(FILTER($I$6:$I$205,$A$6:$A$205=A116,$C$6:$C$205=""TTM"",$AD$6:$AD$205=1),1),""""),SUMIFS($D$6:$D$205,$A$6:$A$205,A116,$C$6:$C$205,""FY0"",$AD$6:$AD$205,1)&lt;=SUMIFS($D$6:$D$205,$A$6:"&amp;"$A$205,A116,$C$6:$C$205,""TTM"",$AD$6:$AD$205,1),SUMIFS($D$6:$D$205,$A$6:$A$205,A116,$C$6:$C$205,""TTM"",$AD$6:$AD$205,1)-SUMIFS($D$6:$D$205,$A$6:$A$205,A116,$C$6:$C$205,""FY0"",$AD$6:$AD$205,1)&lt;366,ABS(D116-EDATE(SUMIFS($D$6:$D$205,$A$6:$A$205,A116,$C$6:"&amp;"$C$205,""FY0"",$AD$6:$AD$205,1),IF(C116=""FY0"",0,IF(C116=""FY-1"",-12,-24))))&lt;=31),1,0),0))"),"")</f>
        <v/>
      </c>
    </row>
    <row r="117" ht="31.5" customHeight="1">
      <c r="A117" s="85"/>
      <c r="B117" s="86" t="str">
        <f t="array" ref="B117">IF(A117="","",IF(AB117&lt;&gt;1,"Unmatched issuer",INDEX(Companies!$C$6:$C$55,MATCH(A117,Companies!$A$6:$A$55,0))))</f>
        <v/>
      </c>
      <c r="C117" s="87"/>
      <c r="D117" s="88"/>
      <c r="E117" s="88"/>
      <c r="F117" s="88"/>
      <c r="G117" s="87"/>
      <c r="H117" s="87"/>
      <c r="I117" s="85"/>
      <c r="J117" s="89"/>
      <c r="K117" s="89"/>
      <c r="L117" s="90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90"/>
      <c r="Z117" s="85"/>
      <c r="AA117" s="85"/>
      <c r="AB117" s="86" t="str">
        <f>IF(A117="","",COUNTIF(Companies!$A$6:$A$55,A117))</f>
        <v/>
      </c>
      <c r="AC117" s="86" t="str">
        <f t="shared" si="1"/>
        <v/>
      </c>
      <c r="AD117" s="86" t="str">
        <f>IF(A117="","",IFERROR(IF(AND(AB117=1,AC117=1,AM117=1,OR(C117="TTM",C117="FY0",C117="FY-1",C117="FY-2"),ISNUMBER(D117),D117&lt;=Rules!$B$6,ISNUMBER(E117),E117&gt;=D117,E117&lt;=Rules!$B$6,ISNUMBER(F117),ABS(D117-F117-365)&lt;=31,OR(G117="US GAAP",G117="IFRS"),H117="Yes",I117&lt;&gt;"",COUNT(J117:R117)=9,J117&gt;0,L117&gt;-1,L117&lt;1,M117&gt;=0,N117&gt;=0,Q117&gt;=0,R117&gt;=0,M117+O117-Q117&gt;0,N117+P117-R117&gt;0,Z117&lt;&gt;"",AA117&lt;&gt;""),1,0),0))</f>
        <v/>
      </c>
      <c r="AE117" s="91" t="str">
        <f t="shared" si="2"/>
        <v/>
      </c>
      <c r="AF117" s="91" t="str">
        <f t="shared" si="3"/>
        <v/>
      </c>
      <c r="AG117" s="92" t="str">
        <f t="shared" si="4"/>
        <v/>
      </c>
      <c r="AH117" s="92" t="str">
        <f t="shared" si="5"/>
        <v/>
      </c>
      <c r="AI117" s="92" t="str">
        <f t="shared" si="6"/>
        <v/>
      </c>
      <c r="AJ117" s="92" t="str">
        <f t="shared" si="7"/>
        <v/>
      </c>
      <c r="AK117" s="92" t="str">
        <f t="shared" si="8"/>
        <v/>
      </c>
      <c r="AL117" s="86" t="str">
        <f t="shared" si="9"/>
        <v/>
      </c>
      <c r="AM117" s="86" t="str">
        <f t="array" ref="AM117">IF(A117="","",IF(AB117&lt;&gt;1,0,IF(AND(INDEX(Companies!$R$6:$R$55,MATCH(A117,Companies!$A$6:$A$55,0))=1,INDEX(Companies!$I$6:$I$55,MATCH(A117,Companies!$A$6:$A$55,0))&gt;=MAX(10,Rules!$B$22)),1,0)))</f>
        <v/>
      </c>
      <c r="AN117" s="86" t="str">
        <f>IFERROR(__xludf.DUMMYFUNCTION("IF(A117="""","""",IFERROR(IF(AND(OR(C117=""FY0"",C117=""FY-1"",C117=""FY-2""),AD117=1,COUNTIFS($A$6:$A$205,A117,$C$6:$C$205,""FY0"",$AD$6:$AD$205,1)=1,COUNTIFS($A$6:$A$205,A117,$C$6:$C$205,""TTM"",$AD$6:$AD$205,1)=1,G117=IFNA(INDEX(FILTER($G$6:$G$205,$A$6"&amp;":$A$205=A117,$C$6:$C$205=""TTM"",$AD$6:$AD$205=1),1),""""),I117=IFNA(INDEX(FILTER($I$6:$I$205,$A$6:$A$205=A117,$C$6:$C$205=""TTM"",$AD$6:$AD$205=1),1),""""),SUMIFS($D$6:$D$205,$A$6:$A$205,A117,$C$6:$C$205,""FY0"",$AD$6:$AD$205,1)&lt;=SUMIFS($D$6:$D$205,$A$6:"&amp;"$A$205,A117,$C$6:$C$205,""TTM"",$AD$6:$AD$205,1),SUMIFS($D$6:$D$205,$A$6:$A$205,A117,$C$6:$C$205,""TTM"",$AD$6:$AD$205,1)-SUMIFS($D$6:$D$205,$A$6:$A$205,A117,$C$6:$C$205,""FY0"",$AD$6:$AD$205,1)&lt;366,ABS(D117-EDATE(SUMIFS($D$6:$D$205,$A$6:$A$205,A117,$C$6:"&amp;"$C$205,""FY0"",$AD$6:$AD$205,1),IF(C117=""FY0"",0,IF(C117=""FY-1"",-12,-24))))&lt;=31),1,0),0))"),"")</f>
        <v/>
      </c>
    </row>
    <row r="118" ht="31.5" customHeight="1">
      <c r="A118" s="85"/>
      <c r="B118" s="86" t="str">
        <f t="array" ref="B118">IF(A118="","",IF(AB118&lt;&gt;1,"Unmatched issuer",INDEX(Companies!$C$6:$C$55,MATCH(A118,Companies!$A$6:$A$55,0))))</f>
        <v/>
      </c>
      <c r="C118" s="87"/>
      <c r="D118" s="88"/>
      <c r="E118" s="88"/>
      <c r="F118" s="88"/>
      <c r="G118" s="87"/>
      <c r="H118" s="87"/>
      <c r="I118" s="85"/>
      <c r="J118" s="89"/>
      <c r="K118" s="89"/>
      <c r="L118" s="90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90"/>
      <c r="Z118" s="85"/>
      <c r="AA118" s="85"/>
      <c r="AB118" s="86" t="str">
        <f>IF(A118="","",COUNTIF(Companies!$A$6:$A$55,A118))</f>
        <v/>
      </c>
      <c r="AC118" s="86" t="str">
        <f t="shared" si="1"/>
        <v/>
      </c>
      <c r="AD118" s="86" t="str">
        <f>IF(A118="","",IFERROR(IF(AND(AB118=1,AC118=1,AM118=1,OR(C118="TTM",C118="FY0",C118="FY-1",C118="FY-2"),ISNUMBER(D118),D118&lt;=Rules!$B$6,ISNUMBER(E118),E118&gt;=D118,E118&lt;=Rules!$B$6,ISNUMBER(F118),ABS(D118-F118-365)&lt;=31,OR(G118="US GAAP",G118="IFRS"),H118="Yes",I118&lt;&gt;"",COUNT(J118:R118)=9,J118&gt;0,L118&gt;-1,L118&lt;1,M118&gt;=0,N118&gt;=0,Q118&gt;=0,R118&gt;=0,M118+O118-Q118&gt;0,N118+P118-R118&gt;0,Z118&lt;&gt;"",AA118&lt;&gt;""),1,0),0))</f>
        <v/>
      </c>
      <c r="AE118" s="91" t="str">
        <f t="shared" si="2"/>
        <v/>
      </c>
      <c r="AF118" s="91" t="str">
        <f t="shared" si="3"/>
        <v/>
      </c>
      <c r="AG118" s="92" t="str">
        <f t="shared" si="4"/>
        <v/>
      </c>
      <c r="AH118" s="92" t="str">
        <f t="shared" si="5"/>
        <v/>
      </c>
      <c r="AI118" s="92" t="str">
        <f t="shared" si="6"/>
        <v/>
      </c>
      <c r="AJ118" s="92" t="str">
        <f t="shared" si="7"/>
        <v/>
      </c>
      <c r="AK118" s="92" t="str">
        <f t="shared" si="8"/>
        <v/>
      </c>
      <c r="AL118" s="86" t="str">
        <f t="shared" si="9"/>
        <v/>
      </c>
      <c r="AM118" s="86" t="str">
        <f t="array" ref="AM118">IF(A118="","",IF(AB118&lt;&gt;1,0,IF(AND(INDEX(Companies!$R$6:$R$55,MATCH(A118,Companies!$A$6:$A$55,0))=1,INDEX(Companies!$I$6:$I$55,MATCH(A118,Companies!$A$6:$A$55,0))&gt;=MAX(10,Rules!$B$22)),1,0)))</f>
        <v/>
      </c>
      <c r="AN118" s="86" t="str">
        <f>IFERROR(__xludf.DUMMYFUNCTION("IF(A118="""","""",IFERROR(IF(AND(OR(C118=""FY0"",C118=""FY-1"",C118=""FY-2""),AD118=1,COUNTIFS($A$6:$A$205,A118,$C$6:$C$205,""FY0"",$AD$6:$AD$205,1)=1,COUNTIFS($A$6:$A$205,A118,$C$6:$C$205,""TTM"",$AD$6:$AD$205,1)=1,G118=IFNA(INDEX(FILTER($G$6:$G$205,$A$6"&amp;":$A$205=A118,$C$6:$C$205=""TTM"",$AD$6:$AD$205=1),1),""""),I118=IFNA(INDEX(FILTER($I$6:$I$205,$A$6:$A$205=A118,$C$6:$C$205=""TTM"",$AD$6:$AD$205=1),1),""""),SUMIFS($D$6:$D$205,$A$6:$A$205,A118,$C$6:$C$205,""FY0"",$AD$6:$AD$205,1)&lt;=SUMIFS($D$6:$D$205,$A$6:"&amp;"$A$205,A118,$C$6:$C$205,""TTM"",$AD$6:$AD$205,1),SUMIFS($D$6:$D$205,$A$6:$A$205,A118,$C$6:$C$205,""TTM"",$AD$6:$AD$205,1)-SUMIFS($D$6:$D$205,$A$6:$A$205,A118,$C$6:$C$205,""FY0"",$AD$6:$AD$205,1)&lt;366,ABS(D118-EDATE(SUMIFS($D$6:$D$205,$A$6:$A$205,A118,$C$6:"&amp;"$C$205,""FY0"",$AD$6:$AD$205,1),IF(C118=""FY0"",0,IF(C118=""FY-1"",-12,-24))))&lt;=31),1,0),0))"),"")</f>
        <v/>
      </c>
    </row>
    <row r="119" ht="31.5" customHeight="1">
      <c r="A119" s="85"/>
      <c r="B119" s="86" t="str">
        <f t="array" ref="B119">IF(A119="","",IF(AB119&lt;&gt;1,"Unmatched issuer",INDEX(Companies!$C$6:$C$55,MATCH(A119,Companies!$A$6:$A$55,0))))</f>
        <v/>
      </c>
      <c r="C119" s="87"/>
      <c r="D119" s="88"/>
      <c r="E119" s="88"/>
      <c r="F119" s="88"/>
      <c r="G119" s="87"/>
      <c r="H119" s="87"/>
      <c r="I119" s="85"/>
      <c r="J119" s="89"/>
      <c r="K119" s="89"/>
      <c r="L119" s="90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90"/>
      <c r="Z119" s="85"/>
      <c r="AA119" s="85"/>
      <c r="AB119" s="86" t="str">
        <f>IF(A119="","",COUNTIF(Companies!$A$6:$A$55,A119))</f>
        <v/>
      </c>
      <c r="AC119" s="86" t="str">
        <f t="shared" si="1"/>
        <v/>
      </c>
      <c r="AD119" s="86" t="str">
        <f>IF(A119="","",IFERROR(IF(AND(AB119=1,AC119=1,AM119=1,OR(C119="TTM",C119="FY0",C119="FY-1",C119="FY-2"),ISNUMBER(D119),D119&lt;=Rules!$B$6,ISNUMBER(E119),E119&gt;=D119,E119&lt;=Rules!$B$6,ISNUMBER(F119),ABS(D119-F119-365)&lt;=31,OR(G119="US GAAP",G119="IFRS"),H119="Yes",I119&lt;&gt;"",COUNT(J119:R119)=9,J119&gt;0,L119&gt;-1,L119&lt;1,M119&gt;=0,N119&gt;=0,Q119&gt;=0,R119&gt;=0,M119+O119-Q119&gt;0,N119+P119-R119&gt;0,Z119&lt;&gt;"",AA119&lt;&gt;""),1,0),0))</f>
        <v/>
      </c>
      <c r="AE119" s="91" t="str">
        <f t="shared" si="2"/>
        <v/>
      </c>
      <c r="AF119" s="91" t="str">
        <f t="shared" si="3"/>
        <v/>
      </c>
      <c r="AG119" s="92" t="str">
        <f t="shared" si="4"/>
        <v/>
      </c>
      <c r="AH119" s="92" t="str">
        <f t="shared" si="5"/>
        <v/>
      </c>
      <c r="AI119" s="92" t="str">
        <f t="shared" si="6"/>
        <v/>
      </c>
      <c r="AJ119" s="92" t="str">
        <f t="shared" si="7"/>
        <v/>
      </c>
      <c r="AK119" s="92" t="str">
        <f t="shared" si="8"/>
        <v/>
      </c>
      <c r="AL119" s="86" t="str">
        <f t="shared" si="9"/>
        <v/>
      </c>
      <c r="AM119" s="86" t="str">
        <f t="array" ref="AM119">IF(A119="","",IF(AB119&lt;&gt;1,0,IF(AND(INDEX(Companies!$R$6:$R$55,MATCH(A119,Companies!$A$6:$A$55,0))=1,INDEX(Companies!$I$6:$I$55,MATCH(A119,Companies!$A$6:$A$55,0))&gt;=MAX(10,Rules!$B$22)),1,0)))</f>
        <v/>
      </c>
      <c r="AN119" s="86" t="str">
        <f>IFERROR(__xludf.DUMMYFUNCTION("IF(A119="""","""",IFERROR(IF(AND(OR(C119=""FY0"",C119=""FY-1"",C119=""FY-2""),AD119=1,COUNTIFS($A$6:$A$205,A119,$C$6:$C$205,""FY0"",$AD$6:$AD$205,1)=1,COUNTIFS($A$6:$A$205,A119,$C$6:$C$205,""TTM"",$AD$6:$AD$205,1)=1,G119=IFNA(INDEX(FILTER($G$6:$G$205,$A$6"&amp;":$A$205=A119,$C$6:$C$205=""TTM"",$AD$6:$AD$205=1),1),""""),I119=IFNA(INDEX(FILTER($I$6:$I$205,$A$6:$A$205=A119,$C$6:$C$205=""TTM"",$AD$6:$AD$205=1),1),""""),SUMIFS($D$6:$D$205,$A$6:$A$205,A119,$C$6:$C$205,""FY0"",$AD$6:$AD$205,1)&lt;=SUMIFS($D$6:$D$205,$A$6:"&amp;"$A$205,A119,$C$6:$C$205,""TTM"",$AD$6:$AD$205,1),SUMIFS($D$6:$D$205,$A$6:$A$205,A119,$C$6:$C$205,""TTM"",$AD$6:$AD$205,1)-SUMIFS($D$6:$D$205,$A$6:$A$205,A119,$C$6:$C$205,""FY0"",$AD$6:$AD$205,1)&lt;366,ABS(D119-EDATE(SUMIFS($D$6:$D$205,$A$6:$A$205,A119,$C$6:"&amp;"$C$205,""FY0"",$AD$6:$AD$205,1),IF(C119=""FY0"",0,IF(C119=""FY-1"",-12,-24))))&lt;=31),1,0),0))"),"")</f>
        <v/>
      </c>
    </row>
    <row r="120" ht="31.5" customHeight="1">
      <c r="A120" s="85"/>
      <c r="B120" s="86" t="str">
        <f t="array" ref="B120">IF(A120="","",IF(AB120&lt;&gt;1,"Unmatched issuer",INDEX(Companies!$C$6:$C$55,MATCH(A120,Companies!$A$6:$A$55,0))))</f>
        <v/>
      </c>
      <c r="C120" s="87"/>
      <c r="D120" s="88"/>
      <c r="E120" s="88"/>
      <c r="F120" s="88"/>
      <c r="G120" s="87"/>
      <c r="H120" s="87"/>
      <c r="I120" s="85"/>
      <c r="J120" s="89"/>
      <c r="K120" s="89"/>
      <c r="L120" s="90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90"/>
      <c r="Z120" s="85"/>
      <c r="AA120" s="85"/>
      <c r="AB120" s="86" t="str">
        <f>IF(A120="","",COUNTIF(Companies!$A$6:$A$55,A120))</f>
        <v/>
      </c>
      <c r="AC120" s="86" t="str">
        <f t="shared" si="1"/>
        <v/>
      </c>
      <c r="AD120" s="86" t="str">
        <f>IF(A120="","",IFERROR(IF(AND(AB120=1,AC120=1,AM120=1,OR(C120="TTM",C120="FY0",C120="FY-1",C120="FY-2"),ISNUMBER(D120),D120&lt;=Rules!$B$6,ISNUMBER(E120),E120&gt;=D120,E120&lt;=Rules!$B$6,ISNUMBER(F120),ABS(D120-F120-365)&lt;=31,OR(G120="US GAAP",G120="IFRS"),H120="Yes",I120&lt;&gt;"",COUNT(J120:R120)=9,J120&gt;0,L120&gt;-1,L120&lt;1,M120&gt;=0,N120&gt;=0,Q120&gt;=0,R120&gt;=0,M120+O120-Q120&gt;0,N120+P120-R120&gt;0,Z120&lt;&gt;"",AA120&lt;&gt;""),1,0),0))</f>
        <v/>
      </c>
      <c r="AE120" s="91" t="str">
        <f t="shared" si="2"/>
        <v/>
      </c>
      <c r="AF120" s="91" t="str">
        <f t="shared" si="3"/>
        <v/>
      </c>
      <c r="AG120" s="92" t="str">
        <f t="shared" si="4"/>
        <v/>
      </c>
      <c r="AH120" s="92" t="str">
        <f t="shared" si="5"/>
        <v/>
      </c>
      <c r="AI120" s="92" t="str">
        <f t="shared" si="6"/>
        <v/>
      </c>
      <c r="AJ120" s="92" t="str">
        <f t="shared" si="7"/>
        <v/>
      </c>
      <c r="AK120" s="92" t="str">
        <f t="shared" si="8"/>
        <v/>
      </c>
      <c r="AL120" s="86" t="str">
        <f t="shared" si="9"/>
        <v/>
      </c>
      <c r="AM120" s="86" t="str">
        <f t="array" ref="AM120">IF(A120="","",IF(AB120&lt;&gt;1,0,IF(AND(INDEX(Companies!$R$6:$R$55,MATCH(A120,Companies!$A$6:$A$55,0))=1,INDEX(Companies!$I$6:$I$55,MATCH(A120,Companies!$A$6:$A$55,0))&gt;=MAX(10,Rules!$B$22)),1,0)))</f>
        <v/>
      </c>
      <c r="AN120" s="86" t="str">
        <f>IFERROR(__xludf.DUMMYFUNCTION("IF(A120="""","""",IFERROR(IF(AND(OR(C120=""FY0"",C120=""FY-1"",C120=""FY-2""),AD120=1,COUNTIFS($A$6:$A$205,A120,$C$6:$C$205,""FY0"",$AD$6:$AD$205,1)=1,COUNTIFS($A$6:$A$205,A120,$C$6:$C$205,""TTM"",$AD$6:$AD$205,1)=1,G120=IFNA(INDEX(FILTER($G$6:$G$205,$A$6"&amp;":$A$205=A120,$C$6:$C$205=""TTM"",$AD$6:$AD$205=1),1),""""),I120=IFNA(INDEX(FILTER($I$6:$I$205,$A$6:$A$205=A120,$C$6:$C$205=""TTM"",$AD$6:$AD$205=1),1),""""),SUMIFS($D$6:$D$205,$A$6:$A$205,A120,$C$6:$C$205,""FY0"",$AD$6:$AD$205,1)&lt;=SUMIFS($D$6:$D$205,$A$6:"&amp;"$A$205,A120,$C$6:$C$205,""TTM"",$AD$6:$AD$205,1),SUMIFS($D$6:$D$205,$A$6:$A$205,A120,$C$6:$C$205,""TTM"",$AD$6:$AD$205,1)-SUMIFS($D$6:$D$205,$A$6:$A$205,A120,$C$6:$C$205,""FY0"",$AD$6:$AD$205,1)&lt;366,ABS(D120-EDATE(SUMIFS($D$6:$D$205,$A$6:$A$205,A120,$C$6:"&amp;"$C$205,""FY0"",$AD$6:$AD$205,1),IF(C120=""FY0"",0,IF(C120=""FY-1"",-12,-24))))&lt;=31),1,0),0))"),"")</f>
        <v/>
      </c>
    </row>
    <row r="121" ht="31.5" customHeight="1">
      <c r="A121" s="85"/>
      <c r="B121" s="86" t="str">
        <f t="array" ref="B121">IF(A121="","",IF(AB121&lt;&gt;1,"Unmatched issuer",INDEX(Companies!$C$6:$C$55,MATCH(A121,Companies!$A$6:$A$55,0))))</f>
        <v/>
      </c>
      <c r="C121" s="87"/>
      <c r="D121" s="88"/>
      <c r="E121" s="88"/>
      <c r="F121" s="88"/>
      <c r="G121" s="87"/>
      <c r="H121" s="87"/>
      <c r="I121" s="85"/>
      <c r="J121" s="89"/>
      <c r="K121" s="89"/>
      <c r="L121" s="90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90"/>
      <c r="Z121" s="85"/>
      <c r="AA121" s="85"/>
      <c r="AB121" s="86" t="str">
        <f>IF(A121="","",COUNTIF(Companies!$A$6:$A$55,A121))</f>
        <v/>
      </c>
      <c r="AC121" s="86" t="str">
        <f t="shared" si="1"/>
        <v/>
      </c>
      <c r="AD121" s="86" t="str">
        <f>IF(A121="","",IFERROR(IF(AND(AB121=1,AC121=1,AM121=1,OR(C121="TTM",C121="FY0",C121="FY-1",C121="FY-2"),ISNUMBER(D121),D121&lt;=Rules!$B$6,ISNUMBER(E121),E121&gt;=D121,E121&lt;=Rules!$B$6,ISNUMBER(F121),ABS(D121-F121-365)&lt;=31,OR(G121="US GAAP",G121="IFRS"),H121="Yes",I121&lt;&gt;"",COUNT(J121:R121)=9,J121&gt;0,L121&gt;-1,L121&lt;1,M121&gt;=0,N121&gt;=0,Q121&gt;=0,R121&gt;=0,M121+O121-Q121&gt;0,N121+P121-R121&gt;0,Z121&lt;&gt;"",AA121&lt;&gt;""),1,0),0))</f>
        <v/>
      </c>
      <c r="AE121" s="91" t="str">
        <f t="shared" si="2"/>
        <v/>
      </c>
      <c r="AF121" s="91" t="str">
        <f t="shared" si="3"/>
        <v/>
      </c>
      <c r="AG121" s="92" t="str">
        <f t="shared" si="4"/>
        <v/>
      </c>
      <c r="AH121" s="92" t="str">
        <f t="shared" si="5"/>
        <v/>
      </c>
      <c r="AI121" s="92" t="str">
        <f t="shared" si="6"/>
        <v/>
      </c>
      <c r="AJ121" s="92" t="str">
        <f t="shared" si="7"/>
        <v/>
      </c>
      <c r="AK121" s="92" t="str">
        <f t="shared" si="8"/>
        <v/>
      </c>
      <c r="AL121" s="86" t="str">
        <f t="shared" si="9"/>
        <v/>
      </c>
      <c r="AM121" s="86" t="str">
        <f t="array" ref="AM121">IF(A121="","",IF(AB121&lt;&gt;1,0,IF(AND(INDEX(Companies!$R$6:$R$55,MATCH(A121,Companies!$A$6:$A$55,0))=1,INDEX(Companies!$I$6:$I$55,MATCH(A121,Companies!$A$6:$A$55,0))&gt;=MAX(10,Rules!$B$22)),1,0)))</f>
        <v/>
      </c>
      <c r="AN121" s="86" t="str">
        <f>IFERROR(__xludf.DUMMYFUNCTION("IF(A121="""","""",IFERROR(IF(AND(OR(C121=""FY0"",C121=""FY-1"",C121=""FY-2""),AD121=1,COUNTIFS($A$6:$A$205,A121,$C$6:$C$205,""FY0"",$AD$6:$AD$205,1)=1,COUNTIFS($A$6:$A$205,A121,$C$6:$C$205,""TTM"",$AD$6:$AD$205,1)=1,G121=IFNA(INDEX(FILTER($G$6:$G$205,$A$6"&amp;":$A$205=A121,$C$6:$C$205=""TTM"",$AD$6:$AD$205=1),1),""""),I121=IFNA(INDEX(FILTER($I$6:$I$205,$A$6:$A$205=A121,$C$6:$C$205=""TTM"",$AD$6:$AD$205=1),1),""""),SUMIFS($D$6:$D$205,$A$6:$A$205,A121,$C$6:$C$205,""FY0"",$AD$6:$AD$205,1)&lt;=SUMIFS($D$6:$D$205,$A$6:"&amp;"$A$205,A121,$C$6:$C$205,""TTM"",$AD$6:$AD$205,1),SUMIFS($D$6:$D$205,$A$6:$A$205,A121,$C$6:$C$205,""TTM"",$AD$6:$AD$205,1)-SUMIFS($D$6:$D$205,$A$6:$A$205,A121,$C$6:$C$205,""FY0"",$AD$6:$AD$205,1)&lt;366,ABS(D121-EDATE(SUMIFS($D$6:$D$205,$A$6:$A$205,A121,$C$6:"&amp;"$C$205,""FY0"",$AD$6:$AD$205,1),IF(C121=""FY0"",0,IF(C121=""FY-1"",-12,-24))))&lt;=31),1,0),0))"),"")</f>
        <v/>
      </c>
    </row>
    <row r="122" ht="31.5" customHeight="1">
      <c r="A122" s="85"/>
      <c r="B122" s="86" t="str">
        <f t="array" ref="B122">IF(A122="","",IF(AB122&lt;&gt;1,"Unmatched issuer",INDEX(Companies!$C$6:$C$55,MATCH(A122,Companies!$A$6:$A$55,0))))</f>
        <v/>
      </c>
      <c r="C122" s="87"/>
      <c r="D122" s="88"/>
      <c r="E122" s="88"/>
      <c r="F122" s="88"/>
      <c r="G122" s="87"/>
      <c r="H122" s="87"/>
      <c r="I122" s="85"/>
      <c r="J122" s="89"/>
      <c r="K122" s="89"/>
      <c r="L122" s="90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90"/>
      <c r="Z122" s="85"/>
      <c r="AA122" s="85"/>
      <c r="AB122" s="86" t="str">
        <f>IF(A122="","",COUNTIF(Companies!$A$6:$A$55,A122))</f>
        <v/>
      </c>
      <c r="AC122" s="86" t="str">
        <f t="shared" si="1"/>
        <v/>
      </c>
      <c r="AD122" s="86" t="str">
        <f>IF(A122="","",IFERROR(IF(AND(AB122=1,AC122=1,AM122=1,OR(C122="TTM",C122="FY0",C122="FY-1",C122="FY-2"),ISNUMBER(D122),D122&lt;=Rules!$B$6,ISNUMBER(E122),E122&gt;=D122,E122&lt;=Rules!$B$6,ISNUMBER(F122),ABS(D122-F122-365)&lt;=31,OR(G122="US GAAP",G122="IFRS"),H122="Yes",I122&lt;&gt;"",COUNT(J122:R122)=9,J122&gt;0,L122&gt;-1,L122&lt;1,M122&gt;=0,N122&gt;=0,Q122&gt;=0,R122&gt;=0,M122+O122-Q122&gt;0,N122+P122-R122&gt;0,Z122&lt;&gt;"",AA122&lt;&gt;""),1,0),0))</f>
        <v/>
      </c>
      <c r="AE122" s="91" t="str">
        <f t="shared" si="2"/>
        <v/>
      </c>
      <c r="AF122" s="91" t="str">
        <f t="shared" si="3"/>
        <v/>
      </c>
      <c r="AG122" s="92" t="str">
        <f t="shared" si="4"/>
        <v/>
      </c>
      <c r="AH122" s="92" t="str">
        <f t="shared" si="5"/>
        <v/>
      </c>
      <c r="AI122" s="92" t="str">
        <f t="shared" si="6"/>
        <v/>
      </c>
      <c r="AJ122" s="92" t="str">
        <f t="shared" si="7"/>
        <v/>
      </c>
      <c r="AK122" s="92" t="str">
        <f t="shared" si="8"/>
        <v/>
      </c>
      <c r="AL122" s="86" t="str">
        <f t="shared" si="9"/>
        <v/>
      </c>
      <c r="AM122" s="86" t="str">
        <f t="array" ref="AM122">IF(A122="","",IF(AB122&lt;&gt;1,0,IF(AND(INDEX(Companies!$R$6:$R$55,MATCH(A122,Companies!$A$6:$A$55,0))=1,INDEX(Companies!$I$6:$I$55,MATCH(A122,Companies!$A$6:$A$55,0))&gt;=MAX(10,Rules!$B$22)),1,0)))</f>
        <v/>
      </c>
      <c r="AN122" s="86" t="str">
        <f>IFERROR(__xludf.DUMMYFUNCTION("IF(A122="""","""",IFERROR(IF(AND(OR(C122=""FY0"",C122=""FY-1"",C122=""FY-2""),AD122=1,COUNTIFS($A$6:$A$205,A122,$C$6:$C$205,""FY0"",$AD$6:$AD$205,1)=1,COUNTIFS($A$6:$A$205,A122,$C$6:$C$205,""TTM"",$AD$6:$AD$205,1)=1,G122=IFNA(INDEX(FILTER($G$6:$G$205,$A$6"&amp;":$A$205=A122,$C$6:$C$205=""TTM"",$AD$6:$AD$205=1),1),""""),I122=IFNA(INDEX(FILTER($I$6:$I$205,$A$6:$A$205=A122,$C$6:$C$205=""TTM"",$AD$6:$AD$205=1),1),""""),SUMIFS($D$6:$D$205,$A$6:$A$205,A122,$C$6:$C$205,""FY0"",$AD$6:$AD$205,1)&lt;=SUMIFS($D$6:$D$205,$A$6:"&amp;"$A$205,A122,$C$6:$C$205,""TTM"",$AD$6:$AD$205,1),SUMIFS($D$6:$D$205,$A$6:$A$205,A122,$C$6:$C$205,""TTM"",$AD$6:$AD$205,1)-SUMIFS($D$6:$D$205,$A$6:$A$205,A122,$C$6:$C$205,""FY0"",$AD$6:$AD$205,1)&lt;366,ABS(D122-EDATE(SUMIFS($D$6:$D$205,$A$6:$A$205,A122,$C$6:"&amp;"$C$205,""FY0"",$AD$6:$AD$205,1),IF(C122=""FY0"",0,IF(C122=""FY-1"",-12,-24))))&lt;=31),1,0),0))"),"")</f>
        <v/>
      </c>
    </row>
    <row r="123" ht="31.5" customHeight="1">
      <c r="A123" s="85"/>
      <c r="B123" s="86" t="str">
        <f t="array" ref="B123">IF(A123="","",IF(AB123&lt;&gt;1,"Unmatched issuer",INDEX(Companies!$C$6:$C$55,MATCH(A123,Companies!$A$6:$A$55,0))))</f>
        <v/>
      </c>
      <c r="C123" s="87"/>
      <c r="D123" s="88"/>
      <c r="E123" s="88"/>
      <c r="F123" s="88"/>
      <c r="G123" s="87"/>
      <c r="H123" s="87"/>
      <c r="I123" s="85"/>
      <c r="J123" s="89"/>
      <c r="K123" s="89"/>
      <c r="L123" s="90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90"/>
      <c r="Z123" s="85"/>
      <c r="AA123" s="85"/>
      <c r="AB123" s="86" t="str">
        <f>IF(A123="","",COUNTIF(Companies!$A$6:$A$55,A123))</f>
        <v/>
      </c>
      <c r="AC123" s="86" t="str">
        <f t="shared" si="1"/>
        <v/>
      </c>
      <c r="AD123" s="86" t="str">
        <f>IF(A123="","",IFERROR(IF(AND(AB123=1,AC123=1,AM123=1,OR(C123="TTM",C123="FY0",C123="FY-1",C123="FY-2"),ISNUMBER(D123),D123&lt;=Rules!$B$6,ISNUMBER(E123),E123&gt;=D123,E123&lt;=Rules!$B$6,ISNUMBER(F123),ABS(D123-F123-365)&lt;=31,OR(G123="US GAAP",G123="IFRS"),H123="Yes",I123&lt;&gt;"",COUNT(J123:R123)=9,J123&gt;0,L123&gt;-1,L123&lt;1,M123&gt;=0,N123&gt;=0,Q123&gt;=0,R123&gt;=0,M123+O123-Q123&gt;0,N123+P123-R123&gt;0,Z123&lt;&gt;"",AA123&lt;&gt;""),1,0),0))</f>
        <v/>
      </c>
      <c r="AE123" s="91" t="str">
        <f t="shared" si="2"/>
        <v/>
      </c>
      <c r="AF123" s="91" t="str">
        <f t="shared" si="3"/>
        <v/>
      </c>
      <c r="AG123" s="92" t="str">
        <f t="shared" si="4"/>
        <v/>
      </c>
      <c r="AH123" s="92" t="str">
        <f t="shared" si="5"/>
        <v/>
      </c>
      <c r="AI123" s="92" t="str">
        <f t="shared" si="6"/>
        <v/>
      </c>
      <c r="AJ123" s="92" t="str">
        <f t="shared" si="7"/>
        <v/>
      </c>
      <c r="AK123" s="92" t="str">
        <f t="shared" si="8"/>
        <v/>
      </c>
      <c r="AL123" s="86" t="str">
        <f t="shared" si="9"/>
        <v/>
      </c>
      <c r="AM123" s="86" t="str">
        <f t="array" ref="AM123">IF(A123="","",IF(AB123&lt;&gt;1,0,IF(AND(INDEX(Companies!$R$6:$R$55,MATCH(A123,Companies!$A$6:$A$55,0))=1,INDEX(Companies!$I$6:$I$55,MATCH(A123,Companies!$A$6:$A$55,0))&gt;=MAX(10,Rules!$B$22)),1,0)))</f>
        <v/>
      </c>
      <c r="AN123" s="86" t="str">
        <f>IFERROR(__xludf.DUMMYFUNCTION("IF(A123="""","""",IFERROR(IF(AND(OR(C123=""FY0"",C123=""FY-1"",C123=""FY-2""),AD123=1,COUNTIFS($A$6:$A$205,A123,$C$6:$C$205,""FY0"",$AD$6:$AD$205,1)=1,COUNTIFS($A$6:$A$205,A123,$C$6:$C$205,""TTM"",$AD$6:$AD$205,1)=1,G123=IFNA(INDEX(FILTER($G$6:$G$205,$A$6"&amp;":$A$205=A123,$C$6:$C$205=""TTM"",$AD$6:$AD$205=1),1),""""),I123=IFNA(INDEX(FILTER($I$6:$I$205,$A$6:$A$205=A123,$C$6:$C$205=""TTM"",$AD$6:$AD$205=1),1),""""),SUMIFS($D$6:$D$205,$A$6:$A$205,A123,$C$6:$C$205,""FY0"",$AD$6:$AD$205,1)&lt;=SUMIFS($D$6:$D$205,$A$6:"&amp;"$A$205,A123,$C$6:$C$205,""TTM"",$AD$6:$AD$205,1),SUMIFS($D$6:$D$205,$A$6:$A$205,A123,$C$6:$C$205,""TTM"",$AD$6:$AD$205,1)-SUMIFS($D$6:$D$205,$A$6:$A$205,A123,$C$6:$C$205,""FY0"",$AD$6:$AD$205,1)&lt;366,ABS(D123-EDATE(SUMIFS($D$6:$D$205,$A$6:$A$205,A123,$C$6:"&amp;"$C$205,""FY0"",$AD$6:$AD$205,1),IF(C123=""FY0"",0,IF(C123=""FY-1"",-12,-24))))&lt;=31),1,0),0))"),"")</f>
        <v/>
      </c>
    </row>
    <row r="124" ht="31.5" customHeight="1">
      <c r="A124" s="85"/>
      <c r="B124" s="86" t="str">
        <f t="array" ref="B124">IF(A124="","",IF(AB124&lt;&gt;1,"Unmatched issuer",INDEX(Companies!$C$6:$C$55,MATCH(A124,Companies!$A$6:$A$55,0))))</f>
        <v/>
      </c>
      <c r="C124" s="87"/>
      <c r="D124" s="88"/>
      <c r="E124" s="88"/>
      <c r="F124" s="88"/>
      <c r="G124" s="87"/>
      <c r="H124" s="87"/>
      <c r="I124" s="85"/>
      <c r="J124" s="89"/>
      <c r="K124" s="89"/>
      <c r="L124" s="90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90"/>
      <c r="Z124" s="85"/>
      <c r="AA124" s="85"/>
      <c r="AB124" s="86" t="str">
        <f>IF(A124="","",COUNTIF(Companies!$A$6:$A$55,A124))</f>
        <v/>
      </c>
      <c r="AC124" s="86" t="str">
        <f t="shared" si="1"/>
        <v/>
      </c>
      <c r="AD124" s="86" t="str">
        <f>IF(A124="","",IFERROR(IF(AND(AB124=1,AC124=1,AM124=1,OR(C124="TTM",C124="FY0",C124="FY-1",C124="FY-2"),ISNUMBER(D124),D124&lt;=Rules!$B$6,ISNUMBER(E124),E124&gt;=D124,E124&lt;=Rules!$B$6,ISNUMBER(F124),ABS(D124-F124-365)&lt;=31,OR(G124="US GAAP",G124="IFRS"),H124="Yes",I124&lt;&gt;"",COUNT(J124:R124)=9,J124&gt;0,L124&gt;-1,L124&lt;1,M124&gt;=0,N124&gt;=0,Q124&gt;=0,R124&gt;=0,M124+O124-Q124&gt;0,N124+P124-R124&gt;0,Z124&lt;&gt;"",AA124&lt;&gt;""),1,0),0))</f>
        <v/>
      </c>
      <c r="AE124" s="91" t="str">
        <f t="shared" si="2"/>
        <v/>
      </c>
      <c r="AF124" s="91" t="str">
        <f t="shared" si="3"/>
        <v/>
      </c>
      <c r="AG124" s="92" t="str">
        <f t="shared" si="4"/>
        <v/>
      </c>
      <c r="AH124" s="92" t="str">
        <f t="shared" si="5"/>
        <v/>
      </c>
      <c r="AI124" s="92" t="str">
        <f t="shared" si="6"/>
        <v/>
      </c>
      <c r="AJ124" s="92" t="str">
        <f t="shared" si="7"/>
        <v/>
      </c>
      <c r="AK124" s="92" t="str">
        <f t="shared" si="8"/>
        <v/>
      </c>
      <c r="AL124" s="86" t="str">
        <f t="shared" si="9"/>
        <v/>
      </c>
      <c r="AM124" s="86" t="str">
        <f t="array" ref="AM124">IF(A124="","",IF(AB124&lt;&gt;1,0,IF(AND(INDEX(Companies!$R$6:$R$55,MATCH(A124,Companies!$A$6:$A$55,0))=1,INDEX(Companies!$I$6:$I$55,MATCH(A124,Companies!$A$6:$A$55,0))&gt;=MAX(10,Rules!$B$22)),1,0)))</f>
        <v/>
      </c>
      <c r="AN124" s="86" t="str">
        <f>IFERROR(__xludf.DUMMYFUNCTION("IF(A124="""","""",IFERROR(IF(AND(OR(C124=""FY0"",C124=""FY-1"",C124=""FY-2""),AD124=1,COUNTIFS($A$6:$A$205,A124,$C$6:$C$205,""FY0"",$AD$6:$AD$205,1)=1,COUNTIFS($A$6:$A$205,A124,$C$6:$C$205,""TTM"",$AD$6:$AD$205,1)=1,G124=IFNA(INDEX(FILTER($G$6:$G$205,$A$6"&amp;":$A$205=A124,$C$6:$C$205=""TTM"",$AD$6:$AD$205=1),1),""""),I124=IFNA(INDEX(FILTER($I$6:$I$205,$A$6:$A$205=A124,$C$6:$C$205=""TTM"",$AD$6:$AD$205=1),1),""""),SUMIFS($D$6:$D$205,$A$6:$A$205,A124,$C$6:$C$205,""FY0"",$AD$6:$AD$205,1)&lt;=SUMIFS($D$6:$D$205,$A$6:"&amp;"$A$205,A124,$C$6:$C$205,""TTM"",$AD$6:$AD$205,1),SUMIFS($D$6:$D$205,$A$6:$A$205,A124,$C$6:$C$205,""TTM"",$AD$6:$AD$205,1)-SUMIFS($D$6:$D$205,$A$6:$A$205,A124,$C$6:$C$205,""FY0"",$AD$6:$AD$205,1)&lt;366,ABS(D124-EDATE(SUMIFS($D$6:$D$205,$A$6:$A$205,A124,$C$6:"&amp;"$C$205,""FY0"",$AD$6:$AD$205,1),IF(C124=""FY0"",0,IF(C124=""FY-1"",-12,-24))))&lt;=31),1,0),0))"),"")</f>
        <v/>
      </c>
    </row>
    <row r="125" ht="31.5" customHeight="1">
      <c r="A125" s="85"/>
      <c r="B125" s="86" t="str">
        <f t="array" ref="B125">IF(A125="","",IF(AB125&lt;&gt;1,"Unmatched issuer",INDEX(Companies!$C$6:$C$55,MATCH(A125,Companies!$A$6:$A$55,0))))</f>
        <v/>
      </c>
      <c r="C125" s="87"/>
      <c r="D125" s="88"/>
      <c r="E125" s="88"/>
      <c r="F125" s="88"/>
      <c r="G125" s="87"/>
      <c r="H125" s="87"/>
      <c r="I125" s="85"/>
      <c r="J125" s="89"/>
      <c r="K125" s="89"/>
      <c r="L125" s="90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90"/>
      <c r="Z125" s="85"/>
      <c r="AA125" s="85"/>
      <c r="AB125" s="86" t="str">
        <f>IF(A125="","",COUNTIF(Companies!$A$6:$A$55,A125))</f>
        <v/>
      </c>
      <c r="AC125" s="86" t="str">
        <f t="shared" si="1"/>
        <v/>
      </c>
      <c r="AD125" s="86" t="str">
        <f>IF(A125="","",IFERROR(IF(AND(AB125=1,AC125=1,AM125=1,OR(C125="TTM",C125="FY0",C125="FY-1",C125="FY-2"),ISNUMBER(D125),D125&lt;=Rules!$B$6,ISNUMBER(E125),E125&gt;=D125,E125&lt;=Rules!$B$6,ISNUMBER(F125),ABS(D125-F125-365)&lt;=31,OR(G125="US GAAP",G125="IFRS"),H125="Yes",I125&lt;&gt;"",COUNT(J125:R125)=9,J125&gt;0,L125&gt;-1,L125&lt;1,M125&gt;=0,N125&gt;=0,Q125&gt;=0,R125&gt;=0,M125+O125-Q125&gt;0,N125+P125-R125&gt;0,Z125&lt;&gt;"",AA125&lt;&gt;""),1,0),0))</f>
        <v/>
      </c>
      <c r="AE125" s="91" t="str">
        <f t="shared" si="2"/>
        <v/>
      </c>
      <c r="AF125" s="91" t="str">
        <f t="shared" si="3"/>
        <v/>
      </c>
      <c r="AG125" s="92" t="str">
        <f t="shared" si="4"/>
        <v/>
      </c>
      <c r="AH125" s="92" t="str">
        <f t="shared" si="5"/>
        <v/>
      </c>
      <c r="AI125" s="92" t="str">
        <f t="shared" si="6"/>
        <v/>
      </c>
      <c r="AJ125" s="92" t="str">
        <f t="shared" si="7"/>
        <v/>
      </c>
      <c r="AK125" s="92" t="str">
        <f t="shared" si="8"/>
        <v/>
      </c>
      <c r="AL125" s="86" t="str">
        <f t="shared" si="9"/>
        <v/>
      </c>
      <c r="AM125" s="86" t="str">
        <f t="array" ref="AM125">IF(A125="","",IF(AB125&lt;&gt;1,0,IF(AND(INDEX(Companies!$R$6:$R$55,MATCH(A125,Companies!$A$6:$A$55,0))=1,INDEX(Companies!$I$6:$I$55,MATCH(A125,Companies!$A$6:$A$55,0))&gt;=MAX(10,Rules!$B$22)),1,0)))</f>
        <v/>
      </c>
      <c r="AN125" s="86" t="str">
        <f>IFERROR(__xludf.DUMMYFUNCTION("IF(A125="""","""",IFERROR(IF(AND(OR(C125=""FY0"",C125=""FY-1"",C125=""FY-2""),AD125=1,COUNTIFS($A$6:$A$205,A125,$C$6:$C$205,""FY0"",$AD$6:$AD$205,1)=1,COUNTIFS($A$6:$A$205,A125,$C$6:$C$205,""TTM"",$AD$6:$AD$205,1)=1,G125=IFNA(INDEX(FILTER($G$6:$G$205,$A$6"&amp;":$A$205=A125,$C$6:$C$205=""TTM"",$AD$6:$AD$205=1),1),""""),I125=IFNA(INDEX(FILTER($I$6:$I$205,$A$6:$A$205=A125,$C$6:$C$205=""TTM"",$AD$6:$AD$205=1),1),""""),SUMIFS($D$6:$D$205,$A$6:$A$205,A125,$C$6:$C$205,""FY0"",$AD$6:$AD$205,1)&lt;=SUMIFS($D$6:$D$205,$A$6:"&amp;"$A$205,A125,$C$6:$C$205,""TTM"",$AD$6:$AD$205,1),SUMIFS($D$6:$D$205,$A$6:$A$205,A125,$C$6:$C$205,""TTM"",$AD$6:$AD$205,1)-SUMIFS($D$6:$D$205,$A$6:$A$205,A125,$C$6:$C$205,""FY0"",$AD$6:$AD$205,1)&lt;366,ABS(D125-EDATE(SUMIFS($D$6:$D$205,$A$6:$A$205,A125,$C$6:"&amp;"$C$205,""FY0"",$AD$6:$AD$205,1),IF(C125=""FY0"",0,IF(C125=""FY-1"",-12,-24))))&lt;=31),1,0),0))"),"")</f>
        <v/>
      </c>
    </row>
    <row r="126" ht="31.5" customHeight="1">
      <c r="A126" s="85"/>
      <c r="B126" s="86" t="str">
        <f t="array" ref="B126">IF(A126="","",IF(AB126&lt;&gt;1,"Unmatched issuer",INDEX(Companies!$C$6:$C$55,MATCH(A126,Companies!$A$6:$A$55,0))))</f>
        <v/>
      </c>
      <c r="C126" s="87"/>
      <c r="D126" s="88"/>
      <c r="E126" s="88"/>
      <c r="F126" s="88"/>
      <c r="G126" s="87"/>
      <c r="H126" s="87"/>
      <c r="I126" s="85"/>
      <c r="J126" s="89"/>
      <c r="K126" s="89"/>
      <c r="L126" s="90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90"/>
      <c r="Z126" s="85"/>
      <c r="AA126" s="85"/>
      <c r="AB126" s="86" t="str">
        <f>IF(A126="","",COUNTIF(Companies!$A$6:$A$55,A126))</f>
        <v/>
      </c>
      <c r="AC126" s="86" t="str">
        <f t="shared" si="1"/>
        <v/>
      </c>
      <c r="AD126" s="86" t="str">
        <f>IF(A126="","",IFERROR(IF(AND(AB126=1,AC126=1,AM126=1,OR(C126="TTM",C126="FY0",C126="FY-1",C126="FY-2"),ISNUMBER(D126),D126&lt;=Rules!$B$6,ISNUMBER(E126),E126&gt;=D126,E126&lt;=Rules!$B$6,ISNUMBER(F126),ABS(D126-F126-365)&lt;=31,OR(G126="US GAAP",G126="IFRS"),H126="Yes",I126&lt;&gt;"",COUNT(J126:R126)=9,J126&gt;0,L126&gt;-1,L126&lt;1,M126&gt;=0,N126&gt;=0,Q126&gt;=0,R126&gt;=0,M126+O126-Q126&gt;0,N126+P126-R126&gt;0,Z126&lt;&gt;"",AA126&lt;&gt;""),1,0),0))</f>
        <v/>
      </c>
      <c r="AE126" s="91" t="str">
        <f t="shared" si="2"/>
        <v/>
      </c>
      <c r="AF126" s="91" t="str">
        <f t="shared" si="3"/>
        <v/>
      </c>
      <c r="AG126" s="92" t="str">
        <f t="shared" si="4"/>
        <v/>
      </c>
      <c r="AH126" s="92" t="str">
        <f t="shared" si="5"/>
        <v/>
      </c>
      <c r="AI126" s="92" t="str">
        <f t="shared" si="6"/>
        <v/>
      </c>
      <c r="AJ126" s="92" t="str">
        <f t="shared" si="7"/>
        <v/>
      </c>
      <c r="AK126" s="92" t="str">
        <f t="shared" si="8"/>
        <v/>
      </c>
      <c r="AL126" s="86" t="str">
        <f t="shared" si="9"/>
        <v/>
      </c>
      <c r="AM126" s="86" t="str">
        <f t="array" ref="AM126">IF(A126="","",IF(AB126&lt;&gt;1,0,IF(AND(INDEX(Companies!$R$6:$R$55,MATCH(A126,Companies!$A$6:$A$55,0))=1,INDEX(Companies!$I$6:$I$55,MATCH(A126,Companies!$A$6:$A$55,0))&gt;=MAX(10,Rules!$B$22)),1,0)))</f>
        <v/>
      </c>
      <c r="AN126" s="86" t="str">
        <f>IFERROR(__xludf.DUMMYFUNCTION("IF(A126="""","""",IFERROR(IF(AND(OR(C126=""FY0"",C126=""FY-1"",C126=""FY-2""),AD126=1,COUNTIFS($A$6:$A$205,A126,$C$6:$C$205,""FY0"",$AD$6:$AD$205,1)=1,COUNTIFS($A$6:$A$205,A126,$C$6:$C$205,""TTM"",$AD$6:$AD$205,1)=1,G126=IFNA(INDEX(FILTER($G$6:$G$205,$A$6"&amp;":$A$205=A126,$C$6:$C$205=""TTM"",$AD$6:$AD$205=1),1),""""),I126=IFNA(INDEX(FILTER($I$6:$I$205,$A$6:$A$205=A126,$C$6:$C$205=""TTM"",$AD$6:$AD$205=1),1),""""),SUMIFS($D$6:$D$205,$A$6:$A$205,A126,$C$6:$C$205,""FY0"",$AD$6:$AD$205,1)&lt;=SUMIFS($D$6:$D$205,$A$6:"&amp;"$A$205,A126,$C$6:$C$205,""TTM"",$AD$6:$AD$205,1),SUMIFS($D$6:$D$205,$A$6:$A$205,A126,$C$6:$C$205,""TTM"",$AD$6:$AD$205,1)-SUMIFS($D$6:$D$205,$A$6:$A$205,A126,$C$6:$C$205,""FY0"",$AD$6:$AD$205,1)&lt;366,ABS(D126-EDATE(SUMIFS($D$6:$D$205,$A$6:$A$205,A126,$C$6:"&amp;"$C$205,""FY0"",$AD$6:$AD$205,1),IF(C126=""FY0"",0,IF(C126=""FY-1"",-12,-24))))&lt;=31),1,0),0))"),"")</f>
        <v/>
      </c>
    </row>
    <row r="127" ht="31.5" customHeight="1">
      <c r="A127" s="85"/>
      <c r="B127" s="86" t="str">
        <f t="array" ref="B127">IF(A127="","",IF(AB127&lt;&gt;1,"Unmatched issuer",INDEX(Companies!$C$6:$C$55,MATCH(A127,Companies!$A$6:$A$55,0))))</f>
        <v/>
      </c>
      <c r="C127" s="87"/>
      <c r="D127" s="88"/>
      <c r="E127" s="88"/>
      <c r="F127" s="88"/>
      <c r="G127" s="87"/>
      <c r="H127" s="87"/>
      <c r="I127" s="85"/>
      <c r="J127" s="89"/>
      <c r="K127" s="89"/>
      <c r="L127" s="90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90"/>
      <c r="Z127" s="85"/>
      <c r="AA127" s="85"/>
      <c r="AB127" s="86" t="str">
        <f>IF(A127="","",COUNTIF(Companies!$A$6:$A$55,A127))</f>
        <v/>
      </c>
      <c r="AC127" s="86" t="str">
        <f t="shared" si="1"/>
        <v/>
      </c>
      <c r="AD127" s="86" t="str">
        <f>IF(A127="","",IFERROR(IF(AND(AB127=1,AC127=1,AM127=1,OR(C127="TTM",C127="FY0",C127="FY-1",C127="FY-2"),ISNUMBER(D127),D127&lt;=Rules!$B$6,ISNUMBER(E127),E127&gt;=D127,E127&lt;=Rules!$B$6,ISNUMBER(F127),ABS(D127-F127-365)&lt;=31,OR(G127="US GAAP",G127="IFRS"),H127="Yes",I127&lt;&gt;"",COUNT(J127:R127)=9,J127&gt;0,L127&gt;-1,L127&lt;1,M127&gt;=0,N127&gt;=0,Q127&gt;=0,R127&gt;=0,M127+O127-Q127&gt;0,N127+P127-R127&gt;0,Z127&lt;&gt;"",AA127&lt;&gt;""),1,0),0))</f>
        <v/>
      </c>
      <c r="AE127" s="91" t="str">
        <f t="shared" si="2"/>
        <v/>
      </c>
      <c r="AF127" s="91" t="str">
        <f t="shared" si="3"/>
        <v/>
      </c>
      <c r="AG127" s="92" t="str">
        <f t="shared" si="4"/>
        <v/>
      </c>
      <c r="AH127" s="92" t="str">
        <f t="shared" si="5"/>
        <v/>
      </c>
      <c r="AI127" s="92" t="str">
        <f t="shared" si="6"/>
        <v/>
      </c>
      <c r="AJ127" s="92" t="str">
        <f t="shared" si="7"/>
        <v/>
      </c>
      <c r="AK127" s="92" t="str">
        <f t="shared" si="8"/>
        <v/>
      </c>
      <c r="AL127" s="86" t="str">
        <f t="shared" si="9"/>
        <v/>
      </c>
      <c r="AM127" s="86" t="str">
        <f t="array" ref="AM127">IF(A127="","",IF(AB127&lt;&gt;1,0,IF(AND(INDEX(Companies!$R$6:$R$55,MATCH(A127,Companies!$A$6:$A$55,0))=1,INDEX(Companies!$I$6:$I$55,MATCH(A127,Companies!$A$6:$A$55,0))&gt;=MAX(10,Rules!$B$22)),1,0)))</f>
        <v/>
      </c>
      <c r="AN127" s="86" t="str">
        <f>IFERROR(__xludf.DUMMYFUNCTION("IF(A127="""","""",IFERROR(IF(AND(OR(C127=""FY0"",C127=""FY-1"",C127=""FY-2""),AD127=1,COUNTIFS($A$6:$A$205,A127,$C$6:$C$205,""FY0"",$AD$6:$AD$205,1)=1,COUNTIFS($A$6:$A$205,A127,$C$6:$C$205,""TTM"",$AD$6:$AD$205,1)=1,G127=IFNA(INDEX(FILTER($G$6:$G$205,$A$6"&amp;":$A$205=A127,$C$6:$C$205=""TTM"",$AD$6:$AD$205=1),1),""""),I127=IFNA(INDEX(FILTER($I$6:$I$205,$A$6:$A$205=A127,$C$6:$C$205=""TTM"",$AD$6:$AD$205=1),1),""""),SUMIFS($D$6:$D$205,$A$6:$A$205,A127,$C$6:$C$205,""FY0"",$AD$6:$AD$205,1)&lt;=SUMIFS($D$6:$D$205,$A$6:"&amp;"$A$205,A127,$C$6:$C$205,""TTM"",$AD$6:$AD$205,1),SUMIFS($D$6:$D$205,$A$6:$A$205,A127,$C$6:$C$205,""TTM"",$AD$6:$AD$205,1)-SUMIFS($D$6:$D$205,$A$6:$A$205,A127,$C$6:$C$205,""FY0"",$AD$6:$AD$205,1)&lt;366,ABS(D127-EDATE(SUMIFS($D$6:$D$205,$A$6:$A$205,A127,$C$6:"&amp;"$C$205,""FY0"",$AD$6:$AD$205,1),IF(C127=""FY0"",0,IF(C127=""FY-1"",-12,-24))))&lt;=31),1,0),0))"),"")</f>
        <v/>
      </c>
    </row>
    <row r="128" ht="31.5" customHeight="1">
      <c r="A128" s="85"/>
      <c r="B128" s="86" t="str">
        <f t="array" ref="B128">IF(A128="","",IF(AB128&lt;&gt;1,"Unmatched issuer",INDEX(Companies!$C$6:$C$55,MATCH(A128,Companies!$A$6:$A$55,0))))</f>
        <v/>
      </c>
      <c r="C128" s="87"/>
      <c r="D128" s="88"/>
      <c r="E128" s="88"/>
      <c r="F128" s="88"/>
      <c r="G128" s="87"/>
      <c r="H128" s="87"/>
      <c r="I128" s="85"/>
      <c r="J128" s="89"/>
      <c r="K128" s="89"/>
      <c r="L128" s="90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90"/>
      <c r="Z128" s="85"/>
      <c r="AA128" s="85"/>
      <c r="AB128" s="86" t="str">
        <f>IF(A128="","",COUNTIF(Companies!$A$6:$A$55,A128))</f>
        <v/>
      </c>
      <c r="AC128" s="86" t="str">
        <f t="shared" si="1"/>
        <v/>
      </c>
      <c r="AD128" s="86" t="str">
        <f>IF(A128="","",IFERROR(IF(AND(AB128=1,AC128=1,AM128=1,OR(C128="TTM",C128="FY0",C128="FY-1",C128="FY-2"),ISNUMBER(D128),D128&lt;=Rules!$B$6,ISNUMBER(E128),E128&gt;=D128,E128&lt;=Rules!$B$6,ISNUMBER(F128),ABS(D128-F128-365)&lt;=31,OR(G128="US GAAP",G128="IFRS"),H128="Yes",I128&lt;&gt;"",COUNT(J128:R128)=9,J128&gt;0,L128&gt;-1,L128&lt;1,M128&gt;=0,N128&gt;=0,Q128&gt;=0,R128&gt;=0,M128+O128-Q128&gt;0,N128+P128-R128&gt;0,Z128&lt;&gt;"",AA128&lt;&gt;""),1,0),0))</f>
        <v/>
      </c>
      <c r="AE128" s="91" t="str">
        <f t="shared" si="2"/>
        <v/>
      </c>
      <c r="AF128" s="91" t="str">
        <f t="shared" si="3"/>
        <v/>
      </c>
      <c r="AG128" s="92" t="str">
        <f t="shared" si="4"/>
        <v/>
      </c>
      <c r="AH128" s="92" t="str">
        <f t="shared" si="5"/>
        <v/>
      </c>
      <c r="AI128" s="92" t="str">
        <f t="shared" si="6"/>
        <v/>
      </c>
      <c r="AJ128" s="92" t="str">
        <f t="shared" si="7"/>
        <v/>
      </c>
      <c r="AK128" s="92" t="str">
        <f t="shared" si="8"/>
        <v/>
      </c>
      <c r="AL128" s="86" t="str">
        <f t="shared" si="9"/>
        <v/>
      </c>
      <c r="AM128" s="86" t="str">
        <f t="array" ref="AM128">IF(A128="","",IF(AB128&lt;&gt;1,0,IF(AND(INDEX(Companies!$R$6:$R$55,MATCH(A128,Companies!$A$6:$A$55,0))=1,INDEX(Companies!$I$6:$I$55,MATCH(A128,Companies!$A$6:$A$55,0))&gt;=MAX(10,Rules!$B$22)),1,0)))</f>
        <v/>
      </c>
      <c r="AN128" s="86" t="str">
        <f>IFERROR(__xludf.DUMMYFUNCTION("IF(A128="""","""",IFERROR(IF(AND(OR(C128=""FY0"",C128=""FY-1"",C128=""FY-2""),AD128=1,COUNTIFS($A$6:$A$205,A128,$C$6:$C$205,""FY0"",$AD$6:$AD$205,1)=1,COUNTIFS($A$6:$A$205,A128,$C$6:$C$205,""TTM"",$AD$6:$AD$205,1)=1,G128=IFNA(INDEX(FILTER($G$6:$G$205,$A$6"&amp;":$A$205=A128,$C$6:$C$205=""TTM"",$AD$6:$AD$205=1),1),""""),I128=IFNA(INDEX(FILTER($I$6:$I$205,$A$6:$A$205=A128,$C$6:$C$205=""TTM"",$AD$6:$AD$205=1),1),""""),SUMIFS($D$6:$D$205,$A$6:$A$205,A128,$C$6:$C$205,""FY0"",$AD$6:$AD$205,1)&lt;=SUMIFS($D$6:$D$205,$A$6:"&amp;"$A$205,A128,$C$6:$C$205,""TTM"",$AD$6:$AD$205,1),SUMIFS($D$6:$D$205,$A$6:$A$205,A128,$C$6:$C$205,""TTM"",$AD$6:$AD$205,1)-SUMIFS($D$6:$D$205,$A$6:$A$205,A128,$C$6:$C$205,""FY0"",$AD$6:$AD$205,1)&lt;366,ABS(D128-EDATE(SUMIFS($D$6:$D$205,$A$6:$A$205,A128,$C$6:"&amp;"$C$205,""FY0"",$AD$6:$AD$205,1),IF(C128=""FY0"",0,IF(C128=""FY-1"",-12,-24))))&lt;=31),1,0),0))"),"")</f>
        <v/>
      </c>
    </row>
    <row r="129" ht="31.5" customHeight="1">
      <c r="A129" s="85"/>
      <c r="B129" s="86" t="str">
        <f t="array" ref="B129">IF(A129="","",IF(AB129&lt;&gt;1,"Unmatched issuer",INDEX(Companies!$C$6:$C$55,MATCH(A129,Companies!$A$6:$A$55,0))))</f>
        <v/>
      </c>
      <c r="C129" s="87"/>
      <c r="D129" s="88"/>
      <c r="E129" s="88"/>
      <c r="F129" s="88"/>
      <c r="G129" s="87"/>
      <c r="H129" s="87"/>
      <c r="I129" s="85"/>
      <c r="J129" s="89"/>
      <c r="K129" s="89"/>
      <c r="L129" s="90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90"/>
      <c r="Z129" s="85"/>
      <c r="AA129" s="85"/>
      <c r="AB129" s="86" t="str">
        <f>IF(A129="","",COUNTIF(Companies!$A$6:$A$55,A129))</f>
        <v/>
      </c>
      <c r="AC129" s="86" t="str">
        <f t="shared" si="1"/>
        <v/>
      </c>
      <c r="AD129" s="86" t="str">
        <f>IF(A129="","",IFERROR(IF(AND(AB129=1,AC129=1,AM129=1,OR(C129="TTM",C129="FY0",C129="FY-1",C129="FY-2"),ISNUMBER(D129),D129&lt;=Rules!$B$6,ISNUMBER(E129),E129&gt;=D129,E129&lt;=Rules!$B$6,ISNUMBER(F129),ABS(D129-F129-365)&lt;=31,OR(G129="US GAAP",G129="IFRS"),H129="Yes",I129&lt;&gt;"",COUNT(J129:R129)=9,J129&gt;0,L129&gt;-1,L129&lt;1,M129&gt;=0,N129&gt;=0,Q129&gt;=0,R129&gt;=0,M129+O129-Q129&gt;0,N129+P129-R129&gt;0,Z129&lt;&gt;"",AA129&lt;&gt;""),1,0),0))</f>
        <v/>
      </c>
      <c r="AE129" s="91" t="str">
        <f t="shared" si="2"/>
        <v/>
      </c>
      <c r="AF129" s="91" t="str">
        <f t="shared" si="3"/>
        <v/>
      </c>
      <c r="AG129" s="92" t="str">
        <f t="shared" si="4"/>
        <v/>
      </c>
      <c r="AH129" s="92" t="str">
        <f t="shared" si="5"/>
        <v/>
      </c>
      <c r="AI129" s="92" t="str">
        <f t="shared" si="6"/>
        <v/>
      </c>
      <c r="AJ129" s="92" t="str">
        <f t="shared" si="7"/>
        <v/>
      </c>
      <c r="AK129" s="92" t="str">
        <f t="shared" si="8"/>
        <v/>
      </c>
      <c r="AL129" s="86" t="str">
        <f t="shared" si="9"/>
        <v/>
      </c>
      <c r="AM129" s="86" t="str">
        <f t="array" ref="AM129">IF(A129="","",IF(AB129&lt;&gt;1,0,IF(AND(INDEX(Companies!$R$6:$R$55,MATCH(A129,Companies!$A$6:$A$55,0))=1,INDEX(Companies!$I$6:$I$55,MATCH(A129,Companies!$A$6:$A$55,0))&gt;=MAX(10,Rules!$B$22)),1,0)))</f>
        <v/>
      </c>
      <c r="AN129" s="86" t="str">
        <f>IFERROR(__xludf.DUMMYFUNCTION("IF(A129="""","""",IFERROR(IF(AND(OR(C129=""FY0"",C129=""FY-1"",C129=""FY-2""),AD129=1,COUNTIFS($A$6:$A$205,A129,$C$6:$C$205,""FY0"",$AD$6:$AD$205,1)=1,COUNTIFS($A$6:$A$205,A129,$C$6:$C$205,""TTM"",$AD$6:$AD$205,1)=1,G129=IFNA(INDEX(FILTER($G$6:$G$205,$A$6"&amp;":$A$205=A129,$C$6:$C$205=""TTM"",$AD$6:$AD$205=1),1),""""),I129=IFNA(INDEX(FILTER($I$6:$I$205,$A$6:$A$205=A129,$C$6:$C$205=""TTM"",$AD$6:$AD$205=1),1),""""),SUMIFS($D$6:$D$205,$A$6:$A$205,A129,$C$6:$C$205,""FY0"",$AD$6:$AD$205,1)&lt;=SUMIFS($D$6:$D$205,$A$6:"&amp;"$A$205,A129,$C$6:$C$205,""TTM"",$AD$6:$AD$205,1),SUMIFS($D$6:$D$205,$A$6:$A$205,A129,$C$6:$C$205,""TTM"",$AD$6:$AD$205,1)-SUMIFS($D$6:$D$205,$A$6:$A$205,A129,$C$6:$C$205,""FY0"",$AD$6:$AD$205,1)&lt;366,ABS(D129-EDATE(SUMIFS($D$6:$D$205,$A$6:$A$205,A129,$C$6:"&amp;"$C$205,""FY0"",$AD$6:$AD$205,1),IF(C129=""FY0"",0,IF(C129=""FY-1"",-12,-24))))&lt;=31),1,0),0))"),"")</f>
        <v/>
      </c>
    </row>
    <row r="130" ht="31.5" customHeight="1">
      <c r="A130" s="85"/>
      <c r="B130" s="86" t="str">
        <f t="array" ref="B130">IF(A130="","",IF(AB130&lt;&gt;1,"Unmatched issuer",INDEX(Companies!$C$6:$C$55,MATCH(A130,Companies!$A$6:$A$55,0))))</f>
        <v/>
      </c>
      <c r="C130" s="87"/>
      <c r="D130" s="88"/>
      <c r="E130" s="88"/>
      <c r="F130" s="88"/>
      <c r="G130" s="87"/>
      <c r="H130" s="87"/>
      <c r="I130" s="85"/>
      <c r="J130" s="89"/>
      <c r="K130" s="89"/>
      <c r="L130" s="90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90"/>
      <c r="Z130" s="85"/>
      <c r="AA130" s="85"/>
      <c r="AB130" s="86" t="str">
        <f>IF(A130="","",COUNTIF(Companies!$A$6:$A$55,A130))</f>
        <v/>
      </c>
      <c r="AC130" s="86" t="str">
        <f t="shared" si="1"/>
        <v/>
      </c>
      <c r="AD130" s="86" t="str">
        <f>IF(A130="","",IFERROR(IF(AND(AB130=1,AC130=1,AM130=1,OR(C130="TTM",C130="FY0",C130="FY-1",C130="FY-2"),ISNUMBER(D130),D130&lt;=Rules!$B$6,ISNUMBER(E130),E130&gt;=D130,E130&lt;=Rules!$B$6,ISNUMBER(F130),ABS(D130-F130-365)&lt;=31,OR(G130="US GAAP",G130="IFRS"),H130="Yes",I130&lt;&gt;"",COUNT(J130:R130)=9,J130&gt;0,L130&gt;-1,L130&lt;1,M130&gt;=0,N130&gt;=0,Q130&gt;=0,R130&gt;=0,M130+O130-Q130&gt;0,N130+P130-R130&gt;0,Z130&lt;&gt;"",AA130&lt;&gt;""),1,0),0))</f>
        <v/>
      </c>
      <c r="AE130" s="91" t="str">
        <f t="shared" si="2"/>
        <v/>
      </c>
      <c r="AF130" s="91" t="str">
        <f t="shared" si="3"/>
        <v/>
      </c>
      <c r="AG130" s="92" t="str">
        <f t="shared" si="4"/>
        <v/>
      </c>
      <c r="AH130" s="92" t="str">
        <f t="shared" si="5"/>
        <v/>
      </c>
      <c r="AI130" s="92" t="str">
        <f t="shared" si="6"/>
        <v/>
      </c>
      <c r="AJ130" s="92" t="str">
        <f t="shared" si="7"/>
        <v/>
      </c>
      <c r="AK130" s="92" t="str">
        <f t="shared" si="8"/>
        <v/>
      </c>
      <c r="AL130" s="86" t="str">
        <f t="shared" si="9"/>
        <v/>
      </c>
      <c r="AM130" s="86" t="str">
        <f t="array" ref="AM130">IF(A130="","",IF(AB130&lt;&gt;1,0,IF(AND(INDEX(Companies!$R$6:$R$55,MATCH(A130,Companies!$A$6:$A$55,0))=1,INDEX(Companies!$I$6:$I$55,MATCH(A130,Companies!$A$6:$A$55,0))&gt;=MAX(10,Rules!$B$22)),1,0)))</f>
        <v/>
      </c>
      <c r="AN130" s="86" t="str">
        <f>IFERROR(__xludf.DUMMYFUNCTION("IF(A130="""","""",IFERROR(IF(AND(OR(C130=""FY0"",C130=""FY-1"",C130=""FY-2""),AD130=1,COUNTIFS($A$6:$A$205,A130,$C$6:$C$205,""FY0"",$AD$6:$AD$205,1)=1,COUNTIFS($A$6:$A$205,A130,$C$6:$C$205,""TTM"",$AD$6:$AD$205,1)=1,G130=IFNA(INDEX(FILTER($G$6:$G$205,$A$6"&amp;":$A$205=A130,$C$6:$C$205=""TTM"",$AD$6:$AD$205=1),1),""""),I130=IFNA(INDEX(FILTER($I$6:$I$205,$A$6:$A$205=A130,$C$6:$C$205=""TTM"",$AD$6:$AD$205=1),1),""""),SUMIFS($D$6:$D$205,$A$6:$A$205,A130,$C$6:$C$205,""FY0"",$AD$6:$AD$205,1)&lt;=SUMIFS($D$6:$D$205,$A$6:"&amp;"$A$205,A130,$C$6:$C$205,""TTM"",$AD$6:$AD$205,1),SUMIFS($D$6:$D$205,$A$6:$A$205,A130,$C$6:$C$205,""TTM"",$AD$6:$AD$205,1)-SUMIFS($D$6:$D$205,$A$6:$A$205,A130,$C$6:$C$205,""FY0"",$AD$6:$AD$205,1)&lt;366,ABS(D130-EDATE(SUMIFS($D$6:$D$205,$A$6:$A$205,A130,$C$6:"&amp;"$C$205,""FY0"",$AD$6:$AD$205,1),IF(C130=""FY0"",0,IF(C130=""FY-1"",-12,-24))))&lt;=31),1,0),0))"),"")</f>
        <v/>
      </c>
    </row>
    <row r="131" ht="31.5" customHeight="1">
      <c r="A131" s="85"/>
      <c r="B131" s="86" t="str">
        <f t="array" ref="B131">IF(A131="","",IF(AB131&lt;&gt;1,"Unmatched issuer",INDEX(Companies!$C$6:$C$55,MATCH(A131,Companies!$A$6:$A$55,0))))</f>
        <v/>
      </c>
      <c r="C131" s="87"/>
      <c r="D131" s="88"/>
      <c r="E131" s="88"/>
      <c r="F131" s="88"/>
      <c r="G131" s="87"/>
      <c r="H131" s="87"/>
      <c r="I131" s="85"/>
      <c r="J131" s="89"/>
      <c r="K131" s="89"/>
      <c r="L131" s="90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90"/>
      <c r="Z131" s="85"/>
      <c r="AA131" s="85"/>
      <c r="AB131" s="86" t="str">
        <f>IF(A131="","",COUNTIF(Companies!$A$6:$A$55,A131))</f>
        <v/>
      </c>
      <c r="AC131" s="86" t="str">
        <f t="shared" si="1"/>
        <v/>
      </c>
      <c r="AD131" s="86" t="str">
        <f>IF(A131="","",IFERROR(IF(AND(AB131=1,AC131=1,AM131=1,OR(C131="TTM",C131="FY0",C131="FY-1",C131="FY-2"),ISNUMBER(D131),D131&lt;=Rules!$B$6,ISNUMBER(E131),E131&gt;=D131,E131&lt;=Rules!$B$6,ISNUMBER(F131),ABS(D131-F131-365)&lt;=31,OR(G131="US GAAP",G131="IFRS"),H131="Yes",I131&lt;&gt;"",COUNT(J131:R131)=9,J131&gt;0,L131&gt;-1,L131&lt;1,M131&gt;=0,N131&gt;=0,Q131&gt;=0,R131&gt;=0,M131+O131-Q131&gt;0,N131+P131-R131&gt;0,Z131&lt;&gt;"",AA131&lt;&gt;""),1,0),0))</f>
        <v/>
      </c>
      <c r="AE131" s="91" t="str">
        <f t="shared" si="2"/>
        <v/>
      </c>
      <c r="AF131" s="91" t="str">
        <f t="shared" si="3"/>
        <v/>
      </c>
      <c r="AG131" s="92" t="str">
        <f t="shared" si="4"/>
        <v/>
      </c>
      <c r="AH131" s="92" t="str">
        <f t="shared" si="5"/>
        <v/>
      </c>
      <c r="AI131" s="92" t="str">
        <f t="shared" si="6"/>
        <v/>
      </c>
      <c r="AJ131" s="92" t="str">
        <f t="shared" si="7"/>
        <v/>
      </c>
      <c r="AK131" s="92" t="str">
        <f t="shared" si="8"/>
        <v/>
      </c>
      <c r="AL131" s="86" t="str">
        <f t="shared" si="9"/>
        <v/>
      </c>
      <c r="AM131" s="86" t="str">
        <f t="array" ref="AM131">IF(A131="","",IF(AB131&lt;&gt;1,0,IF(AND(INDEX(Companies!$R$6:$R$55,MATCH(A131,Companies!$A$6:$A$55,0))=1,INDEX(Companies!$I$6:$I$55,MATCH(A131,Companies!$A$6:$A$55,0))&gt;=MAX(10,Rules!$B$22)),1,0)))</f>
        <v/>
      </c>
      <c r="AN131" s="86" t="str">
        <f>IFERROR(__xludf.DUMMYFUNCTION("IF(A131="""","""",IFERROR(IF(AND(OR(C131=""FY0"",C131=""FY-1"",C131=""FY-2""),AD131=1,COUNTIFS($A$6:$A$205,A131,$C$6:$C$205,""FY0"",$AD$6:$AD$205,1)=1,COUNTIFS($A$6:$A$205,A131,$C$6:$C$205,""TTM"",$AD$6:$AD$205,1)=1,G131=IFNA(INDEX(FILTER($G$6:$G$205,$A$6"&amp;":$A$205=A131,$C$6:$C$205=""TTM"",$AD$6:$AD$205=1),1),""""),I131=IFNA(INDEX(FILTER($I$6:$I$205,$A$6:$A$205=A131,$C$6:$C$205=""TTM"",$AD$6:$AD$205=1),1),""""),SUMIFS($D$6:$D$205,$A$6:$A$205,A131,$C$6:$C$205,""FY0"",$AD$6:$AD$205,1)&lt;=SUMIFS($D$6:$D$205,$A$6:"&amp;"$A$205,A131,$C$6:$C$205,""TTM"",$AD$6:$AD$205,1),SUMIFS($D$6:$D$205,$A$6:$A$205,A131,$C$6:$C$205,""TTM"",$AD$6:$AD$205,1)-SUMIFS($D$6:$D$205,$A$6:$A$205,A131,$C$6:$C$205,""FY0"",$AD$6:$AD$205,1)&lt;366,ABS(D131-EDATE(SUMIFS($D$6:$D$205,$A$6:$A$205,A131,$C$6:"&amp;"$C$205,""FY0"",$AD$6:$AD$205,1),IF(C131=""FY0"",0,IF(C131=""FY-1"",-12,-24))))&lt;=31),1,0),0))"),"")</f>
        <v/>
      </c>
    </row>
    <row r="132" ht="31.5" customHeight="1">
      <c r="A132" s="85"/>
      <c r="B132" s="86" t="str">
        <f t="array" ref="B132">IF(A132="","",IF(AB132&lt;&gt;1,"Unmatched issuer",INDEX(Companies!$C$6:$C$55,MATCH(A132,Companies!$A$6:$A$55,0))))</f>
        <v/>
      </c>
      <c r="C132" s="87"/>
      <c r="D132" s="88"/>
      <c r="E132" s="88"/>
      <c r="F132" s="88"/>
      <c r="G132" s="87"/>
      <c r="H132" s="87"/>
      <c r="I132" s="85"/>
      <c r="J132" s="89"/>
      <c r="K132" s="89"/>
      <c r="L132" s="90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90"/>
      <c r="Z132" s="85"/>
      <c r="AA132" s="85"/>
      <c r="AB132" s="86" t="str">
        <f>IF(A132="","",COUNTIF(Companies!$A$6:$A$55,A132))</f>
        <v/>
      </c>
      <c r="AC132" s="86" t="str">
        <f t="shared" si="1"/>
        <v/>
      </c>
      <c r="AD132" s="86" t="str">
        <f>IF(A132="","",IFERROR(IF(AND(AB132=1,AC132=1,AM132=1,OR(C132="TTM",C132="FY0",C132="FY-1",C132="FY-2"),ISNUMBER(D132),D132&lt;=Rules!$B$6,ISNUMBER(E132),E132&gt;=D132,E132&lt;=Rules!$B$6,ISNUMBER(F132),ABS(D132-F132-365)&lt;=31,OR(G132="US GAAP",G132="IFRS"),H132="Yes",I132&lt;&gt;"",COUNT(J132:R132)=9,J132&gt;0,L132&gt;-1,L132&lt;1,M132&gt;=0,N132&gt;=0,Q132&gt;=0,R132&gt;=0,M132+O132-Q132&gt;0,N132+P132-R132&gt;0,Z132&lt;&gt;"",AA132&lt;&gt;""),1,0),0))</f>
        <v/>
      </c>
      <c r="AE132" s="91" t="str">
        <f t="shared" si="2"/>
        <v/>
      </c>
      <c r="AF132" s="91" t="str">
        <f t="shared" si="3"/>
        <v/>
      </c>
      <c r="AG132" s="92" t="str">
        <f t="shared" si="4"/>
        <v/>
      </c>
      <c r="AH132" s="92" t="str">
        <f t="shared" si="5"/>
        <v/>
      </c>
      <c r="AI132" s="92" t="str">
        <f t="shared" si="6"/>
        <v/>
      </c>
      <c r="AJ132" s="92" t="str">
        <f t="shared" si="7"/>
        <v/>
      </c>
      <c r="AK132" s="92" t="str">
        <f t="shared" si="8"/>
        <v/>
      </c>
      <c r="AL132" s="86" t="str">
        <f t="shared" si="9"/>
        <v/>
      </c>
      <c r="AM132" s="86" t="str">
        <f t="array" ref="AM132">IF(A132="","",IF(AB132&lt;&gt;1,0,IF(AND(INDEX(Companies!$R$6:$R$55,MATCH(A132,Companies!$A$6:$A$55,0))=1,INDEX(Companies!$I$6:$I$55,MATCH(A132,Companies!$A$6:$A$55,0))&gt;=MAX(10,Rules!$B$22)),1,0)))</f>
        <v/>
      </c>
      <c r="AN132" s="86" t="str">
        <f>IFERROR(__xludf.DUMMYFUNCTION("IF(A132="""","""",IFERROR(IF(AND(OR(C132=""FY0"",C132=""FY-1"",C132=""FY-2""),AD132=1,COUNTIFS($A$6:$A$205,A132,$C$6:$C$205,""FY0"",$AD$6:$AD$205,1)=1,COUNTIFS($A$6:$A$205,A132,$C$6:$C$205,""TTM"",$AD$6:$AD$205,1)=1,G132=IFNA(INDEX(FILTER($G$6:$G$205,$A$6"&amp;":$A$205=A132,$C$6:$C$205=""TTM"",$AD$6:$AD$205=1),1),""""),I132=IFNA(INDEX(FILTER($I$6:$I$205,$A$6:$A$205=A132,$C$6:$C$205=""TTM"",$AD$6:$AD$205=1),1),""""),SUMIFS($D$6:$D$205,$A$6:$A$205,A132,$C$6:$C$205,""FY0"",$AD$6:$AD$205,1)&lt;=SUMIFS($D$6:$D$205,$A$6:"&amp;"$A$205,A132,$C$6:$C$205,""TTM"",$AD$6:$AD$205,1),SUMIFS($D$6:$D$205,$A$6:$A$205,A132,$C$6:$C$205,""TTM"",$AD$6:$AD$205,1)-SUMIFS($D$6:$D$205,$A$6:$A$205,A132,$C$6:$C$205,""FY0"",$AD$6:$AD$205,1)&lt;366,ABS(D132-EDATE(SUMIFS($D$6:$D$205,$A$6:$A$205,A132,$C$6:"&amp;"$C$205,""FY0"",$AD$6:$AD$205,1),IF(C132=""FY0"",0,IF(C132=""FY-1"",-12,-24))))&lt;=31),1,0),0))"),"")</f>
        <v/>
      </c>
    </row>
    <row r="133" ht="31.5" customHeight="1">
      <c r="A133" s="85"/>
      <c r="B133" s="86" t="str">
        <f t="array" ref="B133">IF(A133="","",IF(AB133&lt;&gt;1,"Unmatched issuer",INDEX(Companies!$C$6:$C$55,MATCH(A133,Companies!$A$6:$A$55,0))))</f>
        <v/>
      </c>
      <c r="C133" s="87"/>
      <c r="D133" s="88"/>
      <c r="E133" s="88"/>
      <c r="F133" s="88"/>
      <c r="G133" s="87"/>
      <c r="H133" s="87"/>
      <c r="I133" s="85"/>
      <c r="J133" s="89"/>
      <c r="K133" s="89"/>
      <c r="L133" s="90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90"/>
      <c r="Z133" s="85"/>
      <c r="AA133" s="85"/>
      <c r="AB133" s="86" t="str">
        <f>IF(A133="","",COUNTIF(Companies!$A$6:$A$55,A133))</f>
        <v/>
      </c>
      <c r="AC133" s="86" t="str">
        <f t="shared" si="1"/>
        <v/>
      </c>
      <c r="AD133" s="86" t="str">
        <f>IF(A133="","",IFERROR(IF(AND(AB133=1,AC133=1,AM133=1,OR(C133="TTM",C133="FY0",C133="FY-1",C133="FY-2"),ISNUMBER(D133),D133&lt;=Rules!$B$6,ISNUMBER(E133),E133&gt;=D133,E133&lt;=Rules!$B$6,ISNUMBER(F133),ABS(D133-F133-365)&lt;=31,OR(G133="US GAAP",G133="IFRS"),H133="Yes",I133&lt;&gt;"",COUNT(J133:R133)=9,J133&gt;0,L133&gt;-1,L133&lt;1,M133&gt;=0,N133&gt;=0,Q133&gt;=0,R133&gt;=0,M133+O133-Q133&gt;0,N133+P133-R133&gt;0,Z133&lt;&gt;"",AA133&lt;&gt;""),1,0),0))</f>
        <v/>
      </c>
      <c r="AE133" s="91" t="str">
        <f t="shared" si="2"/>
        <v/>
      </c>
      <c r="AF133" s="91" t="str">
        <f t="shared" si="3"/>
        <v/>
      </c>
      <c r="AG133" s="92" t="str">
        <f t="shared" si="4"/>
        <v/>
      </c>
      <c r="AH133" s="92" t="str">
        <f t="shared" si="5"/>
        <v/>
      </c>
      <c r="AI133" s="92" t="str">
        <f t="shared" si="6"/>
        <v/>
      </c>
      <c r="AJ133" s="92" t="str">
        <f t="shared" si="7"/>
        <v/>
      </c>
      <c r="AK133" s="92" t="str">
        <f t="shared" si="8"/>
        <v/>
      </c>
      <c r="AL133" s="86" t="str">
        <f t="shared" si="9"/>
        <v/>
      </c>
      <c r="AM133" s="86" t="str">
        <f t="array" ref="AM133">IF(A133="","",IF(AB133&lt;&gt;1,0,IF(AND(INDEX(Companies!$R$6:$R$55,MATCH(A133,Companies!$A$6:$A$55,0))=1,INDEX(Companies!$I$6:$I$55,MATCH(A133,Companies!$A$6:$A$55,0))&gt;=MAX(10,Rules!$B$22)),1,0)))</f>
        <v/>
      </c>
      <c r="AN133" s="86" t="str">
        <f>IFERROR(__xludf.DUMMYFUNCTION("IF(A133="""","""",IFERROR(IF(AND(OR(C133=""FY0"",C133=""FY-1"",C133=""FY-2""),AD133=1,COUNTIFS($A$6:$A$205,A133,$C$6:$C$205,""FY0"",$AD$6:$AD$205,1)=1,COUNTIFS($A$6:$A$205,A133,$C$6:$C$205,""TTM"",$AD$6:$AD$205,1)=1,G133=IFNA(INDEX(FILTER($G$6:$G$205,$A$6"&amp;":$A$205=A133,$C$6:$C$205=""TTM"",$AD$6:$AD$205=1),1),""""),I133=IFNA(INDEX(FILTER($I$6:$I$205,$A$6:$A$205=A133,$C$6:$C$205=""TTM"",$AD$6:$AD$205=1),1),""""),SUMIFS($D$6:$D$205,$A$6:$A$205,A133,$C$6:$C$205,""FY0"",$AD$6:$AD$205,1)&lt;=SUMIFS($D$6:$D$205,$A$6:"&amp;"$A$205,A133,$C$6:$C$205,""TTM"",$AD$6:$AD$205,1),SUMIFS($D$6:$D$205,$A$6:$A$205,A133,$C$6:$C$205,""TTM"",$AD$6:$AD$205,1)-SUMIFS($D$6:$D$205,$A$6:$A$205,A133,$C$6:$C$205,""FY0"",$AD$6:$AD$205,1)&lt;366,ABS(D133-EDATE(SUMIFS($D$6:$D$205,$A$6:$A$205,A133,$C$6:"&amp;"$C$205,""FY0"",$AD$6:$AD$205,1),IF(C133=""FY0"",0,IF(C133=""FY-1"",-12,-24))))&lt;=31),1,0),0))"),"")</f>
        <v/>
      </c>
    </row>
    <row r="134" ht="31.5" customHeight="1">
      <c r="A134" s="85"/>
      <c r="B134" s="86" t="str">
        <f t="array" ref="B134">IF(A134="","",IF(AB134&lt;&gt;1,"Unmatched issuer",INDEX(Companies!$C$6:$C$55,MATCH(A134,Companies!$A$6:$A$55,0))))</f>
        <v/>
      </c>
      <c r="C134" s="87"/>
      <c r="D134" s="88"/>
      <c r="E134" s="88"/>
      <c r="F134" s="88"/>
      <c r="G134" s="87"/>
      <c r="H134" s="87"/>
      <c r="I134" s="85"/>
      <c r="J134" s="89"/>
      <c r="K134" s="89"/>
      <c r="L134" s="90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90"/>
      <c r="Z134" s="85"/>
      <c r="AA134" s="85"/>
      <c r="AB134" s="86" t="str">
        <f>IF(A134="","",COUNTIF(Companies!$A$6:$A$55,A134))</f>
        <v/>
      </c>
      <c r="AC134" s="86" t="str">
        <f t="shared" si="1"/>
        <v/>
      </c>
      <c r="AD134" s="86" t="str">
        <f>IF(A134="","",IFERROR(IF(AND(AB134=1,AC134=1,AM134=1,OR(C134="TTM",C134="FY0",C134="FY-1",C134="FY-2"),ISNUMBER(D134),D134&lt;=Rules!$B$6,ISNUMBER(E134),E134&gt;=D134,E134&lt;=Rules!$B$6,ISNUMBER(F134),ABS(D134-F134-365)&lt;=31,OR(G134="US GAAP",G134="IFRS"),H134="Yes",I134&lt;&gt;"",COUNT(J134:R134)=9,J134&gt;0,L134&gt;-1,L134&lt;1,M134&gt;=0,N134&gt;=0,Q134&gt;=0,R134&gt;=0,M134+O134-Q134&gt;0,N134+P134-R134&gt;0,Z134&lt;&gt;"",AA134&lt;&gt;""),1,0),0))</f>
        <v/>
      </c>
      <c r="AE134" s="91" t="str">
        <f t="shared" si="2"/>
        <v/>
      </c>
      <c r="AF134" s="91" t="str">
        <f t="shared" si="3"/>
        <v/>
      </c>
      <c r="AG134" s="92" t="str">
        <f t="shared" si="4"/>
        <v/>
      </c>
      <c r="AH134" s="92" t="str">
        <f t="shared" si="5"/>
        <v/>
      </c>
      <c r="AI134" s="92" t="str">
        <f t="shared" si="6"/>
        <v/>
      </c>
      <c r="AJ134" s="92" t="str">
        <f t="shared" si="7"/>
        <v/>
      </c>
      <c r="AK134" s="92" t="str">
        <f t="shared" si="8"/>
        <v/>
      </c>
      <c r="AL134" s="86" t="str">
        <f t="shared" si="9"/>
        <v/>
      </c>
      <c r="AM134" s="86" t="str">
        <f t="array" ref="AM134">IF(A134="","",IF(AB134&lt;&gt;1,0,IF(AND(INDEX(Companies!$R$6:$R$55,MATCH(A134,Companies!$A$6:$A$55,0))=1,INDEX(Companies!$I$6:$I$55,MATCH(A134,Companies!$A$6:$A$55,0))&gt;=MAX(10,Rules!$B$22)),1,0)))</f>
        <v/>
      </c>
      <c r="AN134" s="86" t="str">
        <f>IFERROR(__xludf.DUMMYFUNCTION("IF(A134="""","""",IFERROR(IF(AND(OR(C134=""FY0"",C134=""FY-1"",C134=""FY-2""),AD134=1,COUNTIFS($A$6:$A$205,A134,$C$6:$C$205,""FY0"",$AD$6:$AD$205,1)=1,COUNTIFS($A$6:$A$205,A134,$C$6:$C$205,""TTM"",$AD$6:$AD$205,1)=1,G134=IFNA(INDEX(FILTER($G$6:$G$205,$A$6"&amp;":$A$205=A134,$C$6:$C$205=""TTM"",$AD$6:$AD$205=1),1),""""),I134=IFNA(INDEX(FILTER($I$6:$I$205,$A$6:$A$205=A134,$C$6:$C$205=""TTM"",$AD$6:$AD$205=1),1),""""),SUMIFS($D$6:$D$205,$A$6:$A$205,A134,$C$6:$C$205,""FY0"",$AD$6:$AD$205,1)&lt;=SUMIFS($D$6:$D$205,$A$6:"&amp;"$A$205,A134,$C$6:$C$205,""TTM"",$AD$6:$AD$205,1),SUMIFS($D$6:$D$205,$A$6:$A$205,A134,$C$6:$C$205,""TTM"",$AD$6:$AD$205,1)-SUMIFS($D$6:$D$205,$A$6:$A$205,A134,$C$6:$C$205,""FY0"",$AD$6:$AD$205,1)&lt;366,ABS(D134-EDATE(SUMIFS($D$6:$D$205,$A$6:$A$205,A134,$C$6:"&amp;"$C$205,""FY0"",$AD$6:$AD$205,1),IF(C134=""FY0"",0,IF(C134=""FY-1"",-12,-24))))&lt;=31),1,0),0))"),"")</f>
        <v/>
      </c>
    </row>
    <row r="135" ht="31.5" customHeight="1">
      <c r="A135" s="85"/>
      <c r="B135" s="86" t="str">
        <f t="array" ref="B135">IF(A135="","",IF(AB135&lt;&gt;1,"Unmatched issuer",INDEX(Companies!$C$6:$C$55,MATCH(A135,Companies!$A$6:$A$55,0))))</f>
        <v/>
      </c>
      <c r="C135" s="87"/>
      <c r="D135" s="88"/>
      <c r="E135" s="88"/>
      <c r="F135" s="88"/>
      <c r="G135" s="87"/>
      <c r="H135" s="87"/>
      <c r="I135" s="85"/>
      <c r="J135" s="89"/>
      <c r="K135" s="89"/>
      <c r="L135" s="90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90"/>
      <c r="Z135" s="85"/>
      <c r="AA135" s="85"/>
      <c r="AB135" s="86" t="str">
        <f>IF(A135="","",COUNTIF(Companies!$A$6:$A$55,A135))</f>
        <v/>
      </c>
      <c r="AC135" s="86" t="str">
        <f t="shared" si="1"/>
        <v/>
      </c>
      <c r="AD135" s="86" t="str">
        <f>IF(A135="","",IFERROR(IF(AND(AB135=1,AC135=1,AM135=1,OR(C135="TTM",C135="FY0",C135="FY-1",C135="FY-2"),ISNUMBER(D135),D135&lt;=Rules!$B$6,ISNUMBER(E135),E135&gt;=D135,E135&lt;=Rules!$B$6,ISNUMBER(F135),ABS(D135-F135-365)&lt;=31,OR(G135="US GAAP",G135="IFRS"),H135="Yes",I135&lt;&gt;"",COUNT(J135:R135)=9,J135&gt;0,L135&gt;-1,L135&lt;1,M135&gt;=0,N135&gt;=0,Q135&gt;=0,R135&gt;=0,M135+O135-Q135&gt;0,N135+P135-R135&gt;0,Z135&lt;&gt;"",AA135&lt;&gt;""),1,0),0))</f>
        <v/>
      </c>
      <c r="AE135" s="91" t="str">
        <f t="shared" si="2"/>
        <v/>
      </c>
      <c r="AF135" s="91" t="str">
        <f t="shared" si="3"/>
        <v/>
      </c>
      <c r="AG135" s="92" t="str">
        <f t="shared" si="4"/>
        <v/>
      </c>
      <c r="AH135" s="92" t="str">
        <f t="shared" si="5"/>
        <v/>
      </c>
      <c r="AI135" s="92" t="str">
        <f t="shared" si="6"/>
        <v/>
      </c>
      <c r="AJ135" s="92" t="str">
        <f t="shared" si="7"/>
        <v/>
      </c>
      <c r="AK135" s="92" t="str">
        <f t="shared" si="8"/>
        <v/>
      </c>
      <c r="AL135" s="86" t="str">
        <f t="shared" si="9"/>
        <v/>
      </c>
      <c r="AM135" s="86" t="str">
        <f t="array" ref="AM135">IF(A135="","",IF(AB135&lt;&gt;1,0,IF(AND(INDEX(Companies!$R$6:$R$55,MATCH(A135,Companies!$A$6:$A$55,0))=1,INDEX(Companies!$I$6:$I$55,MATCH(A135,Companies!$A$6:$A$55,0))&gt;=MAX(10,Rules!$B$22)),1,0)))</f>
        <v/>
      </c>
      <c r="AN135" s="86" t="str">
        <f>IFERROR(__xludf.DUMMYFUNCTION("IF(A135="""","""",IFERROR(IF(AND(OR(C135=""FY0"",C135=""FY-1"",C135=""FY-2""),AD135=1,COUNTIFS($A$6:$A$205,A135,$C$6:$C$205,""FY0"",$AD$6:$AD$205,1)=1,COUNTIFS($A$6:$A$205,A135,$C$6:$C$205,""TTM"",$AD$6:$AD$205,1)=1,G135=IFNA(INDEX(FILTER($G$6:$G$205,$A$6"&amp;":$A$205=A135,$C$6:$C$205=""TTM"",$AD$6:$AD$205=1),1),""""),I135=IFNA(INDEX(FILTER($I$6:$I$205,$A$6:$A$205=A135,$C$6:$C$205=""TTM"",$AD$6:$AD$205=1),1),""""),SUMIFS($D$6:$D$205,$A$6:$A$205,A135,$C$6:$C$205,""FY0"",$AD$6:$AD$205,1)&lt;=SUMIFS($D$6:$D$205,$A$6:"&amp;"$A$205,A135,$C$6:$C$205,""TTM"",$AD$6:$AD$205,1),SUMIFS($D$6:$D$205,$A$6:$A$205,A135,$C$6:$C$205,""TTM"",$AD$6:$AD$205,1)-SUMIFS($D$6:$D$205,$A$6:$A$205,A135,$C$6:$C$205,""FY0"",$AD$6:$AD$205,1)&lt;366,ABS(D135-EDATE(SUMIFS($D$6:$D$205,$A$6:$A$205,A135,$C$6:"&amp;"$C$205,""FY0"",$AD$6:$AD$205,1),IF(C135=""FY0"",0,IF(C135=""FY-1"",-12,-24))))&lt;=31),1,0),0))"),"")</f>
        <v/>
      </c>
    </row>
    <row r="136" ht="31.5" customHeight="1">
      <c r="A136" s="85"/>
      <c r="B136" s="86" t="str">
        <f t="array" ref="B136">IF(A136="","",IF(AB136&lt;&gt;1,"Unmatched issuer",INDEX(Companies!$C$6:$C$55,MATCH(A136,Companies!$A$6:$A$55,0))))</f>
        <v/>
      </c>
      <c r="C136" s="87"/>
      <c r="D136" s="88"/>
      <c r="E136" s="88"/>
      <c r="F136" s="88"/>
      <c r="G136" s="87"/>
      <c r="H136" s="87"/>
      <c r="I136" s="85"/>
      <c r="J136" s="89"/>
      <c r="K136" s="89"/>
      <c r="L136" s="90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90"/>
      <c r="Z136" s="85"/>
      <c r="AA136" s="85"/>
      <c r="AB136" s="86" t="str">
        <f>IF(A136="","",COUNTIF(Companies!$A$6:$A$55,A136))</f>
        <v/>
      </c>
      <c r="AC136" s="86" t="str">
        <f t="shared" si="1"/>
        <v/>
      </c>
      <c r="AD136" s="86" t="str">
        <f>IF(A136="","",IFERROR(IF(AND(AB136=1,AC136=1,AM136=1,OR(C136="TTM",C136="FY0",C136="FY-1",C136="FY-2"),ISNUMBER(D136),D136&lt;=Rules!$B$6,ISNUMBER(E136),E136&gt;=D136,E136&lt;=Rules!$B$6,ISNUMBER(F136),ABS(D136-F136-365)&lt;=31,OR(G136="US GAAP",G136="IFRS"),H136="Yes",I136&lt;&gt;"",COUNT(J136:R136)=9,J136&gt;0,L136&gt;-1,L136&lt;1,M136&gt;=0,N136&gt;=0,Q136&gt;=0,R136&gt;=0,M136+O136-Q136&gt;0,N136+P136-R136&gt;0,Z136&lt;&gt;"",AA136&lt;&gt;""),1,0),0))</f>
        <v/>
      </c>
      <c r="AE136" s="91" t="str">
        <f t="shared" si="2"/>
        <v/>
      </c>
      <c r="AF136" s="91" t="str">
        <f t="shared" si="3"/>
        <v/>
      </c>
      <c r="AG136" s="92" t="str">
        <f t="shared" si="4"/>
        <v/>
      </c>
      <c r="AH136" s="92" t="str">
        <f t="shared" si="5"/>
        <v/>
      </c>
      <c r="AI136" s="92" t="str">
        <f t="shared" si="6"/>
        <v/>
      </c>
      <c r="AJ136" s="92" t="str">
        <f t="shared" si="7"/>
        <v/>
      </c>
      <c r="AK136" s="92" t="str">
        <f t="shared" si="8"/>
        <v/>
      </c>
      <c r="AL136" s="86" t="str">
        <f t="shared" si="9"/>
        <v/>
      </c>
      <c r="AM136" s="86" t="str">
        <f t="array" ref="AM136">IF(A136="","",IF(AB136&lt;&gt;1,0,IF(AND(INDEX(Companies!$R$6:$R$55,MATCH(A136,Companies!$A$6:$A$55,0))=1,INDEX(Companies!$I$6:$I$55,MATCH(A136,Companies!$A$6:$A$55,0))&gt;=MAX(10,Rules!$B$22)),1,0)))</f>
        <v/>
      </c>
      <c r="AN136" s="86" t="str">
        <f>IFERROR(__xludf.DUMMYFUNCTION("IF(A136="""","""",IFERROR(IF(AND(OR(C136=""FY0"",C136=""FY-1"",C136=""FY-2""),AD136=1,COUNTIFS($A$6:$A$205,A136,$C$6:$C$205,""FY0"",$AD$6:$AD$205,1)=1,COUNTIFS($A$6:$A$205,A136,$C$6:$C$205,""TTM"",$AD$6:$AD$205,1)=1,G136=IFNA(INDEX(FILTER($G$6:$G$205,$A$6"&amp;":$A$205=A136,$C$6:$C$205=""TTM"",$AD$6:$AD$205=1),1),""""),I136=IFNA(INDEX(FILTER($I$6:$I$205,$A$6:$A$205=A136,$C$6:$C$205=""TTM"",$AD$6:$AD$205=1),1),""""),SUMIFS($D$6:$D$205,$A$6:$A$205,A136,$C$6:$C$205,""FY0"",$AD$6:$AD$205,1)&lt;=SUMIFS($D$6:$D$205,$A$6:"&amp;"$A$205,A136,$C$6:$C$205,""TTM"",$AD$6:$AD$205,1),SUMIFS($D$6:$D$205,$A$6:$A$205,A136,$C$6:$C$205,""TTM"",$AD$6:$AD$205,1)-SUMIFS($D$6:$D$205,$A$6:$A$205,A136,$C$6:$C$205,""FY0"",$AD$6:$AD$205,1)&lt;366,ABS(D136-EDATE(SUMIFS($D$6:$D$205,$A$6:$A$205,A136,$C$6:"&amp;"$C$205,""FY0"",$AD$6:$AD$205,1),IF(C136=""FY0"",0,IF(C136=""FY-1"",-12,-24))))&lt;=31),1,0),0))"),"")</f>
        <v/>
      </c>
    </row>
    <row r="137" ht="31.5" customHeight="1">
      <c r="A137" s="85"/>
      <c r="B137" s="86" t="str">
        <f t="array" ref="B137">IF(A137="","",IF(AB137&lt;&gt;1,"Unmatched issuer",INDEX(Companies!$C$6:$C$55,MATCH(A137,Companies!$A$6:$A$55,0))))</f>
        <v/>
      </c>
      <c r="C137" s="87"/>
      <c r="D137" s="88"/>
      <c r="E137" s="88"/>
      <c r="F137" s="88"/>
      <c r="G137" s="87"/>
      <c r="H137" s="87"/>
      <c r="I137" s="85"/>
      <c r="J137" s="89"/>
      <c r="K137" s="89"/>
      <c r="L137" s="90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90"/>
      <c r="Z137" s="85"/>
      <c r="AA137" s="85"/>
      <c r="AB137" s="86" t="str">
        <f>IF(A137="","",COUNTIF(Companies!$A$6:$A$55,A137))</f>
        <v/>
      </c>
      <c r="AC137" s="86" t="str">
        <f t="shared" si="1"/>
        <v/>
      </c>
      <c r="AD137" s="86" t="str">
        <f>IF(A137="","",IFERROR(IF(AND(AB137=1,AC137=1,AM137=1,OR(C137="TTM",C137="FY0",C137="FY-1",C137="FY-2"),ISNUMBER(D137),D137&lt;=Rules!$B$6,ISNUMBER(E137),E137&gt;=D137,E137&lt;=Rules!$B$6,ISNUMBER(F137),ABS(D137-F137-365)&lt;=31,OR(G137="US GAAP",G137="IFRS"),H137="Yes",I137&lt;&gt;"",COUNT(J137:R137)=9,J137&gt;0,L137&gt;-1,L137&lt;1,M137&gt;=0,N137&gt;=0,Q137&gt;=0,R137&gt;=0,M137+O137-Q137&gt;0,N137+P137-R137&gt;0,Z137&lt;&gt;"",AA137&lt;&gt;""),1,0),0))</f>
        <v/>
      </c>
      <c r="AE137" s="91" t="str">
        <f t="shared" si="2"/>
        <v/>
      </c>
      <c r="AF137" s="91" t="str">
        <f t="shared" si="3"/>
        <v/>
      </c>
      <c r="AG137" s="92" t="str">
        <f t="shared" si="4"/>
        <v/>
      </c>
      <c r="AH137" s="92" t="str">
        <f t="shared" si="5"/>
        <v/>
      </c>
      <c r="AI137" s="92" t="str">
        <f t="shared" si="6"/>
        <v/>
      </c>
      <c r="AJ137" s="92" t="str">
        <f t="shared" si="7"/>
        <v/>
      </c>
      <c r="AK137" s="92" t="str">
        <f t="shared" si="8"/>
        <v/>
      </c>
      <c r="AL137" s="86" t="str">
        <f t="shared" si="9"/>
        <v/>
      </c>
      <c r="AM137" s="86" t="str">
        <f t="array" ref="AM137">IF(A137="","",IF(AB137&lt;&gt;1,0,IF(AND(INDEX(Companies!$R$6:$R$55,MATCH(A137,Companies!$A$6:$A$55,0))=1,INDEX(Companies!$I$6:$I$55,MATCH(A137,Companies!$A$6:$A$55,0))&gt;=MAX(10,Rules!$B$22)),1,0)))</f>
        <v/>
      </c>
      <c r="AN137" s="86" t="str">
        <f>IFERROR(__xludf.DUMMYFUNCTION("IF(A137="""","""",IFERROR(IF(AND(OR(C137=""FY0"",C137=""FY-1"",C137=""FY-2""),AD137=1,COUNTIFS($A$6:$A$205,A137,$C$6:$C$205,""FY0"",$AD$6:$AD$205,1)=1,COUNTIFS($A$6:$A$205,A137,$C$6:$C$205,""TTM"",$AD$6:$AD$205,1)=1,G137=IFNA(INDEX(FILTER($G$6:$G$205,$A$6"&amp;":$A$205=A137,$C$6:$C$205=""TTM"",$AD$6:$AD$205=1),1),""""),I137=IFNA(INDEX(FILTER($I$6:$I$205,$A$6:$A$205=A137,$C$6:$C$205=""TTM"",$AD$6:$AD$205=1),1),""""),SUMIFS($D$6:$D$205,$A$6:$A$205,A137,$C$6:$C$205,""FY0"",$AD$6:$AD$205,1)&lt;=SUMIFS($D$6:$D$205,$A$6:"&amp;"$A$205,A137,$C$6:$C$205,""TTM"",$AD$6:$AD$205,1),SUMIFS($D$6:$D$205,$A$6:$A$205,A137,$C$6:$C$205,""TTM"",$AD$6:$AD$205,1)-SUMIFS($D$6:$D$205,$A$6:$A$205,A137,$C$6:$C$205,""FY0"",$AD$6:$AD$205,1)&lt;366,ABS(D137-EDATE(SUMIFS($D$6:$D$205,$A$6:$A$205,A137,$C$6:"&amp;"$C$205,""FY0"",$AD$6:$AD$205,1),IF(C137=""FY0"",0,IF(C137=""FY-1"",-12,-24))))&lt;=31),1,0),0))"),"")</f>
        <v/>
      </c>
    </row>
    <row r="138" ht="31.5" customHeight="1">
      <c r="A138" s="85"/>
      <c r="B138" s="86" t="str">
        <f t="array" ref="B138">IF(A138="","",IF(AB138&lt;&gt;1,"Unmatched issuer",INDEX(Companies!$C$6:$C$55,MATCH(A138,Companies!$A$6:$A$55,0))))</f>
        <v/>
      </c>
      <c r="C138" s="87"/>
      <c r="D138" s="88"/>
      <c r="E138" s="88"/>
      <c r="F138" s="88"/>
      <c r="G138" s="87"/>
      <c r="H138" s="87"/>
      <c r="I138" s="85"/>
      <c r="J138" s="89"/>
      <c r="K138" s="89"/>
      <c r="L138" s="90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90"/>
      <c r="Z138" s="85"/>
      <c r="AA138" s="85"/>
      <c r="AB138" s="86" t="str">
        <f>IF(A138="","",COUNTIF(Companies!$A$6:$A$55,A138))</f>
        <v/>
      </c>
      <c r="AC138" s="86" t="str">
        <f t="shared" si="1"/>
        <v/>
      </c>
      <c r="AD138" s="86" t="str">
        <f>IF(A138="","",IFERROR(IF(AND(AB138=1,AC138=1,AM138=1,OR(C138="TTM",C138="FY0",C138="FY-1",C138="FY-2"),ISNUMBER(D138),D138&lt;=Rules!$B$6,ISNUMBER(E138),E138&gt;=D138,E138&lt;=Rules!$B$6,ISNUMBER(F138),ABS(D138-F138-365)&lt;=31,OR(G138="US GAAP",G138="IFRS"),H138="Yes",I138&lt;&gt;"",COUNT(J138:R138)=9,J138&gt;0,L138&gt;-1,L138&lt;1,M138&gt;=0,N138&gt;=0,Q138&gt;=0,R138&gt;=0,M138+O138-Q138&gt;0,N138+P138-R138&gt;0,Z138&lt;&gt;"",AA138&lt;&gt;""),1,0),0))</f>
        <v/>
      </c>
      <c r="AE138" s="91" t="str">
        <f t="shared" si="2"/>
        <v/>
      </c>
      <c r="AF138" s="91" t="str">
        <f t="shared" si="3"/>
        <v/>
      </c>
      <c r="AG138" s="92" t="str">
        <f t="shared" si="4"/>
        <v/>
      </c>
      <c r="AH138" s="92" t="str">
        <f t="shared" si="5"/>
        <v/>
      </c>
      <c r="AI138" s="92" t="str">
        <f t="shared" si="6"/>
        <v/>
      </c>
      <c r="AJ138" s="92" t="str">
        <f t="shared" si="7"/>
        <v/>
      </c>
      <c r="AK138" s="92" t="str">
        <f t="shared" si="8"/>
        <v/>
      </c>
      <c r="AL138" s="86" t="str">
        <f t="shared" si="9"/>
        <v/>
      </c>
      <c r="AM138" s="86" t="str">
        <f t="array" ref="AM138">IF(A138="","",IF(AB138&lt;&gt;1,0,IF(AND(INDEX(Companies!$R$6:$R$55,MATCH(A138,Companies!$A$6:$A$55,0))=1,INDEX(Companies!$I$6:$I$55,MATCH(A138,Companies!$A$6:$A$55,0))&gt;=MAX(10,Rules!$B$22)),1,0)))</f>
        <v/>
      </c>
      <c r="AN138" s="86" t="str">
        <f>IFERROR(__xludf.DUMMYFUNCTION("IF(A138="""","""",IFERROR(IF(AND(OR(C138=""FY0"",C138=""FY-1"",C138=""FY-2""),AD138=1,COUNTIFS($A$6:$A$205,A138,$C$6:$C$205,""FY0"",$AD$6:$AD$205,1)=1,COUNTIFS($A$6:$A$205,A138,$C$6:$C$205,""TTM"",$AD$6:$AD$205,1)=1,G138=IFNA(INDEX(FILTER($G$6:$G$205,$A$6"&amp;":$A$205=A138,$C$6:$C$205=""TTM"",$AD$6:$AD$205=1),1),""""),I138=IFNA(INDEX(FILTER($I$6:$I$205,$A$6:$A$205=A138,$C$6:$C$205=""TTM"",$AD$6:$AD$205=1),1),""""),SUMIFS($D$6:$D$205,$A$6:$A$205,A138,$C$6:$C$205,""FY0"",$AD$6:$AD$205,1)&lt;=SUMIFS($D$6:$D$205,$A$6:"&amp;"$A$205,A138,$C$6:$C$205,""TTM"",$AD$6:$AD$205,1),SUMIFS($D$6:$D$205,$A$6:$A$205,A138,$C$6:$C$205,""TTM"",$AD$6:$AD$205,1)-SUMIFS($D$6:$D$205,$A$6:$A$205,A138,$C$6:$C$205,""FY0"",$AD$6:$AD$205,1)&lt;366,ABS(D138-EDATE(SUMIFS($D$6:$D$205,$A$6:$A$205,A138,$C$6:"&amp;"$C$205,""FY0"",$AD$6:$AD$205,1),IF(C138=""FY0"",0,IF(C138=""FY-1"",-12,-24))))&lt;=31),1,0),0))"),"")</f>
        <v/>
      </c>
    </row>
    <row r="139" ht="31.5" customHeight="1">
      <c r="A139" s="85"/>
      <c r="B139" s="86" t="str">
        <f t="array" ref="B139">IF(A139="","",IF(AB139&lt;&gt;1,"Unmatched issuer",INDEX(Companies!$C$6:$C$55,MATCH(A139,Companies!$A$6:$A$55,0))))</f>
        <v/>
      </c>
      <c r="C139" s="87"/>
      <c r="D139" s="88"/>
      <c r="E139" s="88"/>
      <c r="F139" s="88"/>
      <c r="G139" s="87"/>
      <c r="H139" s="87"/>
      <c r="I139" s="85"/>
      <c r="J139" s="89"/>
      <c r="K139" s="89"/>
      <c r="L139" s="90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90"/>
      <c r="Z139" s="85"/>
      <c r="AA139" s="85"/>
      <c r="AB139" s="86" t="str">
        <f>IF(A139="","",COUNTIF(Companies!$A$6:$A$55,A139))</f>
        <v/>
      </c>
      <c r="AC139" s="86" t="str">
        <f t="shared" si="1"/>
        <v/>
      </c>
      <c r="AD139" s="86" t="str">
        <f>IF(A139="","",IFERROR(IF(AND(AB139=1,AC139=1,AM139=1,OR(C139="TTM",C139="FY0",C139="FY-1",C139="FY-2"),ISNUMBER(D139),D139&lt;=Rules!$B$6,ISNUMBER(E139),E139&gt;=D139,E139&lt;=Rules!$B$6,ISNUMBER(F139),ABS(D139-F139-365)&lt;=31,OR(G139="US GAAP",G139="IFRS"),H139="Yes",I139&lt;&gt;"",COUNT(J139:R139)=9,J139&gt;0,L139&gt;-1,L139&lt;1,M139&gt;=0,N139&gt;=0,Q139&gt;=0,R139&gt;=0,M139+O139-Q139&gt;0,N139+P139-R139&gt;0,Z139&lt;&gt;"",AA139&lt;&gt;""),1,0),0))</f>
        <v/>
      </c>
      <c r="AE139" s="91" t="str">
        <f t="shared" si="2"/>
        <v/>
      </c>
      <c r="AF139" s="91" t="str">
        <f t="shared" si="3"/>
        <v/>
      </c>
      <c r="AG139" s="92" t="str">
        <f t="shared" si="4"/>
        <v/>
      </c>
      <c r="AH139" s="92" t="str">
        <f t="shared" si="5"/>
        <v/>
      </c>
      <c r="AI139" s="92" t="str">
        <f t="shared" si="6"/>
        <v/>
      </c>
      <c r="AJ139" s="92" t="str">
        <f t="shared" si="7"/>
        <v/>
      </c>
      <c r="AK139" s="92" t="str">
        <f t="shared" si="8"/>
        <v/>
      </c>
      <c r="AL139" s="86" t="str">
        <f t="shared" si="9"/>
        <v/>
      </c>
      <c r="AM139" s="86" t="str">
        <f t="array" ref="AM139">IF(A139="","",IF(AB139&lt;&gt;1,0,IF(AND(INDEX(Companies!$R$6:$R$55,MATCH(A139,Companies!$A$6:$A$55,0))=1,INDEX(Companies!$I$6:$I$55,MATCH(A139,Companies!$A$6:$A$55,0))&gt;=MAX(10,Rules!$B$22)),1,0)))</f>
        <v/>
      </c>
      <c r="AN139" s="86" t="str">
        <f>IFERROR(__xludf.DUMMYFUNCTION("IF(A139="""","""",IFERROR(IF(AND(OR(C139=""FY0"",C139=""FY-1"",C139=""FY-2""),AD139=1,COUNTIFS($A$6:$A$205,A139,$C$6:$C$205,""FY0"",$AD$6:$AD$205,1)=1,COUNTIFS($A$6:$A$205,A139,$C$6:$C$205,""TTM"",$AD$6:$AD$205,1)=1,G139=IFNA(INDEX(FILTER($G$6:$G$205,$A$6"&amp;":$A$205=A139,$C$6:$C$205=""TTM"",$AD$6:$AD$205=1),1),""""),I139=IFNA(INDEX(FILTER($I$6:$I$205,$A$6:$A$205=A139,$C$6:$C$205=""TTM"",$AD$6:$AD$205=1),1),""""),SUMIFS($D$6:$D$205,$A$6:$A$205,A139,$C$6:$C$205,""FY0"",$AD$6:$AD$205,1)&lt;=SUMIFS($D$6:$D$205,$A$6:"&amp;"$A$205,A139,$C$6:$C$205,""TTM"",$AD$6:$AD$205,1),SUMIFS($D$6:$D$205,$A$6:$A$205,A139,$C$6:$C$205,""TTM"",$AD$6:$AD$205,1)-SUMIFS($D$6:$D$205,$A$6:$A$205,A139,$C$6:$C$205,""FY0"",$AD$6:$AD$205,1)&lt;366,ABS(D139-EDATE(SUMIFS($D$6:$D$205,$A$6:$A$205,A139,$C$6:"&amp;"$C$205,""FY0"",$AD$6:$AD$205,1),IF(C139=""FY0"",0,IF(C139=""FY-1"",-12,-24))))&lt;=31),1,0),0))"),"")</f>
        <v/>
      </c>
    </row>
    <row r="140" ht="31.5" customHeight="1">
      <c r="A140" s="85"/>
      <c r="B140" s="86" t="str">
        <f t="array" ref="B140">IF(A140="","",IF(AB140&lt;&gt;1,"Unmatched issuer",INDEX(Companies!$C$6:$C$55,MATCH(A140,Companies!$A$6:$A$55,0))))</f>
        <v/>
      </c>
      <c r="C140" s="87"/>
      <c r="D140" s="88"/>
      <c r="E140" s="88"/>
      <c r="F140" s="88"/>
      <c r="G140" s="87"/>
      <c r="H140" s="87"/>
      <c r="I140" s="85"/>
      <c r="J140" s="89"/>
      <c r="K140" s="89"/>
      <c r="L140" s="90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90"/>
      <c r="Z140" s="85"/>
      <c r="AA140" s="85"/>
      <c r="AB140" s="86" t="str">
        <f>IF(A140="","",COUNTIF(Companies!$A$6:$A$55,A140))</f>
        <v/>
      </c>
      <c r="AC140" s="86" t="str">
        <f t="shared" si="1"/>
        <v/>
      </c>
      <c r="AD140" s="86" t="str">
        <f>IF(A140="","",IFERROR(IF(AND(AB140=1,AC140=1,AM140=1,OR(C140="TTM",C140="FY0",C140="FY-1",C140="FY-2"),ISNUMBER(D140),D140&lt;=Rules!$B$6,ISNUMBER(E140),E140&gt;=D140,E140&lt;=Rules!$B$6,ISNUMBER(F140),ABS(D140-F140-365)&lt;=31,OR(G140="US GAAP",G140="IFRS"),H140="Yes",I140&lt;&gt;"",COUNT(J140:R140)=9,J140&gt;0,L140&gt;-1,L140&lt;1,M140&gt;=0,N140&gt;=0,Q140&gt;=0,R140&gt;=0,M140+O140-Q140&gt;0,N140+P140-R140&gt;0,Z140&lt;&gt;"",AA140&lt;&gt;""),1,0),0))</f>
        <v/>
      </c>
      <c r="AE140" s="91" t="str">
        <f t="shared" si="2"/>
        <v/>
      </c>
      <c r="AF140" s="91" t="str">
        <f t="shared" si="3"/>
        <v/>
      </c>
      <c r="AG140" s="92" t="str">
        <f t="shared" si="4"/>
        <v/>
      </c>
      <c r="AH140" s="92" t="str">
        <f t="shared" si="5"/>
        <v/>
      </c>
      <c r="AI140" s="92" t="str">
        <f t="shared" si="6"/>
        <v/>
      </c>
      <c r="AJ140" s="92" t="str">
        <f t="shared" si="7"/>
        <v/>
      </c>
      <c r="AK140" s="92" t="str">
        <f t="shared" si="8"/>
        <v/>
      </c>
      <c r="AL140" s="86" t="str">
        <f t="shared" si="9"/>
        <v/>
      </c>
      <c r="AM140" s="86" t="str">
        <f t="array" ref="AM140">IF(A140="","",IF(AB140&lt;&gt;1,0,IF(AND(INDEX(Companies!$R$6:$R$55,MATCH(A140,Companies!$A$6:$A$55,0))=1,INDEX(Companies!$I$6:$I$55,MATCH(A140,Companies!$A$6:$A$55,0))&gt;=MAX(10,Rules!$B$22)),1,0)))</f>
        <v/>
      </c>
      <c r="AN140" s="86" t="str">
        <f>IFERROR(__xludf.DUMMYFUNCTION("IF(A140="""","""",IFERROR(IF(AND(OR(C140=""FY0"",C140=""FY-1"",C140=""FY-2""),AD140=1,COUNTIFS($A$6:$A$205,A140,$C$6:$C$205,""FY0"",$AD$6:$AD$205,1)=1,COUNTIFS($A$6:$A$205,A140,$C$6:$C$205,""TTM"",$AD$6:$AD$205,1)=1,G140=IFNA(INDEX(FILTER($G$6:$G$205,$A$6"&amp;":$A$205=A140,$C$6:$C$205=""TTM"",$AD$6:$AD$205=1),1),""""),I140=IFNA(INDEX(FILTER($I$6:$I$205,$A$6:$A$205=A140,$C$6:$C$205=""TTM"",$AD$6:$AD$205=1),1),""""),SUMIFS($D$6:$D$205,$A$6:$A$205,A140,$C$6:$C$205,""FY0"",$AD$6:$AD$205,1)&lt;=SUMIFS($D$6:$D$205,$A$6:"&amp;"$A$205,A140,$C$6:$C$205,""TTM"",$AD$6:$AD$205,1),SUMIFS($D$6:$D$205,$A$6:$A$205,A140,$C$6:$C$205,""TTM"",$AD$6:$AD$205,1)-SUMIFS($D$6:$D$205,$A$6:$A$205,A140,$C$6:$C$205,""FY0"",$AD$6:$AD$205,1)&lt;366,ABS(D140-EDATE(SUMIFS($D$6:$D$205,$A$6:$A$205,A140,$C$6:"&amp;"$C$205,""FY0"",$AD$6:$AD$205,1),IF(C140=""FY0"",0,IF(C140=""FY-1"",-12,-24))))&lt;=31),1,0),0))"),"")</f>
        <v/>
      </c>
    </row>
    <row r="141" ht="31.5" customHeight="1">
      <c r="A141" s="85"/>
      <c r="B141" s="86" t="str">
        <f t="array" ref="B141">IF(A141="","",IF(AB141&lt;&gt;1,"Unmatched issuer",INDEX(Companies!$C$6:$C$55,MATCH(A141,Companies!$A$6:$A$55,0))))</f>
        <v/>
      </c>
      <c r="C141" s="87"/>
      <c r="D141" s="88"/>
      <c r="E141" s="88"/>
      <c r="F141" s="88"/>
      <c r="G141" s="87"/>
      <c r="H141" s="87"/>
      <c r="I141" s="85"/>
      <c r="J141" s="89"/>
      <c r="K141" s="89"/>
      <c r="L141" s="90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90"/>
      <c r="Z141" s="85"/>
      <c r="AA141" s="85"/>
      <c r="AB141" s="86" t="str">
        <f>IF(A141="","",COUNTIF(Companies!$A$6:$A$55,A141))</f>
        <v/>
      </c>
      <c r="AC141" s="86" t="str">
        <f t="shared" si="1"/>
        <v/>
      </c>
      <c r="AD141" s="86" t="str">
        <f>IF(A141="","",IFERROR(IF(AND(AB141=1,AC141=1,AM141=1,OR(C141="TTM",C141="FY0",C141="FY-1",C141="FY-2"),ISNUMBER(D141),D141&lt;=Rules!$B$6,ISNUMBER(E141),E141&gt;=D141,E141&lt;=Rules!$B$6,ISNUMBER(F141),ABS(D141-F141-365)&lt;=31,OR(G141="US GAAP",G141="IFRS"),H141="Yes",I141&lt;&gt;"",COUNT(J141:R141)=9,J141&gt;0,L141&gt;-1,L141&lt;1,M141&gt;=0,N141&gt;=0,Q141&gt;=0,R141&gt;=0,M141+O141-Q141&gt;0,N141+P141-R141&gt;0,Z141&lt;&gt;"",AA141&lt;&gt;""),1,0),0))</f>
        <v/>
      </c>
      <c r="AE141" s="91" t="str">
        <f t="shared" si="2"/>
        <v/>
      </c>
      <c r="AF141" s="91" t="str">
        <f t="shared" si="3"/>
        <v/>
      </c>
      <c r="AG141" s="92" t="str">
        <f t="shared" si="4"/>
        <v/>
      </c>
      <c r="AH141" s="92" t="str">
        <f t="shared" si="5"/>
        <v/>
      </c>
      <c r="AI141" s="92" t="str">
        <f t="shared" si="6"/>
        <v/>
      </c>
      <c r="AJ141" s="92" t="str">
        <f t="shared" si="7"/>
        <v/>
      </c>
      <c r="AK141" s="92" t="str">
        <f t="shared" si="8"/>
        <v/>
      </c>
      <c r="AL141" s="86" t="str">
        <f t="shared" si="9"/>
        <v/>
      </c>
      <c r="AM141" s="86" t="str">
        <f t="array" ref="AM141">IF(A141="","",IF(AB141&lt;&gt;1,0,IF(AND(INDEX(Companies!$R$6:$R$55,MATCH(A141,Companies!$A$6:$A$55,0))=1,INDEX(Companies!$I$6:$I$55,MATCH(A141,Companies!$A$6:$A$55,0))&gt;=MAX(10,Rules!$B$22)),1,0)))</f>
        <v/>
      </c>
      <c r="AN141" s="86" t="str">
        <f>IFERROR(__xludf.DUMMYFUNCTION("IF(A141="""","""",IFERROR(IF(AND(OR(C141=""FY0"",C141=""FY-1"",C141=""FY-2""),AD141=1,COUNTIFS($A$6:$A$205,A141,$C$6:$C$205,""FY0"",$AD$6:$AD$205,1)=1,COUNTIFS($A$6:$A$205,A141,$C$6:$C$205,""TTM"",$AD$6:$AD$205,1)=1,G141=IFNA(INDEX(FILTER($G$6:$G$205,$A$6"&amp;":$A$205=A141,$C$6:$C$205=""TTM"",$AD$6:$AD$205=1),1),""""),I141=IFNA(INDEX(FILTER($I$6:$I$205,$A$6:$A$205=A141,$C$6:$C$205=""TTM"",$AD$6:$AD$205=1),1),""""),SUMIFS($D$6:$D$205,$A$6:$A$205,A141,$C$6:$C$205,""FY0"",$AD$6:$AD$205,1)&lt;=SUMIFS($D$6:$D$205,$A$6:"&amp;"$A$205,A141,$C$6:$C$205,""TTM"",$AD$6:$AD$205,1),SUMIFS($D$6:$D$205,$A$6:$A$205,A141,$C$6:$C$205,""TTM"",$AD$6:$AD$205,1)-SUMIFS($D$6:$D$205,$A$6:$A$205,A141,$C$6:$C$205,""FY0"",$AD$6:$AD$205,1)&lt;366,ABS(D141-EDATE(SUMIFS($D$6:$D$205,$A$6:$A$205,A141,$C$6:"&amp;"$C$205,""FY0"",$AD$6:$AD$205,1),IF(C141=""FY0"",0,IF(C141=""FY-1"",-12,-24))))&lt;=31),1,0),0))"),"")</f>
        <v/>
      </c>
    </row>
    <row r="142" ht="31.5" customHeight="1">
      <c r="A142" s="85"/>
      <c r="B142" s="86" t="str">
        <f t="array" ref="B142">IF(A142="","",IF(AB142&lt;&gt;1,"Unmatched issuer",INDEX(Companies!$C$6:$C$55,MATCH(A142,Companies!$A$6:$A$55,0))))</f>
        <v/>
      </c>
      <c r="C142" s="87"/>
      <c r="D142" s="88"/>
      <c r="E142" s="88"/>
      <c r="F142" s="88"/>
      <c r="G142" s="87"/>
      <c r="H142" s="87"/>
      <c r="I142" s="85"/>
      <c r="J142" s="89"/>
      <c r="K142" s="89"/>
      <c r="L142" s="90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90"/>
      <c r="Z142" s="85"/>
      <c r="AA142" s="85"/>
      <c r="AB142" s="86" t="str">
        <f>IF(A142="","",COUNTIF(Companies!$A$6:$A$55,A142))</f>
        <v/>
      </c>
      <c r="AC142" s="86" t="str">
        <f t="shared" si="1"/>
        <v/>
      </c>
      <c r="AD142" s="86" t="str">
        <f>IF(A142="","",IFERROR(IF(AND(AB142=1,AC142=1,AM142=1,OR(C142="TTM",C142="FY0",C142="FY-1",C142="FY-2"),ISNUMBER(D142),D142&lt;=Rules!$B$6,ISNUMBER(E142),E142&gt;=D142,E142&lt;=Rules!$B$6,ISNUMBER(F142),ABS(D142-F142-365)&lt;=31,OR(G142="US GAAP",G142="IFRS"),H142="Yes",I142&lt;&gt;"",COUNT(J142:R142)=9,J142&gt;0,L142&gt;-1,L142&lt;1,M142&gt;=0,N142&gt;=0,Q142&gt;=0,R142&gt;=0,M142+O142-Q142&gt;0,N142+P142-R142&gt;0,Z142&lt;&gt;"",AA142&lt;&gt;""),1,0),0))</f>
        <v/>
      </c>
      <c r="AE142" s="91" t="str">
        <f t="shared" si="2"/>
        <v/>
      </c>
      <c r="AF142" s="91" t="str">
        <f t="shared" si="3"/>
        <v/>
      </c>
      <c r="AG142" s="92" t="str">
        <f t="shared" si="4"/>
        <v/>
      </c>
      <c r="AH142" s="92" t="str">
        <f t="shared" si="5"/>
        <v/>
      </c>
      <c r="AI142" s="92" t="str">
        <f t="shared" si="6"/>
        <v/>
      </c>
      <c r="AJ142" s="92" t="str">
        <f t="shared" si="7"/>
        <v/>
      </c>
      <c r="AK142" s="92" t="str">
        <f t="shared" si="8"/>
        <v/>
      </c>
      <c r="AL142" s="86" t="str">
        <f t="shared" si="9"/>
        <v/>
      </c>
      <c r="AM142" s="86" t="str">
        <f t="array" ref="AM142">IF(A142="","",IF(AB142&lt;&gt;1,0,IF(AND(INDEX(Companies!$R$6:$R$55,MATCH(A142,Companies!$A$6:$A$55,0))=1,INDEX(Companies!$I$6:$I$55,MATCH(A142,Companies!$A$6:$A$55,0))&gt;=MAX(10,Rules!$B$22)),1,0)))</f>
        <v/>
      </c>
      <c r="AN142" s="86" t="str">
        <f>IFERROR(__xludf.DUMMYFUNCTION("IF(A142="""","""",IFERROR(IF(AND(OR(C142=""FY0"",C142=""FY-1"",C142=""FY-2""),AD142=1,COUNTIFS($A$6:$A$205,A142,$C$6:$C$205,""FY0"",$AD$6:$AD$205,1)=1,COUNTIFS($A$6:$A$205,A142,$C$6:$C$205,""TTM"",$AD$6:$AD$205,1)=1,G142=IFNA(INDEX(FILTER($G$6:$G$205,$A$6"&amp;":$A$205=A142,$C$6:$C$205=""TTM"",$AD$6:$AD$205=1),1),""""),I142=IFNA(INDEX(FILTER($I$6:$I$205,$A$6:$A$205=A142,$C$6:$C$205=""TTM"",$AD$6:$AD$205=1),1),""""),SUMIFS($D$6:$D$205,$A$6:$A$205,A142,$C$6:$C$205,""FY0"",$AD$6:$AD$205,1)&lt;=SUMIFS($D$6:$D$205,$A$6:"&amp;"$A$205,A142,$C$6:$C$205,""TTM"",$AD$6:$AD$205,1),SUMIFS($D$6:$D$205,$A$6:$A$205,A142,$C$6:$C$205,""TTM"",$AD$6:$AD$205,1)-SUMIFS($D$6:$D$205,$A$6:$A$205,A142,$C$6:$C$205,""FY0"",$AD$6:$AD$205,1)&lt;366,ABS(D142-EDATE(SUMIFS($D$6:$D$205,$A$6:$A$205,A142,$C$6:"&amp;"$C$205,""FY0"",$AD$6:$AD$205,1),IF(C142=""FY0"",0,IF(C142=""FY-1"",-12,-24))))&lt;=31),1,0),0))"),"")</f>
        <v/>
      </c>
    </row>
    <row r="143" ht="31.5" customHeight="1">
      <c r="A143" s="85"/>
      <c r="B143" s="86" t="str">
        <f t="array" ref="B143">IF(A143="","",IF(AB143&lt;&gt;1,"Unmatched issuer",INDEX(Companies!$C$6:$C$55,MATCH(A143,Companies!$A$6:$A$55,0))))</f>
        <v/>
      </c>
      <c r="C143" s="87"/>
      <c r="D143" s="88"/>
      <c r="E143" s="88"/>
      <c r="F143" s="88"/>
      <c r="G143" s="87"/>
      <c r="H143" s="87"/>
      <c r="I143" s="85"/>
      <c r="J143" s="89"/>
      <c r="K143" s="89"/>
      <c r="L143" s="90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90"/>
      <c r="Z143" s="85"/>
      <c r="AA143" s="85"/>
      <c r="AB143" s="86" t="str">
        <f>IF(A143="","",COUNTIF(Companies!$A$6:$A$55,A143))</f>
        <v/>
      </c>
      <c r="AC143" s="86" t="str">
        <f t="shared" si="1"/>
        <v/>
      </c>
      <c r="AD143" s="86" t="str">
        <f>IF(A143="","",IFERROR(IF(AND(AB143=1,AC143=1,AM143=1,OR(C143="TTM",C143="FY0",C143="FY-1",C143="FY-2"),ISNUMBER(D143),D143&lt;=Rules!$B$6,ISNUMBER(E143),E143&gt;=D143,E143&lt;=Rules!$B$6,ISNUMBER(F143),ABS(D143-F143-365)&lt;=31,OR(G143="US GAAP",G143="IFRS"),H143="Yes",I143&lt;&gt;"",COUNT(J143:R143)=9,J143&gt;0,L143&gt;-1,L143&lt;1,M143&gt;=0,N143&gt;=0,Q143&gt;=0,R143&gt;=0,M143+O143-Q143&gt;0,N143+P143-R143&gt;0,Z143&lt;&gt;"",AA143&lt;&gt;""),1,0),0))</f>
        <v/>
      </c>
      <c r="AE143" s="91" t="str">
        <f t="shared" si="2"/>
        <v/>
      </c>
      <c r="AF143" s="91" t="str">
        <f t="shared" si="3"/>
        <v/>
      </c>
      <c r="AG143" s="92" t="str">
        <f t="shared" si="4"/>
        <v/>
      </c>
      <c r="AH143" s="92" t="str">
        <f t="shared" si="5"/>
        <v/>
      </c>
      <c r="AI143" s="92" t="str">
        <f t="shared" si="6"/>
        <v/>
      </c>
      <c r="AJ143" s="92" t="str">
        <f t="shared" si="7"/>
        <v/>
      </c>
      <c r="AK143" s="92" t="str">
        <f t="shared" si="8"/>
        <v/>
      </c>
      <c r="AL143" s="86" t="str">
        <f t="shared" si="9"/>
        <v/>
      </c>
      <c r="AM143" s="86" t="str">
        <f t="array" ref="AM143">IF(A143="","",IF(AB143&lt;&gt;1,0,IF(AND(INDEX(Companies!$R$6:$R$55,MATCH(A143,Companies!$A$6:$A$55,0))=1,INDEX(Companies!$I$6:$I$55,MATCH(A143,Companies!$A$6:$A$55,0))&gt;=MAX(10,Rules!$B$22)),1,0)))</f>
        <v/>
      </c>
      <c r="AN143" s="86" t="str">
        <f>IFERROR(__xludf.DUMMYFUNCTION("IF(A143="""","""",IFERROR(IF(AND(OR(C143=""FY0"",C143=""FY-1"",C143=""FY-2""),AD143=1,COUNTIFS($A$6:$A$205,A143,$C$6:$C$205,""FY0"",$AD$6:$AD$205,1)=1,COUNTIFS($A$6:$A$205,A143,$C$6:$C$205,""TTM"",$AD$6:$AD$205,1)=1,G143=IFNA(INDEX(FILTER($G$6:$G$205,$A$6"&amp;":$A$205=A143,$C$6:$C$205=""TTM"",$AD$6:$AD$205=1),1),""""),I143=IFNA(INDEX(FILTER($I$6:$I$205,$A$6:$A$205=A143,$C$6:$C$205=""TTM"",$AD$6:$AD$205=1),1),""""),SUMIFS($D$6:$D$205,$A$6:$A$205,A143,$C$6:$C$205,""FY0"",$AD$6:$AD$205,1)&lt;=SUMIFS($D$6:$D$205,$A$6:"&amp;"$A$205,A143,$C$6:$C$205,""TTM"",$AD$6:$AD$205,1),SUMIFS($D$6:$D$205,$A$6:$A$205,A143,$C$6:$C$205,""TTM"",$AD$6:$AD$205,1)-SUMIFS($D$6:$D$205,$A$6:$A$205,A143,$C$6:$C$205,""FY0"",$AD$6:$AD$205,1)&lt;366,ABS(D143-EDATE(SUMIFS($D$6:$D$205,$A$6:$A$205,A143,$C$6:"&amp;"$C$205,""FY0"",$AD$6:$AD$205,1),IF(C143=""FY0"",0,IF(C143=""FY-1"",-12,-24))))&lt;=31),1,0),0))"),"")</f>
        <v/>
      </c>
    </row>
    <row r="144" ht="31.5" customHeight="1">
      <c r="A144" s="85"/>
      <c r="B144" s="86" t="str">
        <f t="array" ref="B144">IF(A144="","",IF(AB144&lt;&gt;1,"Unmatched issuer",INDEX(Companies!$C$6:$C$55,MATCH(A144,Companies!$A$6:$A$55,0))))</f>
        <v/>
      </c>
      <c r="C144" s="87"/>
      <c r="D144" s="88"/>
      <c r="E144" s="88"/>
      <c r="F144" s="88"/>
      <c r="G144" s="87"/>
      <c r="H144" s="87"/>
      <c r="I144" s="85"/>
      <c r="J144" s="89"/>
      <c r="K144" s="89"/>
      <c r="L144" s="90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90"/>
      <c r="Z144" s="85"/>
      <c r="AA144" s="85"/>
      <c r="AB144" s="86" t="str">
        <f>IF(A144="","",COUNTIF(Companies!$A$6:$A$55,A144))</f>
        <v/>
      </c>
      <c r="AC144" s="86" t="str">
        <f t="shared" si="1"/>
        <v/>
      </c>
      <c r="AD144" s="86" t="str">
        <f>IF(A144="","",IFERROR(IF(AND(AB144=1,AC144=1,AM144=1,OR(C144="TTM",C144="FY0",C144="FY-1",C144="FY-2"),ISNUMBER(D144),D144&lt;=Rules!$B$6,ISNUMBER(E144),E144&gt;=D144,E144&lt;=Rules!$B$6,ISNUMBER(F144),ABS(D144-F144-365)&lt;=31,OR(G144="US GAAP",G144="IFRS"),H144="Yes",I144&lt;&gt;"",COUNT(J144:R144)=9,J144&gt;0,L144&gt;-1,L144&lt;1,M144&gt;=0,N144&gt;=0,Q144&gt;=0,R144&gt;=0,M144+O144-Q144&gt;0,N144+P144-R144&gt;0,Z144&lt;&gt;"",AA144&lt;&gt;""),1,0),0))</f>
        <v/>
      </c>
      <c r="AE144" s="91" t="str">
        <f t="shared" si="2"/>
        <v/>
      </c>
      <c r="AF144" s="91" t="str">
        <f t="shared" si="3"/>
        <v/>
      </c>
      <c r="AG144" s="92" t="str">
        <f t="shared" si="4"/>
        <v/>
      </c>
      <c r="AH144" s="92" t="str">
        <f t="shared" si="5"/>
        <v/>
      </c>
      <c r="AI144" s="92" t="str">
        <f t="shared" si="6"/>
        <v/>
      </c>
      <c r="AJ144" s="92" t="str">
        <f t="shared" si="7"/>
        <v/>
      </c>
      <c r="AK144" s="92" t="str">
        <f t="shared" si="8"/>
        <v/>
      </c>
      <c r="AL144" s="86" t="str">
        <f t="shared" si="9"/>
        <v/>
      </c>
      <c r="AM144" s="86" t="str">
        <f t="array" ref="AM144">IF(A144="","",IF(AB144&lt;&gt;1,0,IF(AND(INDEX(Companies!$R$6:$R$55,MATCH(A144,Companies!$A$6:$A$55,0))=1,INDEX(Companies!$I$6:$I$55,MATCH(A144,Companies!$A$6:$A$55,0))&gt;=MAX(10,Rules!$B$22)),1,0)))</f>
        <v/>
      </c>
      <c r="AN144" s="86" t="str">
        <f>IFERROR(__xludf.DUMMYFUNCTION("IF(A144="""","""",IFERROR(IF(AND(OR(C144=""FY0"",C144=""FY-1"",C144=""FY-2""),AD144=1,COUNTIFS($A$6:$A$205,A144,$C$6:$C$205,""FY0"",$AD$6:$AD$205,1)=1,COUNTIFS($A$6:$A$205,A144,$C$6:$C$205,""TTM"",$AD$6:$AD$205,1)=1,G144=IFNA(INDEX(FILTER($G$6:$G$205,$A$6"&amp;":$A$205=A144,$C$6:$C$205=""TTM"",$AD$6:$AD$205=1),1),""""),I144=IFNA(INDEX(FILTER($I$6:$I$205,$A$6:$A$205=A144,$C$6:$C$205=""TTM"",$AD$6:$AD$205=1),1),""""),SUMIFS($D$6:$D$205,$A$6:$A$205,A144,$C$6:$C$205,""FY0"",$AD$6:$AD$205,1)&lt;=SUMIFS($D$6:$D$205,$A$6:"&amp;"$A$205,A144,$C$6:$C$205,""TTM"",$AD$6:$AD$205,1),SUMIFS($D$6:$D$205,$A$6:$A$205,A144,$C$6:$C$205,""TTM"",$AD$6:$AD$205,1)-SUMIFS($D$6:$D$205,$A$6:$A$205,A144,$C$6:$C$205,""FY0"",$AD$6:$AD$205,1)&lt;366,ABS(D144-EDATE(SUMIFS($D$6:$D$205,$A$6:$A$205,A144,$C$6:"&amp;"$C$205,""FY0"",$AD$6:$AD$205,1),IF(C144=""FY0"",0,IF(C144=""FY-1"",-12,-24))))&lt;=31),1,0),0))"),"")</f>
        <v/>
      </c>
    </row>
    <row r="145" ht="31.5" customHeight="1">
      <c r="A145" s="85"/>
      <c r="B145" s="86" t="str">
        <f t="array" ref="B145">IF(A145="","",IF(AB145&lt;&gt;1,"Unmatched issuer",INDEX(Companies!$C$6:$C$55,MATCH(A145,Companies!$A$6:$A$55,0))))</f>
        <v/>
      </c>
      <c r="C145" s="87"/>
      <c r="D145" s="88"/>
      <c r="E145" s="88"/>
      <c r="F145" s="88"/>
      <c r="G145" s="87"/>
      <c r="H145" s="87"/>
      <c r="I145" s="85"/>
      <c r="J145" s="89"/>
      <c r="K145" s="89"/>
      <c r="L145" s="90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90"/>
      <c r="Z145" s="85"/>
      <c r="AA145" s="85"/>
      <c r="AB145" s="86" t="str">
        <f>IF(A145="","",COUNTIF(Companies!$A$6:$A$55,A145))</f>
        <v/>
      </c>
      <c r="AC145" s="86" t="str">
        <f t="shared" si="1"/>
        <v/>
      </c>
      <c r="AD145" s="86" t="str">
        <f>IF(A145="","",IFERROR(IF(AND(AB145=1,AC145=1,AM145=1,OR(C145="TTM",C145="FY0",C145="FY-1",C145="FY-2"),ISNUMBER(D145),D145&lt;=Rules!$B$6,ISNUMBER(E145),E145&gt;=D145,E145&lt;=Rules!$B$6,ISNUMBER(F145),ABS(D145-F145-365)&lt;=31,OR(G145="US GAAP",G145="IFRS"),H145="Yes",I145&lt;&gt;"",COUNT(J145:R145)=9,J145&gt;0,L145&gt;-1,L145&lt;1,M145&gt;=0,N145&gt;=0,Q145&gt;=0,R145&gt;=0,M145+O145-Q145&gt;0,N145+P145-R145&gt;0,Z145&lt;&gt;"",AA145&lt;&gt;""),1,0),0))</f>
        <v/>
      </c>
      <c r="AE145" s="91" t="str">
        <f t="shared" si="2"/>
        <v/>
      </c>
      <c r="AF145" s="91" t="str">
        <f t="shared" si="3"/>
        <v/>
      </c>
      <c r="AG145" s="92" t="str">
        <f t="shared" si="4"/>
        <v/>
      </c>
      <c r="AH145" s="92" t="str">
        <f t="shared" si="5"/>
        <v/>
      </c>
      <c r="AI145" s="92" t="str">
        <f t="shared" si="6"/>
        <v/>
      </c>
      <c r="AJ145" s="92" t="str">
        <f t="shared" si="7"/>
        <v/>
      </c>
      <c r="AK145" s="92" t="str">
        <f t="shared" si="8"/>
        <v/>
      </c>
      <c r="AL145" s="86" t="str">
        <f t="shared" si="9"/>
        <v/>
      </c>
      <c r="AM145" s="86" t="str">
        <f t="array" ref="AM145">IF(A145="","",IF(AB145&lt;&gt;1,0,IF(AND(INDEX(Companies!$R$6:$R$55,MATCH(A145,Companies!$A$6:$A$55,0))=1,INDEX(Companies!$I$6:$I$55,MATCH(A145,Companies!$A$6:$A$55,0))&gt;=MAX(10,Rules!$B$22)),1,0)))</f>
        <v/>
      </c>
      <c r="AN145" s="86" t="str">
        <f>IFERROR(__xludf.DUMMYFUNCTION("IF(A145="""","""",IFERROR(IF(AND(OR(C145=""FY0"",C145=""FY-1"",C145=""FY-2""),AD145=1,COUNTIFS($A$6:$A$205,A145,$C$6:$C$205,""FY0"",$AD$6:$AD$205,1)=1,COUNTIFS($A$6:$A$205,A145,$C$6:$C$205,""TTM"",$AD$6:$AD$205,1)=1,G145=IFNA(INDEX(FILTER($G$6:$G$205,$A$6"&amp;":$A$205=A145,$C$6:$C$205=""TTM"",$AD$6:$AD$205=1),1),""""),I145=IFNA(INDEX(FILTER($I$6:$I$205,$A$6:$A$205=A145,$C$6:$C$205=""TTM"",$AD$6:$AD$205=1),1),""""),SUMIFS($D$6:$D$205,$A$6:$A$205,A145,$C$6:$C$205,""FY0"",$AD$6:$AD$205,1)&lt;=SUMIFS($D$6:$D$205,$A$6:"&amp;"$A$205,A145,$C$6:$C$205,""TTM"",$AD$6:$AD$205,1),SUMIFS($D$6:$D$205,$A$6:$A$205,A145,$C$6:$C$205,""TTM"",$AD$6:$AD$205,1)-SUMIFS($D$6:$D$205,$A$6:$A$205,A145,$C$6:$C$205,""FY0"",$AD$6:$AD$205,1)&lt;366,ABS(D145-EDATE(SUMIFS($D$6:$D$205,$A$6:$A$205,A145,$C$6:"&amp;"$C$205,""FY0"",$AD$6:$AD$205,1),IF(C145=""FY0"",0,IF(C145=""FY-1"",-12,-24))))&lt;=31),1,0),0))"),"")</f>
        <v/>
      </c>
    </row>
    <row r="146" ht="31.5" customHeight="1">
      <c r="A146" s="85"/>
      <c r="B146" s="86" t="str">
        <f t="array" ref="B146">IF(A146="","",IF(AB146&lt;&gt;1,"Unmatched issuer",INDEX(Companies!$C$6:$C$55,MATCH(A146,Companies!$A$6:$A$55,0))))</f>
        <v/>
      </c>
      <c r="C146" s="87"/>
      <c r="D146" s="88"/>
      <c r="E146" s="88"/>
      <c r="F146" s="88"/>
      <c r="G146" s="87"/>
      <c r="H146" s="87"/>
      <c r="I146" s="85"/>
      <c r="J146" s="89"/>
      <c r="K146" s="89"/>
      <c r="L146" s="90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90"/>
      <c r="Z146" s="85"/>
      <c r="AA146" s="85"/>
      <c r="AB146" s="86" t="str">
        <f>IF(A146="","",COUNTIF(Companies!$A$6:$A$55,A146))</f>
        <v/>
      </c>
      <c r="AC146" s="86" t="str">
        <f t="shared" si="1"/>
        <v/>
      </c>
      <c r="AD146" s="86" t="str">
        <f>IF(A146="","",IFERROR(IF(AND(AB146=1,AC146=1,AM146=1,OR(C146="TTM",C146="FY0",C146="FY-1",C146="FY-2"),ISNUMBER(D146),D146&lt;=Rules!$B$6,ISNUMBER(E146),E146&gt;=D146,E146&lt;=Rules!$B$6,ISNUMBER(F146),ABS(D146-F146-365)&lt;=31,OR(G146="US GAAP",G146="IFRS"),H146="Yes",I146&lt;&gt;"",COUNT(J146:R146)=9,J146&gt;0,L146&gt;-1,L146&lt;1,M146&gt;=0,N146&gt;=0,Q146&gt;=0,R146&gt;=0,M146+O146-Q146&gt;0,N146+P146-R146&gt;0,Z146&lt;&gt;"",AA146&lt;&gt;""),1,0),0))</f>
        <v/>
      </c>
      <c r="AE146" s="91" t="str">
        <f t="shared" si="2"/>
        <v/>
      </c>
      <c r="AF146" s="91" t="str">
        <f t="shared" si="3"/>
        <v/>
      </c>
      <c r="AG146" s="92" t="str">
        <f t="shared" si="4"/>
        <v/>
      </c>
      <c r="AH146" s="92" t="str">
        <f t="shared" si="5"/>
        <v/>
      </c>
      <c r="AI146" s="92" t="str">
        <f t="shared" si="6"/>
        <v/>
      </c>
      <c r="AJ146" s="92" t="str">
        <f t="shared" si="7"/>
        <v/>
      </c>
      <c r="AK146" s="92" t="str">
        <f t="shared" si="8"/>
        <v/>
      </c>
      <c r="AL146" s="86" t="str">
        <f t="shared" si="9"/>
        <v/>
      </c>
      <c r="AM146" s="86" t="str">
        <f t="array" ref="AM146">IF(A146="","",IF(AB146&lt;&gt;1,0,IF(AND(INDEX(Companies!$R$6:$R$55,MATCH(A146,Companies!$A$6:$A$55,0))=1,INDEX(Companies!$I$6:$I$55,MATCH(A146,Companies!$A$6:$A$55,0))&gt;=MAX(10,Rules!$B$22)),1,0)))</f>
        <v/>
      </c>
      <c r="AN146" s="86" t="str">
        <f>IFERROR(__xludf.DUMMYFUNCTION("IF(A146="""","""",IFERROR(IF(AND(OR(C146=""FY0"",C146=""FY-1"",C146=""FY-2""),AD146=1,COUNTIFS($A$6:$A$205,A146,$C$6:$C$205,""FY0"",$AD$6:$AD$205,1)=1,COUNTIFS($A$6:$A$205,A146,$C$6:$C$205,""TTM"",$AD$6:$AD$205,1)=1,G146=IFNA(INDEX(FILTER($G$6:$G$205,$A$6"&amp;":$A$205=A146,$C$6:$C$205=""TTM"",$AD$6:$AD$205=1),1),""""),I146=IFNA(INDEX(FILTER($I$6:$I$205,$A$6:$A$205=A146,$C$6:$C$205=""TTM"",$AD$6:$AD$205=1),1),""""),SUMIFS($D$6:$D$205,$A$6:$A$205,A146,$C$6:$C$205,""FY0"",$AD$6:$AD$205,1)&lt;=SUMIFS($D$6:$D$205,$A$6:"&amp;"$A$205,A146,$C$6:$C$205,""TTM"",$AD$6:$AD$205,1),SUMIFS($D$6:$D$205,$A$6:$A$205,A146,$C$6:$C$205,""TTM"",$AD$6:$AD$205,1)-SUMIFS($D$6:$D$205,$A$6:$A$205,A146,$C$6:$C$205,""FY0"",$AD$6:$AD$205,1)&lt;366,ABS(D146-EDATE(SUMIFS($D$6:$D$205,$A$6:$A$205,A146,$C$6:"&amp;"$C$205,""FY0"",$AD$6:$AD$205,1),IF(C146=""FY0"",0,IF(C146=""FY-1"",-12,-24))))&lt;=31),1,0),0))"),"")</f>
        <v/>
      </c>
    </row>
    <row r="147" ht="31.5" customHeight="1">
      <c r="A147" s="85"/>
      <c r="B147" s="86" t="str">
        <f t="array" ref="B147">IF(A147="","",IF(AB147&lt;&gt;1,"Unmatched issuer",INDEX(Companies!$C$6:$C$55,MATCH(A147,Companies!$A$6:$A$55,0))))</f>
        <v/>
      </c>
      <c r="C147" s="87"/>
      <c r="D147" s="88"/>
      <c r="E147" s="88"/>
      <c r="F147" s="88"/>
      <c r="G147" s="87"/>
      <c r="H147" s="87"/>
      <c r="I147" s="85"/>
      <c r="J147" s="89"/>
      <c r="K147" s="89"/>
      <c r="L147" s="90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90"/>
      <c r="Z147" s="85"/>
      <c r="AA147" s="85"/>
      <c r="AB147" s="86" t="str">
        <f>IF(A147="","",COUNTIF(Companies!$A$6:$A$55,A147))</f>
        <v/>
      </c>
      <c r="AC147" s="86" t="str">
        <f t="shared" si="1"/>
        <v/>
      </c>
      <c r="AD147" s="86" t="str">
        <f>IF(A147="","",IFERROR(IF(AND(AB147=1,AC147=1,AM147=1,OR(C147="TTM",C147="FY0",C147="FY-1",C147="FY-2"),ISNUMBER(D147),D147&lt;=Rules!$B$6,ISNUMBER(E147),E147&gt;=D147,E147&lt;=Rules!$B$6,ISNUMBER(F147),ABS(D147-F147-365)&lt;=31,OR(G147="US GAAP",G147="IFRS"),H147="Yes",I147&lt;&gt;"",COUNT(J147:R147)=9,J147&gt;0,L147&gt;-1,L147&lt;1,M147&gt;=0,N147&gt;=0,Q147&gt;=0,R147&gt;=0,M147+O147-Q147&gt;0,N147+P147-R147&gt;0,Z147&lt;&gt;"",AA147&lt;&gt;""),1,0),0))</f>
        <v/>
      </c>
      <c r="AE147" s="91" t="str">
        <f t="shared" si="2"/>
        <v/>
      </c>
      <c r="AF147" s="91" t="str">
        <f t="shared" si="3"/>
        <v/>
      </c>
      <c r="AG147" s="92" t="str">
        <f t="shared" si="4"/>
        <v/>
      </c>
      <c r="AH147" s="92" t="str">
        <f t="shared" si="5"/>
        <v/>
      </c>
      <c r="AI147" s="92" t="str">
        <f t="shared" si="6"/>
        <v/>
      </c>
      <c r="AJ147" s="92" t="str">
        <f t="shared" si="7"/>
        <v/>
      </c>
      <c r="AK147" s="92" t="str">
        <f t="shared" si="8"/>
        <v/>
      </c>
      <c r="AL147" s="86" t="str">
        <f t="shared" si="9"/>
        <v/>
      </c>
      <c r="AM147" s="86" t="str">
        <f t="array" ref="AM147">IF(A147="","",IF(AB147&lt;&gt;1,0,IF(AND(INDEX(Companies!$R$6:$R$55,MATCH(A147,Companies!$A$6:$A$55,0))=1,INDEX(Companies!$I$6:$I$55,MATCH(A147,Companies!$A$6:$A$55,0))&gt;=MAX(10,Rules!$B$22)),1,0)))</f>
        <v/>
      </c>
      <c r="AN147" s="86" t="str">
        <f>IFERROR(__xludf.DUMMYFUNCTION("IF(A147="""","""",IFERROR(IF(AND(OR(C147=""FY0"",C147=""FY-1"",C147=""FY-2""),AD147=1,COUNTIFS($A$6:$A$205,A147,$C$6:$C$205,""FY0"",$AD$6:$AD$205,1)=1,COUNTIFS($A$6:$A$205,A147,$C$6:$C$205,""TTM"",$AD$6:$AD$205,1)=1,G147=IFNA(INDEX(FILTER($G$6:$G$205,$A$6"&amp;":$A$205=A147,$C$6:$C$205=""TTM"",$AD$6:$AD$205=1),1),""""),I147=IFNA(INDEX(FILTER($I$6:$I$205,$A$6:$A$205=A147,$C$6:$C$205=""TTM"",$AD$6:$AD$205=1),1),""""),SUMIFS($D$6:$D$205,$A$6:$A$205,A147,$C$6:$C$205,""FY0"",$AD$6:$AD$205,1)&lt;=SUMIFS($D$6:$D$205,$A$6:"&amp;"$A$205,A147,$C$6:$C$205,""TTM"",$AD$6:$AD$205,1),SUMIFS($D$6:$D$205,$A$6:$A$205,A147,$C$6:$C$205,""TTM"",$AD$6:$AD$205,1)-SUMIFS($D$6:$D$205,$A$6:$A$205,A147,$C$6:$C$205,""FY0"",$AD$6:$AD$205,1)&lt;366,ABS(D147-EDATE(SUMIFS($D$6:$D$205,$A$6:$A$205,A147,$C$6:"&amp;"$C$205,""FY0"",$AD$6:$AD$205,1),IF(C147=""FY0"",0,IF(C147=""FY-1"",-12,-24))))&lt;=31),1,0),0))"),"")</f>
        <v/>
      </c>
    </row>
    <row r="148" ht="31.5" customHeight="1">
      <c r="A148" s="85"/>
      <c r="B148" s="86" t="str">
        <f t="array" ref="B148">IF(A148="","",IF(AB148&lt;&gt;1,"Unmatched issuer",INDEX(Companies!$C$6:$C$55,MATCH(A148,Companies!$A$6:$A$55,0))))</f>
        <v/>
      </c>
      <c r="C148" s="87"/>
      <c r="D148" s="88"/>
      <c r="E148" s="88"/>
      <c r="F148" s="88"/>
      <c r="G148" s="87"/>
      <c r="H148" s="87"/>
      <c r="I148" s="85"/>
      <c r="J148" s="89"/>
      <c r="K148" s="89"/>
      <c r="L148" s="90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90"/>
      <c r="Z148" s="85"/>
      <c r="AA148" s="85"/>
      <c r="AB148" s="86" t="str">
        <f>IF(A148="","",COUNTIF(Companies!$A$6:$A$55,A148))</f>
        <v/>
      </c>
      <c r="AC148" s="86" t="str">
        <f t="shared" si="1"/>
        <v/>
      </c>
      <c r="AD148" s="86" t="str">
        <f>IF(A148="","",IFERROR(IF(AND(AB148=1,AC148=1,AM148=1,OR(C148="TTM",C148="FY0",C148="FY-1",C148="FY-2"),ISNUMBER(D148),D148&lt;=Rules!$B$6,ISNUMBER(E148),E148&gt;=D148,E148&lt;=Rules!$B$6,ISNUMBER(F148),ABS(D148-F148-365)&lt;=31,OR(G148="US GAAP",G148="IFRS"),H148="Yes",I148&lt;&gt;"",COUNT(J148:R148)=9,J148&gt;0,L148&gt;-1,L148&lt;1,M148&gt;=0,N148&gt;=0,Q148&gt;=0,R148&gt;=0,M148+O148-Q148&gt;0,N148+P148-R148&gt;0,Z148&lt;&gt;"",AA148&lt;&gt;""),1,0),0))</f>
        <v/>
      </c>
      <c r="AE148" s="91" t="str">
        <f t="shared" si="2"/>
        <v/>
      </c>
      <c r="AF148" s="91" t="str">
        <f t="shared" si="3"/>
        <v/>
      </c>
      <c r="AG148" s="92" t="str">
        <f t="shared" si="4"/>
        <v/>
      </c>
      <c r="AH148" s="92" t="str">
        <f t="shared" si="5"/>
        <v/>
      </c>
      <c r="AI148" s="92" t="str">
        <f t="shared" si="6"/>
        <v/>
      </c>
      <c r="AJ148" s="92" t="str">
        <f t="shared" si="7"/>
        <v/>
      </c>
      <c r="AK148" s="92" t="str">
        <f t="shared" si="8"/>
        <v/>
      </c>
      <c r="AL148" s="86" t="str">
        <f t="shared" si="9"/>
        <v/>
      </c>
      <c r="AM148" s="86" t="str">
        <f t="array" ref="AM148">IF(A148="","",IF(AB148&lt;&gt;1,0,IF(AND(INDEX(Companies!$R$6:$R$55,MATCH(A148,Companies!$A$6:$A$55,0))=1,INDEX(Companies!$I$6:$I$55,MATCH(A148,Companies!$A$6:$A$55,0))&gt;=MAX(10,Rules!$B$22)),1,0)))</f>
        <v/>
      </c>
      <c r="AN148" s="86" t="str">
        <f>IFERROR(__xludf.DUMMYFUNCTION("IF(A148="""","""",IFERROR(IF(AND(OR(C148=""FY0"",C148=""FY-1"",C148=""FY-2""),AD148=1,COUNTIFS($A$6:$A$205,A148,$C$6:$C$205,""FY0"",$AD$6:$AD$205,1)=1,COUNTIFS($A$6:$A$205,A148,$C$6:$C$205,""TTM"",$AD$6:$AD$205,1)=1,G148=IFNA(INDEX(FILTER($G$6:$G$205,$A$6"&amp;":$A$205=A148,$C$6:$C$205=""TTM"",$AD$6:$AD$205=1),1),""""),I148=IFNA(INDEX(FILTER($I$6:$I$205,$A$6:$A$205=A148,$C$6:$C$205=""TTM"",$AD$6:$AD$205=1),1),""""),SUMIFS($D$6:$D$205,$A$6:$A$205,A148,$C$6:$C$205,""FY0"",$AD$6:$AD$205,1)&lt;=SUMIFS($D$6:$D$205,$A$6:"&amp;"$A$205,A148,$C$6:$C$205,""TTM"",$AD$6:$AD$205,1),SUMIFS($D$6:$D$205,$A$6:$A$205,A148,$C$6:$C$205,""TTM"",$AD$6:$AD$205,1)-SUMIFS($D$6:$D$205,$A$6:$A$205,A148,$C$6:$C$205,""FY0"",$AD$6:$AD$205,1)&lt;366,ABS(D148-EDATE(SUMIFS($D$6:$D$205,$A$6:$A$205,A148,$C$6:"&amp;"$C$205,""FY0"",$AD$6:$AD$205,1),IF(C148=""FY0"",0,IF(C148=""FY-1"",-12,-24))))&lt;=31),1,0),0))"),"")</f>
        <v/>
      </c>
    </row>
    <row r="149" ht="31.5" customHeight="1">
      <c r="A149" s="85"/>
      <c r="B149" s="86" t="str">
        <f t="array" ref="B149">IF(A149="","",IF(AB149&lt;&gt;1,"Unmatched issuer",INDEX(Companies!$C$6:$C$55,MATCH(A149,Companies!$A$6:$A$55,0))))</f>
        <v/>
      </c>
      <c r="C149" s="87"/>
      <c r="D149" s="88"/>
      <c r="E149" s="88"/>
      <c r="F149" s="88"/>
      <c r="G149" s="87"/>
      <c r="H149" s="87"/>
      <c r="I149" s="85"/>
      <c r="J149" s="89"/>
      <c r="K149" s="89"/>
      <c r="L149" s="90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90"/>
      <c r="Z149" s="85"/>
      <c r="AA149" s="85"/>
      <c r="AB149" s="86" t="str">
        <f>IF(A149="","",COUNTIF(Companies!$A$6:$A$55,A149))</f>
        <v/>
      </c>
      <c r="AC149" s="86" t="str">
        <f t="shared" si="1"/>
        <v/>
      </c>
      <c r="AD149" s="86" t="str">
        <f>IF(A149="","",IFERROR(IF(AND(AB149=1,AC149=1,AM149=1,OR(C149="TTM",C149="FY0",C149="FY-1",C149="FY-2"),ISNUMBER(D149),D149&lt;=Rules!$B$6,ISNUMBER(E149),E149&gt;=D149,E149&lt;=Rules!$B$6,ISNUMBER(F149),ABS(D149-F149-365)&lt;=31,OR(G149="US GAAP",G149="IFRS"),H149="Yes",I149&lt;&gt;"",COUNT(J149:R149)=9,J149&gt;0,L149&gt;-1,L149&lt;1,M149&gt;=0,N149&gt;=0,Q149&gt;=0,R149&gt;=0,M149+O149-Q149&gt;0,N149+P149-R149&gt;0,Z149&lt;&gt;"",AA149&lt;&gt;""),1,0),0))</f>
        <v/>
      </c>
      <c r="AE149" s="91" t="str">
        <f t="shared" si="2"/>
        <v/>
      </c>
      <c r="AF149" s="91" t="str">
        <f t="shared" si="3"/>
        <v/>
      </c>
      <c r="AG149" s="92" t="str">
        <f t="shared" si="4"/>
        <v/>
      </c>
      <c r="AH149" s="92" t="str">
        <f t="shared" si="5"/>
        <v/>
      </c>
      <c r="AI149" s="92" t="str">
        <f t="shared" si="6"/>
        <v/>
      </c>
      <c r="AJ149" s="92" t="str">
        <f t="shared" si="7"/>
        <v/>
      </c>
      <c r="AK149" s="92" t="str">
        <f t="shared" si="8"/>
        <v/>
      </c>
      <c r="AL149" s="86" t="str">
        <f t="shared" si="9"/>
        <v/>
      </c>
      <c r="AM149" s="86" t="str">
        <f t="array" ref="AM149">IF(A149="","",IF(AB149&lt;&gt;1,0,IF(AND(INDEX(Companies!$R$6:$R$55,MATCH(A149,Companies!$A$6:$A$55,0))=1,INDEX(Companies!$I$6:$I$55,MATCH(A149,Companies!$A$6:$A$55,0))&gt;=MAX(10,Rules!$B$22)),1,0)))</f>
        <v/>
      </c>
      <c r="AN149" s="86" t="str">
        <f>IFERROR(__xludf.DUMMYFUNCTION("IF(A149="""","""",IFERROR(IF(AND(OR(C149=""FY0"",C149=""FY-1"",C149=""FY-2""),AD149=1,COUNTIFS($A$6:$A$205,A149,$C$6:$C$205,""FY0"",$AD$6:$AD$205,1)=1,COUNTIFS($A$6:$A$205,A149,$C$6:$C$205,""TTM"",$AD$6:$AD$205,1)=1,G149=IFNA(INDEX(FILTER($G$6:$G$205,$A$6"&amp;":$A$205=A149,$C$6:$C$205=""TTM"",$AD$6:$AD$205=1),1),""""),I149=IFNA(INDEX(FILTER($I$6:$I$205,$A$6:$A$205=A149,$C$6:$C$205=""TTM"",$AD$6:$AD$205=1),1),""""),SUMIFS($D$6:$D$205,$A$6:$A$205,A149,$C$6:$C$205,""FY0"",$AD$6:$AD$205,1)&lt;=SUMIFS($D$6:$D$205,$A$6:"&amp;"$A$205,A149,$C$6:$C$205,""TTM"",$AD$6:$AD$205,1),SUMIFS($D$6:$D$205,$A$6:$A$205,A149,$C$6:$C$205,""TTM"",$AD$6:$AD$205,1)-SUMIFS($D$6:$D$205,$A$6:$A$205,A149,$C$6:$C$205,""FY0"",$AD$6:$AD$205,1)&lt;366,ABS(D149-EDATE(SUMIFS($D$6:$D$205,$A$6:$A$205,A149,$C$6:"&amp;"$C$205,""FY0"",$AD$6:$AD$205,1),IF(C149=""FY0"",0,IF(C149=""FY-1"",-12,-24))))&lt;=31),1,0),0))"),"")</f>
        <v/>
      </c>
    </row>
    <row r="150" ht="31.5" customHeight="1">
      <c r="A150" s="85"/>
      <c r="B150" s="86" t="str">
        <f t="array" ref="B150">IF(A150="","",IF(AB150&lt;&gt;1,"Unmatched issuer",INDEX(Companies!$C$6:$C$55,MATCH(A150,Companies!$A$6:$A$55,0))))</f>
        <v/>
      </c>
      <c r="C150" s="87"/>
      <c r="D150" s="88"/>
      <c r="E150" s="88"/>
      <c r="F150" s="88"/>
      <c r="G150" s="87"/>
      <c r="H150" s="87"/>
      <c r="I150" s="85"/>
      <c r="J150" s="89"/>
      <c r="K150" s="89"/>
      <c r="L150" s="90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90"/>
      <c r="Z150" s="85"/>
      <c r="AA150" s="85"/>
      <c r="AB150" s="86" t="str">
        <f>IF(A150="","",COUNTIF(Companies!$A$6:$A$55,A150))</f>
        <v/>
      </c>
      <c r="AC150" s="86" t="str">
        <f t="shared" si="1"/>
        <v/>
      </c>
      <c r="AD150" s="86" t="str">
        <f>IF(A150="","",IFERROR(IF(AND(AB150=1,AC150=1,AM150=1,OR(C150="TTM",C150="FY0",C150="FY-1",C150="FY-2"),ISNUMBER(D150),D150&lt;=Rules!$B$6,ISNUMBER(E150),E150&gt;=D150,E150&lt;=Rules!$B$6,ISNUMBER(F150),ABS(D150-F150-365)&lt;=31,OR(G150="US GAAP",G150="IFRS"),H150="Yes",I150&lt;&gt;"",COUNT(J150:R150)=9,J150&gt;0,L150&gt;-1,L150&lt;1,M150&gt;=0,N150&gt;=0,Q150&gt;=0,R150&gt;=0,M150+O150-Q150&gt;0,N150+P150-R150&gt;0,Z150&lt;&gt;"",AA150&lt;&gt;""),1,0),0))</f>
        <v/>
      </c>
      <c r="AE150" s="91" t="str">
        <f t="shared" si="2"/>
        <v/>
      </c>
      <c r="AF150" s="91" t="str">
        <f t="shared" si="3"/>
        <v/>
      </c>
      <c r="AG150" s="92" t="str">
        <f t="shared" si="4"/>
        <v/>
      </c>
      <c r="AH150" s="92" t="str">
        <f t="shared" si="5"/>
        <v/>
      </c>
      <c r="AI150" s="92" t="str">
        <f t="shared" si="6"/>
        <v/>
      </c>
      <c r="AJ150" s="92" t="str">
        <f t="shared" si="7"/>
        <v/>
      </c>
      <c r="AK150" s="92" t="str">
        <f t="shared" si="8"/>
        <v/>
      </c>
      <c r="AL150" s="86" t="str">
        <f t="shared" si="9"/>
        <v/>
      </c>
      <c r="AM150" s="86" t="str">
        <f t="array" ref="AM150">IF(A150="","",IF(AB150&lt;&gt;1,0,IF(AND(INDEX(Companies!$R$6:$R$55,MATCH(A150,Companies!$A$6:$A$55,0))=1,INDEX(Companies!$I$6:$I$55,MATCH(A150,Companies!$A$6:$A$55,0))&gt;=MAX(10,Rules!$B$22)),1,0)))</f>
        <v/>
      </c>
      <c r="AN150" s="86" t="str">
        <f>IFERROR(__xludf.DUMMYFUNCTION("IF(A150="""","""",IFERROR(IF(AND(OR(C150=""FY0"",C150=""FY-1"",C150=""FY-2""),AD150=1,COUNTIFS($A$6:$A$205,A150,$C$6:$C$205,""FY0"",$AD$6:$AD$205,1)=1,COUNTIFS($A$6:$A$205,A150,$C$6:$C$205,""TTM"",$AD$6:$AD$205,1)=1,G150=IFNA(INDEX(FILTER($G$6:$G$205,$A$6"&amp;":$A$205=A150,$C$6:$C$205=""TTM"",$AD$6:$AD$205=1),1),""""),I150=IFNA(INDEX(FILTER($I$6:$I$205,$A$6:$A$205=A150,$C$6:$C$205=""TTM"",$AD$6:$AD$205=1),1),""""),SUMIFS($D$6:$D$205,$A$6:$A$205,A150,$C$6:$C$205,""FY0"",$AD$6:$AD$205,1)&lt;=SUMIFS($D$6:$D$205,$A$6:"&amp;"$A$205,A150,$C$6:$C$205,""TTM"",$AD$6:$AD$205,1),SUMIFS($D$6:$D$205,$A$6:$A$205,A150,$C$6:$C$205,""TTM"",$AD$6:$AD$205,1)-SUMIFS($D$6:$D$205,$A$6:$A$205,A150,$C$6:$C$205,""FY0"",$AD$6:$AD$205,1)&lt;366,ABS(D150-EDATE(SUMIFS($D$6:$D$205,$A$6:$A$205,A150,$C$6:"&amp;"$C$205,""FY0"",$AD$6:$AD$205,1),IF(C150=""FY0"",0,IF(C150=""FY-1"",-12,-24))))&lt;=31),1,0),0))"),"")</f>
        <v/>
      </c>
    </row>
    <row r="151" ht="31.5" customHeight="1">
      <c r="A151" s="85"/>
      <c r="B151" s="86" t="str">
        <f t="array" ref="B151">IF(A151="","",IF(AB151&lt;&gt;1,"Unmatched issuer",INDEX(Companies!$C$6:$C$55,MATCH(A151,Companies!$A$6:$A$55,0))))</f>
        <v/>
      </c>
      <c r="C151" s="87"/>
      <c r="D151" s="88"/>
      <c r="E151" s="88"/>
      <c r="F151" s="88"/>
      <c r="G151" s="87"/>
      <c r="H151" s="87"/>
      <c r="I151" s="85"/>
      <c r="J151" s="89"/>
      <c r="K151" s="89"/>
      <c r="L151" s="90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90"/>
      <c r="Z151" s="85"/>
      <c r="AA151" s="85"/>
      <c r="AB151" s="86" t="str">
        <f>IF(A151="","",COUNTIF(Companies!$A$6:$A$55,A151))</f>
        <v/>
      </c>
      <c r="AC151" s="86" t="str">
        <f t="shared" si="1"/>
        <v/>
      </c>
      <c r="AD151" s="86" t="str">
        <f>IF(A151="","",IFERROR(IF(AND(AB151=1,AC151=1,AM151=1,OR(C151="TTM",C151="FY0",C151="FY-1",C151="FY-2"),ISNUMBER(D151),D151&lt;=Rules!$B$6,ISNUMBER(E151),E151&gt;=D151,E151&lt;=Rules!$B$6,ISNUMBER(F151),ABS(D151-F151-365)&lt;=31,OR(G151="US GAAP",G151="IFRS"),H151="Yes",I151&lt;&gt;"",COUNT(J151:R151)=9,J151&gt;0,L151&gt;-1,L151&lt;1,M151&gt;=0,N151&gt;=0,Q151&gt;=0,R151&gt;=0,M151+O151-Q151&gt;0,N151+P151-R151&gt;0,Z151&lt;&gt;"",AA151&lt;&gt;""),1,0),0))</f>
        <v/>
      </c>
      <c r="AE151" s="91" t="str">
        <f t="shared" si="2"/>
        <v/>
      </c>
      <c r="AF151" s="91" t="str">
        <f t="shared" si="3"/>
        <v/>
      </c>
      <c r="AG151" s="92" t="str">
        <f t="shared" si="4"/>
        <v/>
      </c>
      <c r="AH151" s="92" t="str">
        <f t="shared" si="5"/>
        <v/>
      </c>
      <c r="AI151" s="92" t="str">
        <f t="shared" si="6"/>
        <v/>
      </c>
      <c r="AJ151" s="92" t="str">
        <f t="shared" si="7"/>
        <v/>
      </c>
      <c r="AK151" s="92" t="str">
        <f t="shared" si="8"/>
        <v/>
      </c>
      <c r="AL151" s="86" t="str">
        <f t="shared" si="9"/>
        <v/>
      </c>
      <c r="AM151" s="86" t="str">
        <f t="array" ref="AM151">IF(A151="","",IF(AB151&lt;&gt;1,0,IF(AND(INDEX(Companies!$R$6:$R$55,MATCH(A151,Companies!$A$6:$A$55,0))=1,INDEX(Companies!$I$6:$I$55,MATCH(A151,Companies!$A$6:$A$55,0))&gt;=MAX(10,Rules!$B$22)),1,0)))</f>
        <v/>
      </c>
      <c r="AN151" s="86" t="str">
        <f>IFERROR(__xludf.DUMMYFUNCTION("IF(A151="""","""",IFERROR(IF(AND(OR(C151=""FY0"",C151=""FY-1"",C151=""FY-2""),AD151=1,COUNTIFS($A$6:$A$205,A151,$C$6:$C$205,""FY0"",$AD$6:$AD$205,1)=1,COUNTIFS($A$6:$A$205,A151,$C$6:$C$205,""TTM"",$AD$6:$AD$205,1)=1,G151=IFNA(INDEX(FILTER($G$6:$G$205,$A$6"&amp;":$A$205=A151,$C$6:$C$205=""TTM"",$AD$6:$AD$205=1),1),""""),I151=IFNA(INDEX(FILTER($I$6:$I$205,$A$6:$A$205=A151,$C$6:$C$205=""TTM"",$AD$6:$AD$205=1),1),""""),SUMIFS($D$6:$D$205,$A$6:$A$205,A151,$C$6:$C$205,""FY0"",$AD$6:$AD$205,1)&lt;=SUMIFS($D$6:$D$205,$A$6:"&amp;"$A$205,A151,$C$6:$C$205,""TTM"",$AD$6:$AD$205,1),SUMIFS($D$6:$D$205,$A$6:$A$205,A151,$C$6:$C$205,""TTM"",$AD$6:$AD$205,1)-SUMIFS($D$6:$D$205,$A$6:$A$205,A151,$C$6:$C$205,""FY0"",$AD$6:$AD$205,1)&lt;366,ABS(D151-EDATE(SUMIFS($D$6:$D$205,$A$6:$A$205,A151,$C$6:"&amp;"$C$205,""FY0"",$AD$6:$AD$205,1),IF(C151=""FY0"",0,IF(C151=""FY-1"",-12,-24))))&lt;=31),1,0),0))"),"")</f>
        <v/>
      </c>
    </row>
    <row r="152" ht="31.5" customHeight="1">
      <c r="A152" s="85"/>
      <c r="B152" s="86" t="str">
        <f t="array" ref="B152">IF(A152="","",IF(AB152&lt;&gt;1,"Unmatched issuer",INDEX(Companies!$C$6:$C$55,MATCH(A152,Companies!$A$6:$A$55,0))))</f>
        <v/>
      </c>
      <c r="C152" s="87"/>
      <c r="D152" s="88"/>
      <c r="E152" s="88"/>
      <c r="F152" s="88"/>
      <c r="G152" s="87"/>
      <c r="H152" s="87"/>
      <c r="I152" s="85"/>
      <c r="J152" s="89"/>
      <c r="K152" s="89"/>
      <c r="L152" s="90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90"/>
      <c r="Z152" s="85"/>
      <c r="AA152" s="85"/>
      <c r="AB152" s="86" t="str">
        <f>IF(A152="","",COUNTIF(Companies!$A$6:$A$55,A152))</f>
        <v/>
      </c>
      <c r="AC152" s="86" t="str">
        <f t="shared" si="1"/>
        <v/>
      </c>
      <c r="AD152" s="86" t="str">
        <f>IF(A152="","",IFERROR(IF(AND(AB152=1,AC152=1,AM152=1,OR(C152="TTM",C152="FY0",C152="FY-1",C152="FY-2"),ISNUMBER(D152),D152&lt;=Rules!$B$6,ISNUMBER(E152),E152&gt;=D152,E152&lt;=Rules!$B$6,ISNUMBER(F152),ABS(D152-F152-365)&lt;=31,OR(G152="US GAAP",G152="IFRS"),H152="Yes",I152&lt;&gt;"",COUNT(J152:R152)=9,J152&gt;0,L152&gt;-1,L152&lt;1,M152&gt;=0,N152&gt;=0,Q152&gt;=0,R152&gt;=0,M152+O152-Q152&gt;0,N152+P152-R152&gt;0,Z152&lt;&gt;"",AA152&lt;&gt;""),1,0),0))</f>
        <v/>
      </c>
      <c r="AE152" s="91" t="str">
        <f t="shared" si="2"/>
        <v/>
      </c>
      <c r="AF152" s="91" t="str">
        <f t="shared" si="3"/>
        <v/>
      </c>
      <c r="AG152" s="92" t="str">
        <f t="shared" si="4"/>
        <v/>
      </c>
      <c r="AH152" s="92" t="str">
        <f t="shared" si="5"/>
        <v/>
      </c>
      <c r="AI152" s="92" t="str">
        <f t="shared" si="6"/>
        <v/>
      </c>
      <c r="AJ152" s="92" t="str">
        <f t="shared" si="7"/>
        <v/>
      </c>
      <c r="AK152" s="92" t="str">
        <f t="shared" si="8"/>
        <v/>
      </c>
      <c r="AL152" s="86" t="str">
        <f t="shared" si="9"/>
        <v/>
      </c>
      <c r="AM152" s="86" t="str">
        <f t="array" ref="AM152">IF(A152="","",IF(AB152&lt;&gt;1,0,IF(AND(INDEX(Companies!$R$6:$R$55,MATCH(A152,Companies!$A$6:$A$55,0))=1,INDEX(Companies!$I$6:$I$55,MATCH(A152,Companies!$A$6:$A$55,0))&gt;=MAX(10,Rules!$B$22)),1,0)))</f>
        <v/>
      </c>
      <c r="AN152" s="86" t="str">
        <f>IFERROR(__xludf.DUMMYFUNCTION("IF(A152="""","""",IFERROR(IF(AND(OR(C152=""FY0"",C152=""FY-1"",C152=""FY-2""),AD152=1,COUNTIFS($A$6:$A$205,A152,$C$6:$C$205,""FY0"",$AD$6:$AD$205,1)=1,COUNTIFS($A$6:$A$205,A152,$C$6:$C$205,""TTM"",$AD$6:$AD$205,1)=1,G152=IFNA(INDEX(FILTER($G$6:$G$205,$A$6"&amp;":$A$205=A152,$C$6:$C$205=""TTM"",$AD$6:$AD$205=1),1),""""),I152=IFNA(INDEX(FILTER($I$6:$I$205,$A$6:$A$205=A152,$C$6:$C$205=""TTM"",$AD$6:$AD$205=1),1),""""),SUMIFS($D$6:$D$205,$A$6:$A$205,A152,$C$6:$C$205,""FY0"",$AD$6:$AD$205,1)&lt;=SUMIFS($D$6:$D$205,$A$6:"&amp;"$A$205,A152,$C$6:$C$205,""TTM"",$AD$6:$AD$205,1),SUMIFS($D$6:$D$205,$A$6:$A$205,A152,$C$6:$C$205,""TTM"",$AD$6:$AD$205,1)-SUMIFS($D$6:$D$205,$A$6:$A$205,A152,$C$6:$C$205,""FY0"",$AD$6:$AD$205,1)&lt;366,ABS(D152-EDATE(SUMIFS($D$6:$D$205,$A$6:$A$205,A152,$C$6:"&amp;"$C$205,""FY0"",$AD$6:$AD$205,1),IF(C152=""FY0"",0,IF(C152=""FY-1"",-12,-24))))&lt;=31),1,0),0))"),"")</f>
        <v/>
      </c>
    </row>
    <row r="153" ht="31.5" customHeight="1">
      <c r="A153" s="85"/>
      <c r="B153" s="86" t="str">
        <f t="array" ref="B153">IF(A153="","",IF(AB153&lt;&gt;1,"Unmatched issuer",INDEX(Companies!$C$6:$C$55,MATCH(A153,Companies!$A$6:$A$55,0))))</f>
        <v/>
      </c>
      <c r="C153" s="87"/>
      <c r="D153" s="88"/>
      <c r="E153" s="88"/>
      <c r="F153" s="88"/>
      <c r="G153" s="87"/>
      <c r="H153" s="87"/>
      <c r="I153" s="85"/>
      <c r="J153" s="89"/>
      <c r="K153" s="89"/>
      <c r="L153" s="90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90"/>
      <c r="Z153" s="85"/>
      <c r="AA153" s="85"/>
      <c r="AB153" s="86" t="str">
        <f>IF(A153="","",COUNTIF(Companies!$A$6:$A$55,A153))</f>
        <v/>
      </c>
      <c r="AC153" s="86" t="str">
        <f t="shared" si="1"/>
        <v/>
      </c>
      <c r="AD153" s="86" t="str">
        <f>IF(A153="","",IFERROR(IF(AND(AB153=1,AC153=1,AM153=1,OR(C153="TTM",C153="FY0",C153="FY-1",C153="FY-2"),ISNUMBER(D153),D153&lt;=Rules!$B$6,ISNUMBER(E153),E153&gt;=D153,E153&lt;=Rules!$B$6,ISNUMBER(F153),ABS(D153-F153-365)&lt;=31,OR(G153="US GAAP",G153="IFRS"),H153="Yes",I153&lt;&gt;"",COUNT(J153:R153)=9,J153&gt;0,L153&gt;-1,L153&lt;1,M153&gt;=0,N153&gt;=0,Q153&gt;=0,R153&gt;=0,M153+O153-Q153&gt;0,N153+P153-R153&gt;0,Z153&lt;&gt;"",AA153&lt;&gt;""),1,0),0))</f>
        <v/>
      </c>
      <c r="AE153" s="91" t="str">
        <f t="shared" si="2"/>
        <v/>
      </c>
      <c r="AF153" s="91" t="str">
        <f t="shared" si="3"/>
        <v/>
      </c>
      <c r="AG153" s="92" t="str">
        <f t="shared" si="4"/>
        <v/>
      </c>
      <c r="AH153" s="92" t="str">
        <f t="shared" si="5"/>
        <v/>
      </c>
      <c r="AI153" s="92" t="str">
        <f t="shared" si="6"/>
        <v/>
      </c>
      <c r="AJ153" s="92" t="str">
        <f t="shared" si="7"/>
        <v/>
      </c>
      <c r="AK153" s="92" t="str">
        <f t="shared" si="8"/>
        <v/>
      </c>
      <c r="AL153" s="86" t="str">
        <f t="shared" si="9"/>
        <v/>
      </c>
      <c r="AM153" s="86" t="str">
        <f t="array" ref="AM153">IF(A153="","",IF(AB153&lt;&gt;1,0,IF(AND(INDEX(Companies!$R$6:$R$55,MATCH(A153,Companies!$A$6:$A$55,0))=1,INDEX(Companies!$I$6:$I$55,MATCH(A153,Companies!$A$6:$A$55,0))&gt;=MAX(10,Rules!$B$22)),1,0)))</f>
        <v/>
      </c>
      <c r="AN153" s="86" t="str">
        <f>IFERROR(__xludf.DUMMYFUNCTION("IF(A153="""","""",IFERROR(IF(AND(OR(C153=""FY0"",C153=""FY-1"",C153=""FY-2""),AD153=1,COUNTIFS($A$6:$A$205,A153,$C$6:$C$205,""FY0"",$AD$6:$AD$205,1)=1,COUNTIFS($A$6:$A$205,A153,$C$6:$C$205,""TTM"",$AD$6:$AD$205,1)=1,G153=IFNA(INDEX(FILTER($G$6:$G$205,$A$6"&amp;":$A$205=A153,$C$6:$C$205=""TTM"",$AD$6:$AD$205=1),1),""""),I153=IFNA(INDEX(FILTER($I$6:$I$205,$A$6:$A$205=A153,$C$6:$C$205=""TTM"",$AD$6:$AD$205=1),1),""""),SUMIFS($D$6:$D$205,$A$6:$A$205,A153,$C$6:$C$205,""FY0"",$AD$6:$AD$205,1)&lt;=SUMIFS($D$6:$D$205,$A$6:"&amp;"$A$205,A153,$C$6:$C$205,""TTM"",$AD$6:$AD$205,1),SUMIFS($D$6:$D$205,$A$6:$A$205,A153,$C$6:$C$205,""TTM"",$AD$6:$AD$205,1)-SUMIFS($D$6:$D$205,$A$6:$A$205,A153,$C$6:$C$205,""FY0"",$AD$6:$AD$205,1)&lt;366,ABS(D153-EDATE(SUMIFS($D$6:$D$205,$A$6:$A$205,A153,$C$6:"&amp;"$C$205,""FY0"",$AD$6:$AD$205,1),IF(C153=""FY0"",0,IF(C153=""FY-1"",-12,-24))))&lt;=31),1,0),0))"),"")</f>
        <v/>
      </c>
    </row>
    <row r="154" ht="31.5" customHeight="1">
      <c r="A154" s="85"/>
      <c r="B154" s="86" t="str">
        <f t="array" ref="B154">IF(A154="","",IF(AB154&lt;&gt;1,"Unmatched issuer",INDEX(Companies!$C$6:$C$55,MATCH(A154,Companies!$A$6:$A$55,0))))</f>
        <v/>
      </c>
      <c r="C154" s="87"/>
      <c r="D154" s="88"/>
      <c r="E154" s="88"/>
      <c r="F154" s="88"/>
      <c r="G154" s="87"/>
      <c r="H154" s="87"/>
      <c r="I154" s="85"/>
      <c r="J154" s="89"/>
      <c r="K154" s="89"/>
      <c r="L154" s="90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90"/>
      <c r="Z154" s="85"/>
      <c r="AA154" s="85"/>
      <c r="AB154" s="86" t="str">
        <f>IF(A154="","",COUNTIF(Companies!$A$6:$A$55,A154))</f>
        <v/>
      </c>
      <c r="AC154" s="86" t="str">
        <f t="shared" si="1"/>
        <v/>
      </c>
      <c r="AD154" s="86" t="str">
        <f>IF(A154="","",IFERROR(IF(AND(AB154=1,AC154=1,AM154=1,OR(C154="TTM",C154="FY0",C154="FY-1",C154="FY-2"),ISNUMBER(D154),D154&lt;=Rules!$B$6,ISNUMBER(E154),E154&gt;=D154,E154&lt;=Rules!$B$6,ISNUMBER(F154),ABS(D154-F154-365)&lt;=31,OR(G154="US GAAP",G154="IFRS"),H154="Yes",I154&lt;&gt;"",COUNT(J154:R154)=9,J154&gt;0,L154&gt;-1,L154&lt;1,M154&gt;=0,N154&gt;=0,Q154&gt;=0,R154&gt;=0,M154+O154-Q154&gt;0,N154+P154-R154&gt;0,Z154&lt;&gt;"",AA154&lt;&gt;""),1,0),0))</f>
        <v/>
      </c>
      <c r="AE154" s="91" t="str">
        <f t="shared" si="2"/>
        <v/>
      </c>
      <c r="AF154" s="91" t="str">
        <f t="shared" si="3"/>
        <v/>
      </c>
      <c r="AG154" s="92" t="str">
        <f t="shared" si="4"/>
        <v/>
      </c>
      <c r="AH154" s="92" t="str">
        <f t="shared" si="5"/>
        <v/>
      </c>
      <c r="AI154" s="92" t="str">
        <f t="shared" si="6"/>
        <v/>
      </c>
      <c r="AJ154" s="92" t="str">
        <f t="shared" si="7"/>
        <v/>
      </c>
      <c r="AK154" s="92" t="str">
        <f t="shared" si="8"/>
        <v/>
      </c>
      <c r="AL154" s="86" t="str">
        <f t="shared" si="9"/>
        <v/>
      </c>
      <c r="AM154" s="86" t="str">
        <f t="array" ref="AM154">IF(A154="","",IF(AB154&lt;&gt;1,0,IF(AND(INDEX(Companies!$R$6:$R$55,MATCH(A154,Companies!$A$6:$A$55,0))=1,INDEX(Companies!$I$6:$I$55,MATCH(A154,Companies!$A$6:$A$55,0))&gt;=MAX(10,Rules!$B$22)),1,0)))</f>
        <v/>
      </c>
      <c r="AN154" s="86" t="str">
        <f>IFERROR(__xludf.DUMMYFUNCTION("IF(A154="""","""",IFERROR(IF(AND(OR(C154=""FY0"",C154=""FY-1"",C154=""FY-2""),AD154=1,COUNTIFS($A$6:$A$205,A154,$C$6:$C$205,""FY0"",$AD$6:$AD$205,1)=1,COUNTIFS($A$6:$A$205,A154,$C$6:$C$205,""TTM"",$AD$6:$AD$205,1)=1,G154=IFNA(INDEX(FILTER($G$6:$G$205,$A$6"&amp;":$A$205=A154,$C$6:$C$205=""TTM"",$AD$6:$AD$205=1),1),""""),I154=IFNA(INDEX(FILTER($I$6:$I$205,$A$6:$A$205=A154,$C$6:$C$205=""TTM"",$AD$6:$AD$205=1),1),""""),SUMIFS($D$6:$D$205,$A$6:$A$205,A154,$C$6:$C$205,""FY0"",$AD$6:$AD$205,1)&lt;=SUMIFS($D$6:$D$205,$A$6:"&amp;"$A$205,A154,$C$6:$C$205,""TTM"",$AD$6:$AD$205,1),SUMIFS($D$6:$D$205,$A$6:$A$205,A154,$C$6:$C$205,""TTM"",$AD$6:$AD$205,1)-SUMIFS($D$6:$D$205,$A$6:$A$205,A154,$C$6:$C$205,""FY0"",$AD$6:$AD$205,1)&lt;366,ABS(D154-EDATE(SUMIFS($D$6:$D$205,$A$6:$A$205,A154,$C$6:"&amp;"$C$205,""FY0"",$AD$6:$AD$205,1),IF(C154=""FY0"",0,IF(C154=""FY-1"",-12,-24))))&lt;=31),1,0),0))"),"")</f>
        <v/>
      </c>
    </row>
    <row r="155" ht="31.5" customHeight="1">
      <c r="A155" s="85"/>
      <c r="B155" s="86" t="str">
        <f t="array" ref="B155">IF(A155="","",IF(AB155&lt;&gt;1,"Unmatched issuer",INDEX(Companies!$C$6:$C$55,MATCH(A155,Companies!$A$6:$A$55,0))))</f>
        <v/>
      </c>
      <c r="C155" s="87"/>
      <c r="D155" s="88"/>
      <c r="E155" s="88"/>
      <c r="F155" s="88"/>
      <c r="G155" s="87"/>
      <c r="H155" s="87"/>
      <c r="I155" s="85"/>
      <c r="J155" s="89"/>
      <c r="K155" s="89"/>
      <c r="L155" s="90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90"/>
      <c r="Z155" s="85"/>
      <c r="AA155" s="85"/>
      <c r="AB155" s="86" t="str">
        <f>IF(A155="","",COUNTIF(Companies!$A$6:$A$55,A155))</f>
        <v/>
      </c>
      <c r="AC155" s="86" t="str">
        <f t="shared" si="1"/>
        <v/>
      </c>
      <c r="AD155" s="86" t="str">
        <f>IF(A155="","",IFERROR(IF(AND(AB155=1,AC155=1,AM155=1,OR(C155="TTM",C155="FY0",C155="FY-1",C155="FY-2"),ISNUMBER(D155),D155&lt;=Rules!$B$6,ISNUMBER(E155),E155&gt;=D155,E155&lt;=Rules!$B$6,ISNUMBER(F155),ABS(D155-F155-365)&lt;=31,OR(G155="US GAAP",G155="IFRS"),H155="Yes",I155&lt;&gt;"",COUNT(J155:R155)=9,J155&gt;0,L155&gt;-1,L155&lt;1,M155&gt;=0,N155&gt;=0,Q155&gt;=0,R155&gt;=0,M155+O155-Q155&gt;0,N155+P155-R155&gt;0,Z155&lt;&gt;"",AA155&lt;&gt;""),1,0),0))</f>
        <v/>
      </c>
      <c r="AE155" s="91" t="str">
        <f t="shared" si="2"/>
        <v/>
      </c>
      <c r="AF155" s="91" t="str">
        <f t="shared" si="3"/>
        <v/>
      </c>
      <c r="AG155" s="92" t="str">
        <f t="shared" si="4"/>
        <v/>
      </c>
      <c r="AH155" s="92" t="str">
        <f t="shared" si="5"/>
        <v/>
      </c>
      <c r="AI155" s="92" t="str">
        <f t="shared" si="6"/>
        <v/>
      </c>
      <c r="AJ155" s="92" t="str">
        <f t="shared" si="7"/>
        <v/>
      </c>
      <c r="AK155" s="92" t="str">
        <f t="shared" si="8"/>
        <v/>
      </c>
      <c r="AL155" s="86" t="str">
        <f t="shared" si="9"/>
        <v/>
      </c>
      <c r="AM155" s="86" t="str">
        <f t="array" ref="AM155">IF(A155="","",IF(AB155&lt;&gt;1,0,IF(AND(INDEX(Companies!$R$6:$R$55,MATCH(A155,Companies!$A$6:$A$55,0))=1,INDEX(Companies!$I$6:$I$55,MATCH(A155,Companies!$A$6:$A$55,0))&gt;=MAX(10,Rules!$B$22)),1,0)))</f>
        <v/>
      </c>
      <c r="AN155" s="86" t="str">
        <f>IFERROR(__xludf.DUMMYFUNCTION("IF(A155="""","""",IFERROR(IF(AND(OR(C155=""FY0"",C155=""FY-1"",C155=""FY-2""),AD155=1,COUNTIFS($A$6:$A$205,A155,$C$6:$C$205,""FY0"",$AD$6:$AD$205,1)=1,COUNTIFS($A$6:$A$205,A155,$C$6:$C$205,""TTM"",$AD$6:$AD$205,1)=1,G155=IFNA(INDEX(FILTER($G$6:$G$205,$A$6"&amp;":$A$205=A155,$C$6:$C$205=""TTM"",$AD$6:$AD$205=1),1),""""),I155=IFNA(INDEX(FILTER($I$6:$I$205,$A$6:$A$205=A155,$C$6:$C$205=""TTM"",$AD$6:$AD$205=1),1),""""),SUMIFS($D$6:$D$205,$A$6:$A$205,A155,$C$6:$C$205,""FY0"",$AD$6:$AD$205,1)&lt;=SUMIFS($D$6:$D$205,$A$6:"&amp;"$A$205,A155,$C$6:$C$205,""TTM"",$AD$6:$AD$205,1),SUMIFS($D$6:$D$205,$A$6:$A$205,A155,$C$6:$C$205,""TTM"",$AD$6:$AD$205,1)-SUMIFS($D$6:$D$205,$A$6:$A$205,A155,$C$6:$C$205,""FY0"",$AD$6:$AD$205,1)&lt;366,ABS(D155-EDATE(SUMIFS($D$6:$D$205,$A$6:$A$205,A155,$C$6:"&amp;"$C$205,""FY0"",$AD$6:$AD$205,1),IF(C155=""FY0"",0,IF(C155=""FY-1"",-12,-24))))&lt;=31),1,0),0))"),"")</f>
        <v/>
      </c>
    </row>
    <row r="156" ht="31.5" customHeight="1">
      <c r="A156" s="85"/>
      <c r="B156" s="86" t="str">
        <f t="array" ref="B156">IF(A156="","",IF(AB156&lt;&gt;1,"Unmatched issuer",INDEX(Companies!$C$6:$C$55,MATCH(A156,Companies!$A$6:$A$55,0))))</f>
        <v/>
      </c>
      <c r="C156" s="87"/>
      <c r="D156" s="88"/>
      <c r="E156" s="88"/>
      <c r="F156" s="88"/>
      <c r="G156" s="87"/>
      <c r="H156" s="87"/>
      <c r="I156" s="85"/>
      <c r="J156" s="89"/>
      <c r="K156" s="89"/>
      <c r="L156" s="90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90"/>
      <c r="Z156" s="85"/>
      <c r="AA156" s="85"/>
      <c r="AB156" s="86" t="str">
        <f>IF(A156="","",COUNTIF(Companies!$A$6:$A$55,A156))</f>
        <v/>
      </c>
      <c r="AC156" s="86" t="str">
        <f t="shared" si="1"/>
        <v/>
      </c>
      <c r="AD156" s="86" t="str">
        <f>IF(A156="","",IFERROR(IF(AND(AB156=1,AC156=1,AM156=1,OR(C156="TTM",C156="FY0",C156="FY-1",C156="FY-2"),ISNUMBER(D156),D156&lt;=Rules!$B$6,ISNUMBER(E156),E156&gt;=D156,E156&lt;=Rules!$B$6,ISNUMBER(F156),ABS(D156-F156-365)&lt;=31,OR(G156="US GAAP",G156="IFRS"),H156="Yes",I156&lt;&gt;"",COUNT(J156:R156)=9,J156&gt;0,L156&gt;-1,L156&lt;1,M156&gt;=0,N156&gt;=0,Q156&gt;=0,R156&gt;=0,M156+O156-Q156&gt;0,N156+P156-R156&gt;0,Z156&lt;&gt;"",AA156&lt;&gt;""),1,0),0))</f>
        <v/>
      </c>
      <c r="AE156" s="91" t="str">
        <f t="shared" si="2"/>
        <v/>
      </c>
      <c r="AF156" s="91" t="str">
        <f t="shared" si="3"/>
        <v/>
      </c>
      <c r="AG156" s="92" t="str">
        <f t="shared" si="4"/>
        <v/>
      </c>
      <c r="AH156" s="92" t="str">
        <f t="shared" si="5"/>
        <v/>
      </c>
      <c r="AI156" s="92" t="str">
        <f t="shared" si="6"/>
        <v/>
      </c>
      <c r="AJ156" s="92" t="str">
        <f t="shared" si="7"/>
        <v/>
      </c>
      <c r="AK156" s="92" t="str">
        <f t="shared" si="8"/>
        <v/>
      </c>
      <c r="AL156" s="86" t="str">
        <f t="shared" si="9"/>
        <v/>
      </c>
      <c r="AM156" s="86" t="str">
        <f t="array" ref="AM156">IF(A156="","",IF(AB156&lt;&gt;1,0,IF(AND(INDEX(Companies!$R$6:$R$55,MATCH(A156,Companies!$A$6:$A$55,0))=1,INDEX(Companies!$I$6:$I$55,MATCH(A156,Companies!$A$6:$A$55,0))&gt;=MAX(10,Rules!$B$22)),1,0)))</f>
        <v/>
      </c>
      <c r="AN156" s="86" t="str">
        <f>IFERROR(__xludf.DUMMYFUNCTION("IF(A156="""","""",IFERROR(IF(AND(OR(C156=""FY0"",C156=""FY-1"",C156=""FY-2""),AD156=1,COUNTIFS($A$6:$A$205,A156,$C$6:$C$205,""FY0"",$AD$6:$AD$205,1)=1,COUNTIFS($A$6:$A$205,A156,$C$6:$C$205,""TTM"",$AD$6:$AD$205,1)=1,G156=IFNA(INDEX(FILTER($G$6:$G$205,$A$6"&amp;":$A$205=A156,$C$6:$C$205=""TTM"",$AD$6:$AD$205=1),1),""""),I156=IFNA(INDEX(FILTER($I$6:$I$205,$A$6:$A$205=A156,$C$6:$C$205=""TTM"",$AD$6:$AD$205=1),1),""""),SUMIFS($D$6:$D$205,$A$6:$A$205,A156,$C$6:$C$205,""FY0"",$AD$6:$AD$205,1)&lt;=SUMIFS($D$6:$D$205,$A$6:"&amp;"$A$205,A156,$C$6:$C$205,""TTM"",$AD$6:$AD$205,1),SUMIFS($D$6:$D$205,$A$6:$A$205,A156,$C$6:$C$205,""TTM"",$AD$6:$AD$205,1)-SUMIFS($D$6:$D$205,$A$6:$A$205,A156,$C$6:$C$205,""FY0"",$AD$6:$AD$205,1)&lt;366,ABS(D156-EDATE(SUMIFS($D$6:$D$205,$A$6:$A$205,A156,$C$6:"&amp;"$C$205,""FY0"",$AD$6:$AD$205,1),IF(C156=""FY0"",0,IF(C156=""FY-1"",-12,-24))))&lt;=31),1,0),0))"),"")</f>
        <v/>
      </c>
    </row>
    <row r="157" ht="31.5" customHeight="1">
      <c r="A157" s="85"/>
      <c r="B157" s="86" t="str">
        <f t="array" ref="B157">IF(A157="","",IF(AB157&lt;&gt;1,"Unmatched issuer",INDEX(Companies!$C$6:$C$55,MATCH(A157,Companies!$A$6:$A$55,0))))</f>
        <v/>
      </c>
      <c r="C157" s="87"/>
      <c r="D157" s="88"/>
      <c r="E157" s="88"/>
      <c r="F157" s="88"/>
      <c r="G157" s="87"/>
      <c r="H157" s="87"/>
      <c r="I157" s="85"/>
      <c r="J157" s="89"/>
      <c r="K157" s="89"/>
      <c r="L157" s="90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90"/>
      <c r="Z157" s="85"/>
      <c r="AA157" s="85"/>
      <c r="AB157" s="86" t="str">
        <f>IF(A157="","",COUNTIF(Companies!$A$6:$A$55,A157))</f>
        <v/>
      </c>
      <c r="AC157" s="86" t="str">
        <f t="shared" si="1"/>
        <v/>
      </c>
      <c r="AD157" s="86" t="str">
        <f>IF(A157="","",IFERROR(IF(AND(AB157=1,AC157=1,AM157=1,OR(C157="TTM",C157="FY0",C157="FY-1",C157="FY-2"),ISNUMBER(D157),D157&lt;=Rules!$B$6,ISNUMBER(E157),E157&gt;=D157,E157&lt;=Rules!$B$6,ISNUMBER(F157),ABS(D157-F157-365)&lt;=31,OR(G157="US GAAP",G157="IFRS"),H157="Yes",I157&lt;&gt;"",COUNT(J157:R157)=9,J157&gt;0,L157&gt;-1,L157&lt;1,M157&gt;=0,N157&gt;=0,Q157&gt;=0,R157&gt;=0,M157+O157-Q157&gt;0,N157+P157-R157&gt;0,Z157&lt;&gt;"",AA157&lt;&gt;""),1,0),0))</f>
        <v/>
      </c>
      <c r="AE157" s="91" t="str">
        <f t="shared" si="2"/>
        <v/>
      </c>
      <c r="AF157" s="91" t="str">
        <f t="shared" si="3"/>
        <v/>
      </c>
      <c r="AG157" s="92" t="str">
        <f t="shared" si="4"/>
        <v/>
      </c>
      <c r="AH157" s="92" t="str">
        <f t="shared" si="5"/>
        <v/>
      </c>
      <c r="AI157" s="92" t="str">
        <f t="shared" si="6"/>
        <v/>
      </c>
      <c r="AJ157" s="92" t="str">
        <f t="shared" si="7"/>
        <v/>
      </c>
      <c r="AK157" s="92" t="str">
        <f t="shared" si="8"/>
        <v/>
      </c>
      <c r="AL157" s="86" t="str">
        <f t="shared" si="9"/>
        <v/>
      </c>
      <c r="AM157" s="86" t="str">
        <f t="array" ref="AM157">IF(A157="","",IF(AB157&lt;&gt;1,0,IF(AND(INDEX(Companies!$R$6:$R$55,MATCH(A157,Companies!$A$6:$A$55,0))=1,INDEX(Companies!$I$6:$I$55,MATCH(A157,Companies!$A$6:$A$55,0))&gt;=MAX(10,Rules!$B$22)),1,0)))</f>
        <v/>
      </c>
      <c r="AN157" s="86" t="str">
        <f>IFERROR(__xludf.DUMMYFUNCTION("IF(A157="""","""",IFERROR(IF(AND(OR(C157=""FY0"",C157=""FY-1"",C157=""FY-2""),AD157=1,COUNTIFS($A$6:$A$205,A157,$C$6:$C$205,""FY0"",$AD$6:$AD$205,1)=1,COUNTIFS($A$6:$A$205,A157,$C$6:$C$205,""TTM"",$AD$6:$AD$205,1)=1,G157=IFNA(INDEX(FILTER($G$6:$G$205,$A$6"&amp;":$A$205=A157,$C$6:$C$205=""TTM"",$AD$6:$AD$205=1),1),""""),I157=IFNA(INDEX(FILTER($I$6:$I$205,$A$6:$A$205=A157,$C$6:$C$205=""TTM"",$AD$6:$AD$205=1),1),""""),SUMIFS($D$6:$D$205,$A$6:$A$205,A157,$C$6:$C$205,""FY0"",$AD$6:$AD$205,1)&lt;=SUMIFS($D$6:$D$205,$A$6:"&amp;"$A$205,A157,$C$6:$C$205,""TTM"",$AD$6:$AD$205,1),SUMIFS($D$6:$D$205,$A$6:$A$205,A157,$C$6:$C$205,""TTM"",$AD$6:$AD$205,1)-SUMIFS($D$6:$D$205,$A$6:$A$205,A157,$C$6:$C$205,""FY0"",$AD$6:$AD$205,1)&lt;366,ABS(D157-EDATE(SUMIFS($D$6:$D$205,$A$6:$A$205,A157,$C$6:"&amp;"$C$205,""FY0"",$AD$6:$AD$205,1),IF(C157=""FY0"",0,IF(C157=""FY-1"",-12,-24))))&lt;=31),1,0),0))"),"")</f>
        <v/>
      </c>
    </row>
    <row r="158" ht="31.5" customHeight="1">
      <c r="A158" s="85"/>
      <c r="B158" s="86" t="str">
        <f t="array" ref="B158">IF(A158="","",IF(AB158&lt;&gt;1,"Unmatched issuer",INDEX(Companies!$C$6:$C$55,MATCH(A158,Companies!$A$6:$A$55,0))))</f>
        <v/>
      </c>
      <c r="C158" s="87"/>
      <c r="D158" s="88"/>
      <c r="E158" s="88"/>
      <c r="F158" s="88"/>
      <c r="G158" s="87"/>
      <c r="H158" s="87"/>
      <c r="I158" s="85"/>
      <c r="J158" s="89"/>
      <c r="K158" s="89"/>
      <c r="L158" s="90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90"/>
      <c r="Z158" s="85"/>
      <c r="AA158" s="85"/>
      <c r="AB158" s="86" t="str">
        <f>IF(A158="","",COUNTIF(Companies!$A$6:$A$55,A158))</f>
        <v/>
      </c>
      <c r="AC158" s="86" t="str">
        <f t="shared" si="1"/>
        <v/>
      </c>
      <c r="AD158" s="86" t="str">
        <f>IF(A158="","",IFERROR(IF(AND(AB158=1,AC158=1,AM158=1,OR(C158="TTM",C158="FY0",C158="FY-1",C158="FY-2"),ISNUMBER(D158),D158&lt;=Rules!$B$6,ISNUMBER(E158),E158&gt;=D158,E158&lt;=Rules!$B$6,ISNUMBER(F158),ABS(D158-F158-365)&lt;=31,OR(G158="US GAAP",G158="IFRS"),H158="Yes",I158&lt;&gt;"",COUNT(J158:R158)=9,J158&gt;0,L158&gt;-1,L158&lt;1,M158&gt;=0,N158&gt;=0,Q158&gt;=0,R158&gt;=0,M158+O158-Q158&gt;0,N158+P158-R158&gt;0,Z158&lt;&gt;"",AA158&lt;&gt;""),1,0),0))</f>
        <v/>
      </c>
      <c r="AE158" s="91" t="str">
        <f t="shared" si="2"/>
        <v/>
      </c>
      <c r="AF158" s="91" t="str">
        <f t="shared" si="3"/>
        <v/>
      </c>
      <c r="AG158" s="92" t="str">
        <f t="shared" si="4"/>
        <v/>
      </c>
      <c r="AH158" s="92" t="str">
        <f t="shared" si="5"/>
        <v/>
      </c>
      <c r="AI158" s="92" t="str">
        <f t="shared" si="6"/>
        <v/>
      </c>
      <c r="AJ158" s="92" t="str">
        <f t="shared" si="7"/>
        <v/>
      </c>
      <c r="AK158" s="92" t="str">
        <f t="shared" si="8"/>
        <v/>
      </c>
      <c r="AL158" s="86" t="str">
        <f t="shared" si="9"/>
        <v/>
      </c>
      <c r="AM158" s="86" t="str">
        <f t="array" ref="AM158">IF(A158="","",IF(AB158&lt;&gt;1,0,IF(AND(INDEX(Companies!$R$6:$R$55,MATCH(A158,Companies!$A$6:$A$55,0))=1,INDEX(Companies!$I$6:$I$55,MATCH(A158,Companies!$A$6:$A$55,0))&gt;=MAX(10,Rules!$B$22)),1,0)))</f>
        <v/>
      </c>
      <c r="AN158" s="86" t="str">
        <f>IFERROR(__xludf.DUMMYFUNCTION("IF(A158="""","""",IFERROR(IF(AND(OR(C158=""FY0"",C158=""FY-1"",C158=""FY-2""),AD158=1,COUNTIFS($A$6:$A$205,A158,$C$6:$C$205,""FY0"",$AD$6:$AD$205,1)=1,COUNTIFS($A$6:$A$205,A158,$C$6:$C$205,""TTM"",$AD$6:$AD$205,1)=1,G158=IFNA(INDEX(FILTER($G$6:$G$205,$A$6"&amp;":$A$205=A158,$C$6:$C$205=""TTM"",$AD$6:$AD$205=1),1),""""),I158=IFNA(INDEX(FILTER($I$6:$I$205,$A$6:$A$205=A158,$C$6:$C$205=""TTM"",$AD$6:$AD$205=1),1),""""),SUMIFS($D$6:$D$205,$A$6:$A$205,A158,$C$6:$C$205,""FY0"",$AD$6:$AD$205,1)&lt;=SUMIFS($D$6:$D$205,$A$6:"&amp;"$A$205,A158,$C$6:$C$205,""TTM"",$AD$6:$AD$205,1),SUMIFS($D$6:$D$205,$A$6:$A$205,A158,$C$6:$C$205,""TTM"",$AD$6:$AD$205,1)-SUMIFS($D$6:$D$205,$A$6:$A$205,A158,$C$6:$C$205,""FY0"",$AD$6:$AD$205,1)&lt;366,ABS(D158-EDATE(SUMIFS($D$6:$D$205,$A$6:$A$205,A158,$C$6:"&amp;"$C$205,""FY0"",$AD$6:$AD$205,1),IF(C158=""FY0"",0,IF(C158=""FY-1"",-12,-24))))&lt;=31),1,0),0))"),"")</f>
        <v/>
      </c>
    </row>
    <row r="159" ht="31.5" customHeight="1">
      <c r="A159" s="85"/>
      <c r="B159" s="86" t="str">
        <f t="array" ref="B159">IF(A159="","",IF(AB159&lt;&gt;1,"Unmatched issuer",INDEX(Companies!$C$6:$C$55,MATCH(A159,Companies!$A$6:$A$55,0))))</f>
        <v/>
      </c>
      <c r="C159" s="87"/>
      <c r="D159" s="88"/>
      <c r="E159" s="88"/>
      <c r="F159" s="88"/>
      <c r="G159" s="87"/>
      <c r="H159" s="87"/>
      <c r="I159" s="85"/>
      <c r="J159" s="89"/>
      <c r="K159" s="89"/>
      <c r="L159" s="90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90"/>
      <c r="Z159" s="85"/>
      <c r="AA159" s="85"/>
      <c r="AB159" s="86" t="str">
        <f>IF(A159="","",COUNTIF(Companies!$A$6:$A$55,A159))</f>
        <v/>
      </c>
      <c r="AC159" s="86" t="str">
        <f t="shared" si="1"/>
        <v/>
      </c>
      <c r="AD159" s="86" t="str">
        <f>IF(A159="","",IFERROR(IF(AND(AB159=1,AC159=1,AM159=1,OR(C159="TTM",C159="FY0",C159="FY-1",C159="FY-2"),ISNUMBER(D159),D159&lt;=Rules!$B$6,ISNUMBER(E159),E159&gt;=D159,E159&lt;=Rules!$B$6,ISNUMBER(F159),ABS(D159-F159-365)&lt;=31,OR(G159="US GAAP",G159="IFRS"),H159="Yes",I159&lt;&gt;"",COUNT(J159:R159)=9,J159&gt;0,L159&gt;-1,L159&lt;1,M159&gt;=0,N159&gt;=0,Q159&gt;=0,R159&gt;=0,M159+O159-Q159&gt;0,N159+P159-R159&gt;0,Z159&lt;&gt;"",AA159&lt;&gt;""),1,0),0))</f>
        <v/>
      </c>
      <c r="AE159" s="91" t="str">
        <f t="shared" si="2"/>
        <v/>
      </c>
      <c r="AF159" s="91" t="str">
        <f t="shared" si="3"/>
        <v/>
      </c>
      <c r="AG159" s="92" t="str">
        <f t="shared" si="4"/>
        <v/>
      </c>
      <c r="AH159" s="92" t="str">
        <f t="shared" si="5"/>
        <v/>
      </c>
      <c r="AI159" s="92" t="str">
        <f t="shared" si="6"/>
        <v/>
      </c>
      <c r="AJ159" s="92" t="str">
        <f t="shared" si="7"/>
        <v/>
      </c>
      <c r="AK159" s="92" t="str">
        <f t="shared" si="8"/>
        <v/>
      </c>
      <c r="AL159" s="86" t="str">
        <f t="shared" si="9"/>
        <v/>
      </c>
      <c r="AM159" s="86" t="str">
        <f t="array" ref="AM159">IF(A159="","",IF(AB159&lt;&gt;1,0,IF(AND(INDEX(Companies!$R$6:$R$55,MATCH(A159,Companies!$A$6:$A$55,0))=1,INDEX(Companies!$I$6:$I$55,MATCH(A159,Companies!$A$6:$A$55,0))&gt;=MAX(10,Rules!$B$22)),1,0)))</f>
        <v/>
      </c>
      <c r="AN159" s="86" t="str">
        <f>IFERROR(__xludf.DUMMYFUNCTION("IF(A159="""","""",IFERROR(IF(AND(OR(C159=""FY0"",C159=""FY-1"",C159=""FY-2""),AD159=1,COUNTIFS($A$6:$A$205,A159,$C$6:$C$205,""FY0"",$AD$6:$AD$205,1)=1,COUNTIFS($A$6:$A$205,A159,$C$6:$C$205,""TTM"",$AD$6:$AD$205,1)=1,G159=IFNA(INDEX(FILTER($G$6:$G$205,$A$6"&amp;":$A$205=A159,$C$6:$C$205=""TTM"",$AD$6:$AD$205=1),1),""""),I159=IFNA(INDEX(FILTER($I$6:$I$205,$A$6:$A$205=A159,$C$6:$C$205=""TTM"",$AD$6:$AD$205=1),1),""""),SUMIFS($D$6:$D$205,$A$6:$A$205,A159,$C$6:$C$205,""FY0"",$AD$6:$AD$205,1)&lt;=SUMIFS($D$6:$D$205,$A$6:"&amp;"$A$205,A159,$C$6:$C$205,""TTM"",$AD$6:$AD$205,1),SUMIFS($D$6:$D$205,$A$6:$A$205,A159,$C$6:$C$205,""TTM"",$AD$6:$AD$205,1)-SUMIFS($D$6:$D$205,$A$6:$A$205,A159,$C$6:$C$205,""FY0"",$AD$6:$AD$205,1)&lt;366,ABS(D159-EDATE(SUMIFS($D$6:$D$205,$A$6:$A$205,A159,$C$6:"&amp;"$C$205,""FY0"",$AD$6:$AD$205,1),IF(C159=""FY0"",0,IF(C159=""FY-1"",-12,-24))))&lt;=31),1,0),0))"),"")</f>
        <v/>
      </c>
    </row>
    <row r="160" ht="31.5" customHeight="1">
      <c r="A160" s="85"/>
      <c r="B160" s="86" t="str">
        <f t="array" ref="B160">IF(A160="","",IF(AB160&lt;&gt;1,"Unmatched issuer",INDEX(Companies!$C$6:$C$55,MATCH(A160,Companies!$A$6:$A$55,0))))</f>
        <v/>
      </c>
      <c r="C160" s="87"/>
      <c r="D160" s="88"/>
      <c r="E160" s="88"/>
      <c r="F160" s="88"/>
      <c r="G160" s="87"/>
      <c r="H160" s="87"/>
      <c r="I160" s="85"/>
      <c r="J160" s="89"/>
      <c r="K160" s="89"/>
      <c r="L160" s="90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90"/>
      <c r="Z160" s="85"/>
      <c r="AA160" s="85"/>
      <c r="AB160" s="86" t="str">
        <f>IF(A160="","",COUNTIF(Companies!$A$6:$A$55,A160))</f>
        <v/>
      </c>
      <c r="AC160" s="86" t="str">
        <f t="shared" si="1"/>
        <v/>
      </c>
      <c r="AD160" s="86" t="str">
        <f>IF(A160="","",IFERROR(IF(AND(AB160=1,AC160=1,AM160=1,OR(C160="TTM",C160="FY0",C160="FY-1",C160="FY-2"),ISNUMBER(D160),D160&lt;=Rules!$B$6,ISNUMBER(E160),E160&gt;=D160,E160&lt;=Rules!$B$6,ISNUMBER(F160),ABS(D160-F160-365)&lt;=31,OR(G160="US GAAP",G160="IFRS"),H160="Yes",I160&lt;&gt;"",COUNT(J160:R160)=9,J160&gt;0,L160&gt;-1,L160&lt;1,M160&gt;=0,N160&gt;=0,Q160&gt;=0,R160&gt;=0,M160+O160-Q160&gt;0,N160+P160-R160&gt;0,Z160&lt;&gt;"",AA160&lt;&gt;""),1,0),0))</f>
        <v/>
      </c>
      <c r="AE160" s="91" t="str">
        <f t="shared" si="2"/>
        <v/>
      </c>
      <c r="AF160" s="91" t="str">
        <f t="shared" si="3"/>
        <v/>
      </c>
      <c r="AG160" s="92" t="str">
        <f t="shared" si="4"/>
        <v/>
      </c>
      <c r="AH160" s="92" t="str">
        <f t="shared" si="5"/>
        <v/>
      </c>
      <c r="AI160" s="92" t="str">
        <f t="shared" si="6"/>
        <v/>
      </c>
      <c r="AJ160" s="92" t="str">
        <f t="shared" si="7"/>
        <v/>
      </c>
      <c r="AK160" s="92" t="str">
        <f t="shared" si="8"/>
        <v/>
      </c>
      <c r="AL160" s="86" t="str">
        <f t="shared" si="9"/>
        <v/>
      </c>
      <c r="AM160" s="86" t="str">
        <f t="array" ref="AM160">IF(A160="","",IF(AB160&lt;&gt;1,0,IF(AND(INDEX(Companies!$R$6:$R$55,MATCH(A160,Companies!$A$6:$A$55,0))=1,INDEX(Companies!$I$6:$I$55,MATCH(A160,Companies!$A$6:$A$55,0))&gt;=MAX(10,Rules!$B$22)),1,0)))</f>
        <v/>
      </c>
      <c r="AN160" s="86" t="str">
        <f>IFERROR(__xludf.DUMMYFUNCTION("IF(A160="""","""",IFERROR(IF(AND(OR(C160=""FY0"",C160=""FY-1"",C160=""FY-2""),AD160=1,COUNTIFS($A$6:$A$205,A160,$C$6:$C$205,""FY0"",$AD$6:$AD$205,1)=1,COUNTIFS($A$6:$A$205,A160,$C$6:$C$205,""TTM"",$AD$6:$AD$205,1)=1,G160=IFNA(INDEX(FILTER($G$6:$G$205,$A$6"&amp;":$A$205=A160,$C$6:$C$205=""TTM"",$AD$6:$AD$205=1),1),""""),I160=IFNA(INDEX(FILTER($I$6:$I$205,$A$6:$A$205=A160,$C$6:$C$205=""TTM"",$AD$6:$AD$205=1),1),""""),SUMIFS($D$6:$D$205,$A$6:$A$205,A160,$C$6:$C$205,""FY0"",$AD$6:$AD$205,1)&lt;=SUMIFS($D$6:$D$205,$A$6:"&amp;"$A$205,A160,$C$6:$C$205,""TTM"",$AD$6:$AD$205,1),SUMIFS($D$6:$D$205,$A$6:$A$205,A160,$C$6:$C$205,""TTM"",$AD$6:$AD$205,1)-SUMIFS($D$6:$D$205,$A$6:$A$205,A160,$C$6:$C$205,""FY0"",$AD$6:$AD$205,1)&lt;366,ABS(D160-EDATE(SUMIFS($D$6:$D$205,$A$6:$A$205,A160,$C$6:"&amp;"$C$205,""FY0"",$AD$6:$AD$205,1),IF(C160=""FY0"",0,IF(C160=""FY-1"",-12,-24))))&lt;=31),1,0),0))"),"")</f>
        <v/>
      </c>
    </row>
    <row r="161" ht="31.5" customHeight="1">
      <c r="A161" s="85"/>
      <c r="B161" s="86" t="str">
        <f t="array" ref="B161">IF(A161="","",IF(AB161&lt;&gt;1,"Unmatched issuer",INDEX(Companies!$C$6:$C$55,MATCH(A161,Companies!$A$6:$A$55,0))))</f>
        <v/>
      </c>
      <c r="C161" s="87"/>
      <c r="D161" s="88"/>
      <c r="E161" s="88"/>
      <c r="F161" s="88"/>
      <c r="G161" s="87"/>
      <c r="H161" s="87"/>
      <c r="I161" s="85"/>
      <c r="J161" s="89"/>
      <c r="K161" s="89"/>
      <c r="L161" s="90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90"/>
      <c r="Z161" s="85"/>
      <c r="AA161" s="85"/>
      <c r="AB161" s="86" t="str">
        <f>IF(A161="","",COUNTIF(Companies!$A$6:$A$55,A161))</f>
        <v/>
      </c>
      <c r="AC161" s="86" t="str">
        <f t="shared" si="1"/>
        <v/>
      </c>
      <c r="AD161" s="86" t="str">
        <f>IF(A161="","",IFERROR(IF(AND(AB161=1,AC161=1,AM161=1,OR(C161="TTM",C161="FY0",C161="FY-1",C161="FY-2"),ISNUMBER(D161),D161&lt;=Rules!$B$6,ISNUMBER(E161),E161&gt;=D161,E161&lt;=Rules!$B$6,ISNUMBER(F161),ABS(D161-F161-365)&lt;=31,OR(G161="US GAAP",G161="IFRS"),H161="Yes",I161&lt;&gt;"",COUNT(J161:R161)=9,J161&gt;0,L161&gt;-1,L161&lt;1,M161&gt;=0,N161&gt;=0,Q161&gt;=0,R161&gt;=0,M161+O161-Q161&gt;0,N161+P161-R161&gt;0,Z161&lt;&gt;"",AA161&lt;&gt;""),1,0),0))</f>
        <v/>
      </c>
      <c r="AE161" s="91" t="str">
        <f t="shared" si="2"/>
        <v/>
      </c>
      <c r="AF161" s="91" t="str">
        <f t="shared" si="3"/>
        <v/>
      </c>
      <c r="AG161" s="92" t="str">
        <f t="shared" si="4"/>
        <v/>
      </c>
      <c r="AH161" s="92" t="str">
        <f t="shared" si="5"/>
        <v/>
      </c>
      <c r="AI161" s="92" t="str">
        <f t="shared" si="6"/>
        <v/>
      </c>
      <c r="AJ161" s="92" t="str">
        <f t="shared" si="7"/>
        <v/>
      </c>
      <c r="AK161" s="92" t="str">
        <f t="shared" si="8"/>
        <v/>
      </c>
      <c r="AL161" s="86" t="str">
        <f t="shared" si="9"/>
        <v/>
      </c>
      <c r="AM161" s="86" t="str">
        <f t="array" ref="AM161">IF(A161="","",IF(AB161&lt;&gt;1,0,IF(AND(INDEX(Companies!$R$6:$R$55,MATCH(A161,Companies!$A$6:$A$55,0))=1,INDEX(Companies!$I$6:$I$55,MATCH(A161,Companies!$A$6:$A$55,0))&gt;=MAX(10,Rules!$B$22)),1,0)))</f>
        <v/>
      </c>
      <c r="AN161" s="86" t="str">
        <f>IFERROR(__xludf.DUMMYFUNCTION("IF(A161="""","""",IFERROR(IF(AND(OR(C161=""FY0"",C161=""FY-1"",C161=""FY-2""),AD161=1,COUNTIFS($A$6:$A$205,A161,$C$6:$C$205,""FY0"",$AD$6:$AD$205,1)=1,COUNTIFS($A$6:$A$205,A161,$C$6:$C$205,""TTM"",$AD$6:$AD$205,1)=1,G161=IFNA(INDEX(FILTER($G$6:$G$205,$A$6"&amp;":$A$205=A161,$C$6:$C$205=""TTM"",$AD$6:$AD$205=1),1),""""),I161=IFNA(INDEX(FILTER($I$6:$I$205,$A$6:$A$205=A161,$C$6:$C$205=""TTM"",$AD$6:$AD$205=1),1),""""),SUMIFS($D$6:$D$205,$A$6:$A$205,A161,$C$6:$C$205,""FY0"",$AD$6:$AD$205,1)&lt;=SUMIFS($D$6:$D$205,$A$6:"&amp;"$A$205,A161,$C$6:$C$205,""TTM"",$AD$6:$AD$205,1),SUMIFS($D$6:$D$205,$A$6:$A$205,A161,$C$6:$C$205,""TTM"",$AD$6:$AD$205,1)-SUMIFS($D$6:$D$205,$A$6:$A$205,A161,$C$6:$C$205,""FY0"",$AD$6:$AD$205,1)&lt;366,ABS(D161-EDATE(SUMIFS($D$6:$D$205,$A$6:$A$205,A161,$C$6:"&amp;"$C$205,""FY0"",$AD$6:$AD$205,1),IF(C161=""FY0"",0,IF(C161=""FY-1"",-12,-24))))&lt;=31),1,0),0))"),"")</f>
        <v/>
      </c>
    </row>
    <row r="162" ht="31.5" customHeight="1">
      <c r="A162" s="85"/>
      <c r="B162" s="86" t="str">
        <f t="array" ref="B162">IF(A162="","",IF(AB162&lt;&gt;1,"Unmatched issuer",INDEX(Companies!$C$6:$C$55,MATCH(A162,Companies!$A$6:$A$55,0))))</f>
        <v/>
      </c>
      <c r="C162" s="87"/>
      <c r="D162" s="88"/>
      <c r="E162" s="88"/>
      <c r="F162" s="88"/>
      <c r="G162" s="87"/>
      <c r="H162" s="87"/>
      <c r="I162" s="85"/>
      <c r="J162" s="89"/>
      <c r="K162" s="89"/>
      <c r="L162" s="90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90"/>
      <c r="Z162" s="85"/>
      <c r="AA162" s="85"/>
      <c r="AB162" s="86" t="str">
        <f>IF(A162="","",COUNTIF(Companies!$A$6:$A$55,A162))</f>
        <v/>
      </c>
      <c r="AC162" s="86" t="str">
        <f t="shared" si="1"/>
        <v/>
      </c>
      <c r="AD162" s="86" t="str">
        <f>IF(A162="","",IFERROR(IF(AND(AB162=1,AC162=1,AM162=1,OR(C162="TTM",C162="FY0",C162="FY-1",C162="FY-2"),ISNUMBER(D162),D162&lt;=Rules!$B$6,ISNUMBER(E162),E162&gt;=D162,E162&lt;=Rules!$B$6,ISNUMBER(F162),ABS(D162-F162-365)&lt;=31,OR(G162="US GAAP",G162="IFRS"),H162="Yes",I162&lt;&gt;"",COUNT(J162:R162)=9,J162&gt;0,L162&gt;-1,L162&lt;1,M162&gt;=0,N162&gt;=0,Q162&gt;=0,R162&gt;=0,M162+O162-Q162&gt;0,N162+P162-R162&gt;0,Z162&lt;&gt;"",AA162&lt;&gt;""),1,0),0))</f>
        <v/>
      </c>
      <c r="AE162" s="91" t="str">
        <f t="shared" si="2"/>
        <v/>
      </c>
      <c r="AF162" s="91" t="str">
        <f t="shared" si="3"/>
        <v/>
      </c>
      <c r="AG162" s="92" t="str">
        <f t="shared" si="4"/>
        <v/>
      </c>
      <c r="AH162" s="92" t="str">
        <f t="shared" si="5"/>
        <v/>
      </c>
      <c r="AI162" s="92" t="str">
        <f t="shared" si="6"/>
        <v/>
      </c>
      <c r="AJ162" s="92" t="str">
        <f t="shared" si="7"/>
        <v/>
      </c>
      <c r="AK162" s="92" t="str">
        <f t="shared" si="8"/>
        <v/>
      </c>
      <c r="AL162" s="86" t="str">
        <f t="shared" si="9"/>
        <v/>
      </c>
      <c r="AM162" s="86" t="str">
        <f t="array" ref="AM162">IF(A162="","",IF(AB162&lt;&gt;1,0,IF(AND(INDEX(Companies!$R$6:$R$55,MATCH(A162,Companies!$A$6:$A$55,0))=1,INDEX(Companies!$I$6:$I$55,MATCH(A162,Companies!$A$6:$A$55,0))&gt;=MAX(10,Rules!$B$22)),1,0)))</f>
        <v/>
      </c>
      <c r="AN162" s="86" t="str">
        <f>IFERROR(__xludf.DUMMYFUNCTION("IF(A162="""","""",IFERROR(IF(AND(OR(C162=""FY0"",C162=""FY-1"",C162=""FY-2""),AD162=1,COUNTIFS($A$6:$A$205,A162,$C$6:$C$205,""FY0"",$AD$6:$AD$205,1)=1,COUNTIFS($A$6:$A$205,A162,$C$6:$C$205,""TTM"",$AD$6:$AD$205,1)=1,G162=IFNA(INDEX(FILTER($G$6:$G$205,$A$6"&amp;":$A$205=A162,$C$6:$C$205=""TTM"",$AD$6:$AD$205=1),1),""""),I162=IFNA(INDEX(FILTER($I$6:$I$205,$A$6:$A$205=A162,$C$6:$C$205=""TTM"",$AD$6:$AD$205=1),1),""""),SUMIFS($D$6:$D$205,$A$6:$A$205,A162,$C$6:$C$205,""FY0"",$AD$6:$AD$205,1)&lt;=SUMIFS($D$6:$D$205,$A$6:"&amp;"$A$205,A162,$C$6:$C$205,""TTM"",$AD$6:$AD$205,1),SUMIFS($D$6:$D$205,$A$6:$A$205,A162,$C$6:$C$205,""TTM"",$AD$6:$AD$205,1)-SUMIFS($D$6:$D$205,$A$6:$A$205,A162,$C$6:$C$205,""FY0"",$AD$6:$AD$205,1)&lt;366,ABS(D162-EDATE(SUMIFS($D$6:$D$205,$A$6:$A$205,A162,$C$6:"&amp;"$C$205,""FY0"",$AD$6:$AD$205,1),IF(C162=""FY0"",0,IF(C162=""FY-1"",-12,-24))))&lt;=31),1,0),0))"),"")</f>
        <v/>
      </c>
    </row>
    <row r="163" ht="31.5" customHeight="1">
      <c r="A163" s="85"/>
      <c r="B163" s="86" t="str">
        <f t="array" ref="B163">IF(A163="","",IF(AB163&lt;&gt;1,"Unmatched issuer",INDEX(Companies!$C$6:$C$55,MATCH(A163,Companies!$A$6:$A$55,0))))</f>
        <v/>
      </c>
      <c r="C163" s="87"/>
      <c r="D163" s="88"/>
      <c r="E163" s="88"/>
      <c r="F163" s="88"/>
      <c r="G163" s="87"/>
      <c r="H163" s="87"/>
      <c r="I163" s="85"/>
      <c r="J163" s="89"/>
      <c r="K163" s="89"/>
      <c r="L163" s="90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90"/>
      <c r="Z163" s="85"/>
      <c r="AA163" s="85"/>
      <c r="AB163" s="86" t="str">
        <f>IF(A163="","",COUNTIF(Companies!$A$6:$A$55,A163))</f>
        <v/>
      </c>
      <c r="AC163" s="86" t="str">
        <f t="shared" si="1"/>
        <v/>
      </c>
      <c r="AD163" s="86" t="str">
        <f>IF(A163="","",IFERROR(IF(AND(AB163=1,AC163=1,AM163=1,OR(C163="TTM",C163="FY0",C163="FY-1",C163="FY-2"),ISNUMBER(D163),D163&lt;=Rules!$B$6,ISNUMBER(E163),E163&gt;=D163,E163&lt;=Rules!$B$6,ISNUMBER(F163),ABS(D163-F163-365)&lt;=31,OR(G163="US GAAP",G163="IFRS"),H163="Yes",I163&lt;&gt;"",COUNT(J163:R163)=9,J163&gt;0,L163&gt;-1,L163&lt;1,M163&gt;=0,N163&gt;=0,Q163&gt;=0,R163&gt;=0,M163+O163-Q163&gt;0,N163+P163-R163&gt;0,Z163&lt;&gt;"",AA163&lt;&gt;""),1,0),0))</f>
        <v/>
      </c>
      <c r="AE163" s="91" t="str">
        <f t="shared" si="2"/>
        <v/>
      </c>
      <c r="AF163" s="91" t="str">
        <f t="shared" si="3"/>
        <v/>
      </c>
      <c r="AG163" s="92" t="str">
        <f t="shared" si="4"/>
        <v/>
      </c>
      <c r="AH163" s="92" t="str">
        <f t="shared" si="5"/>
        <v/>
      </c>
      <c r="AI163" s="92" t="str">
        <f t="shared" si="6"/>
        <v/>
      </c>
      <c r="AJ163" s="92" t="str">
        <f t="shared" si="7"/>
        <v/>
      </c>
      <c r="AK163" s="92" t="str">
        <f t="shared" si="8"/>
        <v/>
      </c>
      <c r="AL163" s="86" t="str">
        <f t="shared" si="9"/>
        <v/>
      </c>
      <c r="AM163" s="86" t="str">
        <f t="array" ref="AM163">IF(A163="","",IF(AB163&lt;&gt;1,0,IF(AND(INDEX(Companies!$R$6:$R$55,MATCH(A163,Companies!$A$6:$A$55,0))=1,INDEX(Companies!$I$6:$I$55,MATCH(A163,Companies!$A$6:$A$55,0))&gt;=MAX(10,Rules!$B$22)),1,0)))</f>
        <v/>
      </c>
      <c r="AN163" s="86" t="str">
        <f>IFERROR(__xludf.DUMMYFUNCTION("IF(A163="""","""",IFERROR(IF(AND(OR(C163=""FY0"",C163=""FY-1"",C163=""FY-2""),AD163=1,COUNTIFS($A$6:$A$205,A163,$C$6:$C$205,""FY0"",$AD$6:$AD$205,1)=1,COUNTIFS($A$6:$A$205,A163,$C$6:$C$205,""TTM"",$AD$6:$AD$205,1)=1,G163=IFNA(INDEX(FILTER($G$6:$G$205,$A$6"&amp;":$A$205=A163,$C$6:$C$205=""TTM"",$AD$6:$AD$205=1),1),""""),I163=IFNA(INDEX(FILTER($I$6:$I$205,$A$6:$A$205=A163,$C$6:$C$205=""TTM"",$AD$6:$AD$205=1),1),""""),SUMIFS($D$6:$D$205,$A$6:$A$205,A163,$C$6:$C$205,""FY0"",$AD$6:$AD$205,1)&lt;=SUMIFS($D$6:$D$205,$A$6:"&amp;"$A$205,A163,$C$6:$C$205,""TTM"",$AD$6:$AD$205,1),SUMIFS($D$6:$D$205,$A$6:$A$205,A163,$C$6:$C$205,""TTM"",$AD$6:$AD$205,1)-SUMIFS($D$6:$D$205,$A$6:$A$205,A163,$C$6:$C$205,""FY0"",$AD$6:$AD$205,1)&lt;366,ABS(D163-EDATE(SUMIFS($D$6:$D$205,$A$6:$A$205,A163,$C$6:"&amp;"$C$205,""FY0"",$AD$6:$AD$205,1),IF(C163=""FY0"",0,IF(C163=""FY-1"",-12,-24))))&lt;=31),1,0),0))"),"")</f>
        <v/>
      </c>
    </row>
    <row r="164" ht="31.5" customHeight="1">
      <c r="A164" s="85"/>
      <c r="B164" s="86" t="str">
        <f t="array" ref="B164">IF(A164="","",IF(AB164&lt;&gt;1,"Unmatched issuer",INDEX(Companies!$C$6:$C$55,MATCH(A164,Companies!$A$6:$A$55,0))))</f>
        <v/>
      </c>
      <c r="C164" s="87"/>
      <c r="D164" s="88"/>
      <c r="E164" s="88"/>
      <c r="F164" s="88"/>
      <c r="G164" s="87"/>
      <c r="H164" s="87"/>
      <c r="I164" s="85"/>
      <c r="J164" s="89"/>
      <c r="K164" s="89"/>
      <c r="L164" s="90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90"/>
      <c r="Z164" s="85"/>
      <c r="AA164" s="85"/>
      <c r="AB164" s="86" t="str">
        <f>IF(A164="","",COUNTIF(Companies!$A$6:$A$55,A164))</f>
        <v/>
      </c>
      <c r="AC164" s="86" t="str">
        <f t="shared" si="1"/>
        <v/>
      </c>
      <c r="AD164" s="86" t="str">
        <f>IF(A164="","",IFERROR(IF(AND(AB164=1,AC164=1,AM164=1,OR(C164="TTM",C164="FY0",C164="FY-1",C164="FY-2"),ISNUMBER(D164),D164&lt;=Rules!$B$6,ISNUMBER(E164),E164&gt;=D164,E164&lt;=Rules!$B$6,ISNUMBER(F164),ABS(D164-F164-365)&lt;=31,OR(G164="US GAAP",G164="IFRS"),H164="Yes",I164&lt;&gt;"",COUNT(J164:R164)=9,J164&gt;0,L164&gt;-1,L164&lt;1,M164&gt;=0,N164&gt;=0,Q164&gt;=0,R164&gt;=0,M164+O164-Q164&gt;0,N164+P164-R164&gt;0,Z164&lt;&gt;"",AA164&lt;&gt;""),1,0),0))</f>
        <v/>
      </c>
      <c r="AE164" s="91" t="str">
        <f t="shared" si="2"/>
        <v/>
      </c>
      <c r="AF164" s="91" t="str">
        <f t="shared" si="3"/>
        <v/>
      </c>
      <c r="AG164" s="92" t="str">
        <f t="shared" si="4"/>
        <v/>
      </c>
      <c r="AH164" s="92" t="str">
        <f t="shared" si="5"/>
        <v/>
      </c>
      <c r="AI164" s="92" t="str">
        <f t="shared" si="6"/>
        <v/>
      </c>
      <c r="AJ164" s="92" t="str">
        <f t="shared" si="7"/>
        <v/>
      </c>
      <c r="AK164" s="92" t="str">
        <f t="shared" si="8"/>
        <v/>
      </c>
      <c r="AL164" s="86" t="str">
        <f t="shared" si="9"/>
        <v/>
      </c>
      <c r="AM164" s="86" t="str">
        <f t="array" ref="AM164">IF(A164="","",IF(AB164&lt;&gt;1,0,IF(AND(INDEX(Companies!$R$6:$R$55,MATCH(A164,Companies!$A$6:$A$55,0))=1,INDEX(Companies!$I$6:$I$55,MATCH(A164,Companies!$A$6:$A$55,0))&gt;=MAX(10,Rules!$B$22)),1,0)))</f>
        <v/>
      </c>
      <c r="AN164" s="86" t="str">
        <f>IFERROR(__xludf.DUMMYFUNCTION("IF(A164="""","""",IFERROR(IF(AND(OR(C164=""FY0"",C164=""FY-1"",C164=""FY-2""),AD164=1,COUNTIFS($A$6:$A$205,A164,$C$6:$C$205,""FY0"",$AD$6:$AD$205,1)=1,COUNTIFS($A$6:$A$205,A164,$C$6:$C$205,""TTM"",$AD$6:$AD$205,1)=1,G164=IFNA(INDEX(FILTER($G$6:$G$205,$A$6"&amp;":$A$205=A164,$C$6:$C$205=""TTM"",$AD$6:$AD$205=1),1),""""),I164=IFNA(INDEX(FILTER($I$6:$I$205,$A$6:$A$205=A164,$C$6:$C$205=""TTM"",$AD$6:$AD$205=1),1),""""),SUMIFS($D$6:$D$205,$A$6:$A$205,A164,$C$6:$C$205,""FY0"",$AD$6:$AD$205,1)&lt;=SUMIFS($D$6:$D$205,$A$6:"&amp;"$A$205,A164,$C$6:$C$205,""TTM"",$AD$6:$AD$205,1),SUMIFS($D$6:$D$205,$A$6:$A$205,A164,$C$6:$C$205,""TTM"",$AD$6:$AD$205,1)-SUMIFS($D$6:$D$205,$A$6:$A$205,A164,$C$6:$C$205,""FY0"",$AD$6:$AD$205,1)&lt;366,ABS(D164-EDATE(SUMIFS($D$6:$D$205,$A$6:$A$205,A164,$C$6:"&amp;"$C$205,""FY0"",$AD$6:$AD$205,1),IF(C164=""FY0"",0,IF(C164=""FY-1"",-12,-24))))&lt;=31),1,0),0))"),"")</f>
        <v/>
      </c>
    </row>
    <row r="165" ht="31.5" customHeight="1">
      <c r="A165" s="85"/>
      <c r="B165" s="86" t="str">
        <f t="array" ref="B165">IF(A165="","",IF(AB165&lt;&gt;1,"Unmatched issuer",INDEX(Companies!$C$6:$C$55,MATCH(A165,Companies!$A$6:$A$55,0))))</f>
        <v/>
      </c>
      <c r="C165" s="87"/>
      <c r="D165" s="88"/>
      <c r="E165" s="88"/>
      <c r="F165" s="88"/>
      <c r="G165" s="87"/>
      <c r="H165" s="87"/>
      <c r="I165" s="85"/>
      <c r="J165" s="89"/>
      <c r="K165" s="89"/>
      <c r="L165" s="90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90"/>
      <c r="Z165" s="85"/>
      <c r="AA165" s="85"/>
      <c r="AB165" s="86" t="str">
        <f>IF(A165="","",COUNTIF(Companies!$A$6:$A$55,A165))</f>
        <v/>
      </c>
      <c r="AC165" s="86" t="str">
        <f t="shared" si="1"/>
        <v/>
      </c>
      <c r="AD165" s="86" t="str">
        <f>IF(A165="","",IFERROR(IF(AND(AB165=1,AC165=1,AM165=1,OR(C165="TTM",C165="FY0",C165="FY-1",C165="FY-2"),ISNUMBER(D165),D165&lt;=Rules!$B$6,ISNUMBER(E165),E165&gt;=D165,E165&lt;=Rules!$B$6,ISNUMBER(F165),ABS(D165-F165-365)&lt;=31,OR(G165="US GAAP",G165="IFRS"),H165="Yes",I165&lt;&gt;"",COUNT(J165:R165)=9,J165&gt;0,L165&gt;-1,L165&lt;1,M165&gt;=0,N165&gt;=0,Q165&gt;=0,R165&gt;=0,M165+O165-Q165&gt;0,N165+P165-R165&gt;0,Z165&lt;&gt;"",AA165&lt;&gt;""),1,0),0))</f>
        <v/>
      </c>
      <c r="AE165" s="91" t="str">
        <f t="shared" si="2"/>
        <v/>
      </c>
      <c r="AF165" s="91" t="str">
        <f t="shared" si="3"/>
        <v/>
      </c>
      <c r="AG165" s="92" t="str">
        <f t="shared" si="4"/>
        <v/>
      </c>
      <c r="AH165" s="92" t="str">
        <f t="shared" si="5"/>
        <v/>
      </c>
      <c r="AI165" s="92" t="str">
        <f t="shared" si="6"/>
        <v/>
      </c>
      <c r="AJ165" s="92" t="str">
        <f t="shared" si="7"/>
        <v/>
      </c>
      <c r="AK165" s="92" t="str">
        <f t="shared" si="8"/>
        <v/>
      </c>
      <c r="AL165" s="86" t="str">
        <f t="shared" si="9"/>
        <v/>
      </c>
      <c r="AM165" s="86" t="str">
        <f t="array" ref="AM165">IF(A165="","",IF(AB165&lt;&gt;1,0,IF(AND(INDEX(Companies!$R$6:$R$55,MATCH(A165,Companies!$A$6:$A$55,0))=1,INDEX(Companies!$I$6:$I$55,MATCH(A165,Companies!$A$6:$A$55,0))&gt;=MAX(10,Rules!$B$22)),1,0)))</f>
        <v/>
      </c>
      <c r="AN165" s="86" t="str">
        <f>IFERROR(__xludf.DUMMYFUNCTION("IF(A165="""","""",IFERROR(IF(AND(OR(C165=""FY0"",C165=""FY-1"",C165=""FY-2""),AD165=1,COUNTIFS($A$6:$A$205,A165,$C$6:$C$205,""FY0"",$AD$6:$AD$205,1)=1,COUNTIFS($A$6:$A$205,A165,$C$6:$C$205,""TTM"",$AD$6:$AD$205,1)=1,G165=IFNA(INDEX(FILTER($G$6:$G$205,$A$6"&amp;":$A$205=A165,$C$6:$C$205=""TTM"",$AD$6:$AD$205=1),1),""""),I165=IFNA(INDEX(FILTER($I$6:$I$205,$A$6:$A$205=A165,$C$6:$C$205=""TTM"",$AD$6:$AD$205=1),1),""""),SUMIFS($D$6:$D$205,$A$6:$A$205,A165,$C$6:$C$205,""FY0"",$AD$6:$AD$205,1)&lt;=SUMIFS($D$6:$D$205,$A$6:"&amp;"$A$205,A165,$C$6:$C$205,""TTM"",$AD$6:$AD$205,1),SUMIFS($D$6:$D$205,$A$6:$A$205,A165,$C$6:$C$205,""TTM"",$AD$6:$AD$205,1)-SUMIFS($D$6:$D$205,$A$6:$A$205,A165,$C$6:$C$205,""FY0"",$AD$6:$AD$205,1)&lt;366,ABS(D165-EDATE(SUMIFS($D$6:$D$205,$A$6:$A$205,A165,$C$6:"&amp;"$C$205,""FY0"",$AD$6:$AD$205,1),IF(C165=""FY0"",0,IF(C165=""FY-1"",-12,-24))))&lt;=31),1,0),0))"),"")</f>
        <v/>
      </c>
    </row>
    <row r="166" ht="31.5" customHeight="1">
      <c r="A166" s="85"/>
      <c r="B166" s="86" t="str">
        <f t="array" ref="B166">IF(A166="","",IF(AB166&lt;&gt;1,"Unmatched issuer",INDEX(Companies!$C$6:$C$55,MATCH(A166,Companies!$A$6:$A$55,0))))</f>
        <v/>
      </c>
      <c r="C166" s="87"/>
      <c r="D166" s="88"/>
      <c r="E166" s="88"/>
      <c r="F166" s="88"/>
      <c r="G166" s="87"/>
      <c r="H166" s="87"/>
      <c r="I166" s="85"/>
      <c r="J166" s="89"/>
      <c r="K166" s="89"/>
      <c r="L166" s="90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90"/>
      <c r="Z166" s="85"/>
      <c r="AA166" s="85"/>
      <c r="AB166" s="86" t="str">
        <f>IF(A166="","",COUNTIF(Companies!$A$6:$A$55,A166))</f>
        <v/>
      </c>
      <c r="AC166" s="86" t="str">
        <f t="shared" si="1"/>
        <v/>
      </c>
      <c r="AD166" s="86" t="str">
        <f>IF(A166="","",IFERROR(IF(AND(AB166=1,AC166=1,AM166=1,OR(C166="TTM",C166="FY0",C166="FY-1",C166="FY-2"),ISNUMBER(D166),D166&lt;=Rules!$B$6,ISNUMBER(E166),E166&gt;=D166,E166&lt;=Rules!$B$6,ISNUMBER(F166),ABS(D166-F166-365)&lt;=31,OR(G166="US GAAP",G166="IFRS"),H166="Yes",I166&lt;&gt;"",COUNT(J166:R166)=9,J166&gt;0,L166&gt;-1,L166&lt;1,M166&gt;=0,N166&gt;=0,Q166&gt;=0,R166&gt;=0,M166+O166-Q166&gt;0,N166+P166-R166&gt;0,Z166&lt;&gt;"",AA166&lt;&gt;""),1,0),0))</f>
        <v/>
      </c>
      <c r="AE166" s="91" t="str">
        <f t="shared" si="2"/>
        <v/>
      </c>
      <c r="AF166" s="91" t="str">
        <f t="shared" si="3"/>
        <v/>
      </c>
      <c r="AG166" s="92" t="str">
        <f t="shared" si="4"/>
        <v/>
      </c>
      <c r="AH166" s="92" t="str">
        <f t="shared" si="5"/>
        <v/>
      </c>
      <c r="AI166" s="92" t="str">
        <f t="shared" si="6"/>
        <v/>
      </c>
      <c r="AJ166" s="92" t="str">
        <f t="shared" si="7"/>
        <v/>
      </c>
      <c r="AK166" s="92" t="str">
        <f t="shared" si="8"/>
        <v/>
      </c>
      <c r="AL166" s="86" t="str">
        <f t="shared" si="9"/>
        <v/>
      </c>
      <c r="AM166" s="86" t="str">
        <f t="array" ref="AM166">IF(A166="","",IF(AB166&lt;&gt;1,0,IF(AND(INDEX(Companies!$R$6:$R$55,MATCH(A166,Companies!$A$6:$A$55,0))=1,INDEX(Companies!$I$6:$I$55,MATCH(A166,Companies!$A$6:$A$55,0))&gt;=MAX(10,Rules!$B$22)),1,0)))</f>
        <v/>
      </c>
      <c r="AN166" s="86" t="str">
        <f>IFERROR(__xludf.DUMMYFUNCTION("IF(A166="""","""",IFERROR(IF(AND(OR(C166=""FY0"",C166=""FY-1"",C166=""FY-2""),AD166=1,COUNTIFS($A$6:$A$205,A166,$C$6:$C$205,""FY0"",$AD$6:$AD$205,1)=1,COUNTIFS($A$6:$A$205,A166,$C$6:$C$205,""TTM"",$AD$6:$AD$205,1)=1,G166=IFNA(INDEX(FILTER($G$6:$G$205,$A$6"&amp;":$A$205=A166,$C$6:$C$205=""TTM"",$AD$6:$AD$205=1),1),""""),I166=IFNA(INDEX(FILTER($I$6:$I$205,$A$6:$A$205=A166,$C$6:$C$205=""TTM"",$AD$6:$AD$205=1),1),""""),SUMIFS($D$6:$D$205,$A$6:$A$205,A166,$C$6:$C$205,""FY0"",$AD$6:$AD$205,1)&lt;=SUMIFS($D$6:$D$205,$A$6:"&amp;"$A$205,A166,$C$6:$C$205,""TTM"",$AD$6:$AD$205,1),SUMIFS($D$6:$D$205,$A$6:$A$205,A166,$C$6:$C$205,""TTM"",$AD$6:$AD$205,1)-SUMIFS($D$6:$D$205,$A$6:$A$205,A166,$C$6:$C$205,""FY0"",$AD$6:$AD$205,1)&lt;366,ABS(D166-EDATE(SUMIFS($D$6:$D$205,$A$6:$A$205,A166,$C$6:"&amp;"$C$205,""FY0"",$AD$6:$AD$205,1),IF(C166=""FY0"",0,IF(C166=""FY-1"",-12,-24))))&lt;=31),1,0),0))"),"")</f>
        <v/>
      </c>
    </row>
    <row r="167" ht="31.5" customHeight="1">
      <c r="A167" s="85"/>
      <c r="B167" s="86" t="str">
        <f t="array" ref="B167">IF(A167="","",IF(AB167&lt;&gt;1,"Unmatched issuer",INDEX(Companies!$C$6:$C$55,MATCH(A167,Companies!$A$6:$A$55,0))))</f>
        <v/>
      </c>
      <c r="C167" s="87"/>
      <c r="D167" s="88"/>
      <c r="E167" s="88"/>
      <c r="F167" s="88"/>
      <c r="G167" s="87"/>
      <c r="H167" s="87"/>
      <c r="I167" s="85"/>
      <c r="J167" s="89"/>
      <c r="K167" s="89"/>
      <c r="L167" s="90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90"/>
      <c r="Z167" s="85"/>
      <c r="AA167" s="85"/>
      <c r="AB167" s="86" t="str">
        <f>IF(A167="","",COUNTIF(Companies!$A$6:$A$55,A167))</f>
        <v/>
      </c>
      <c r="AC167" s="86" t="str">
        <f t="shared" si="1"/>
        <v/>
      </c>
      <c r="AD167" s="86" t="str">
        <f>IF(A167="","",IFERROR(IF(AND(AB167=1,AC167=1,AM167=1,OR(C167="TTM",C167="FY0",C167="FY-1",C167="FY-2"),ISNUMBER(D167),D167&lt;=Rules!$B$6,ISNUMBER(E167),E167&gt;=D167,E167&lt;=Rules!$B$6,ISNUMBER(F167),ABS(D167-F167-365)&lt;=31,OR(G167="US GAAP",G167="IFRS"),H167="Yes",I167&lt;&gt;"",COUNT(J167:R167)=9,J167&gt;0,L167&gt;-1,L167&lt;1,M167&gt;=0,N167&gt;=0,Q167&gt;=0,R167&gt;=0,M167+O167-Q167&gt;0,N167+P167-R167&gt;0,Z167&lt;&gt;"",AA167&lt;&gt;""),1,0),0))</f>
        <v/>
      </c>
      <c r="AE167" s="91" t="str">
        <f t="shared" si="2"/>
        <v/>
      </c>
      <c r="AF167" s="91" t="str">
        <f t="shared" si="3"/>
        <v/>
      </c>
      <c r="AG167" s="92" t="str">
        <f t="shared" si="4"/>
        <v/>
      </c>
      <c r="AH167" s="92" t="str">
        <f t="shared" si="5"/>
        <v/>
      </c>
      <c r="AI167" s="92" t="str">
        <f t="shared" si="6"/>
        <v/>
      </c>
      <c r="AJ167" s="92" t="str">
        <f t="shared" si="7"/>
        <v/>
      </c>
      <c r="AK167" s="92" t="str">
        <f t="shared" si="8"/>
        <v/>
      </c>
      <c r="AL167" s="86" t="str">
        <f t="shared" si="9"/>
        <v/>
      </c>
      <c r="AM167" s="86" t="str">
        <f t="array" ref="AM167">IF(A167="","",IF(AB167&lt;&gt;1,0,IF(AND(INDEX(Companies!$R$6:$R$55,MATCH(A167,Companies!$A$6:$A$55,0))=1,INDEX(Companies!$I$6:$I$55,MATCH(A167,Companies!$A$6:$A$55,0))&gt;=MAX(10,Rules!$B$22)),1,0)))</f>
        <v/>
      </c>
      <c r="AN167" s="86" t="str">
        <f>IFERROR(__xludf.DUMMYFUNCTION("IF(A167="""","""",IFERROR(IF(AND(OR(C167=""FY0"",C167=""FY-1"",C167=""FY-2""),AD167=1,COUNTIFS($A$6:$A$205,A167,$C$6:$C$205,""FY0"",$AD$6:$AD$205,1)=1,COUNTIFS($A$6:$A$205,A167,$C$6:$C$205,""TTM"",$AD$6:$AD$205,1)=1,G167=IFNA(INDEX(FILTER($G$6:$G$205,$A$6"&amp;":$A$205=A167,$C$6:$C$205=""TTM"",$AD$6:$AD$205=1),1),""""),I167=IFNA(INDEX(FILTER($I$6:$I$205,$A$6:$A$205=A167,$C$6:$C$205=""TTM"",$AD$6:$AD$205=1),1),""""),SUMIFS($D$6:$D$205,$A$6:$A$205,A167,$C$6:$C$205,""FY0"",$AD$6:$AD$205,1)&lt;=SUMIFS($D$6:$D$205,$A$6:"&amp;"$A$205,A167,$C$6:$C$205,""TTM"",$AD$6:$AD$205,1),SUMIFS($D$6:$D$205,$A$6:$A$205,A167,$C$6:$C$205,""TTM"",$AD$6:$AD$205,1)-SUMIFS($D$6:$D$205,$A$6:$A$205,A167,$C$6:$C$205,""FY0"",$AD$6:$AD$205,1)&lt;366,ABS(D167-EDATE(SUMIFS($D$6:$D$205,$A$6:$A$205,A167,$C$6:"&amp;"$C$205,""FY0"",$AD$6:$AD$205,1),IF(C167=""FY0"",0,IF(C167=""FY-1"",-12,-24))))&lt;=31),1,0),0))"),"")</f>
        <v/>
      </c>
    </row>
    <row r="168" ht="31.5" customHeight="1">
      <c r="A168" s="85"/>
      <c r="B168" s="86" t="str">
        <f t="array" ref="B168">IF(A168="","",IF(AB168&lt;&gt;1,"Unmatched issuer",INDEX(Companies!$C$6:$C$55,MATCH(A168,Companies!$A$6:$A$55,0))))</f>
        <v/>
      </c>
      <c r="C168" s="87"/>
      <c r="D168" s="88"/>
      <c r="E168" s="88"/>
      <c r="F168" s="88"/>
      <c r="G168" s="87"/>
      <c r="H168" s="87"/>
      <c r="I168" s="85"/>
      <c r="J168" s="89"/>
      <c r="K168" s="89"/>
      <c r="L168" s="90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90"/>
      <c r="Z168" s="85"/>
      <c r="AA168" s="85"/>
      <c r="AB168" s="86" t="str">
        <f>IF(A168="","",COUNTIF(Companies!$A$6:$A$55,A168))</f>
        <v/>
      </c>
      <c r="AC168" s="86" t="str">
        <f t="shared" si="1"/>
        <v/>
      </c>
      <c r="AD168" s="86" t="str">
        <f>IF(A168="","",IFERROR(IF(AND(AB168=1,AC168=1,AM168=1,OR(C168="TTM",C168="FY0",C168="FY-1",C168="FY-2"),ISNUMBER(D168),D168&lt;=Rules!$B$6,ISNUMBER(E168),E168&gt;=D168,E168&lt;=Rules!$B$6,ISNUMBER(F168),ABS(D168-F168-365)&lt;=31,OR(G168="US GAAP",G168="IFRS"),H168="Yes",I168&lt;&gt;"",COUNT(J168:R168)=9,J168&gt;0,L168&gt;-1,L168&lt;1,M168&gt;=0,N168&gt;=0,Q168&gt;=0,R168&gt;=0,M168+O168-Q168&gt;0,N168+P168-R168&gt;0,Z168&lt;&gt;"",AA168&lt;&gt;""),1,0),0))</f>
        <v/>
      </c>
      <c r="AE168" s="91" t="str">
        <f t="shared" si="2"/>
        <v/>
      </c>
      <c r="AF168" s="91" t="str">
        <f t="shared" si="3"/>
        <v/>
      </c>
      <c r="AG168" s="92" t="str">
        <f t="shared" si="4"/>
        <v/>
      </c>
      <c r="AH168" s="92" t="str">
        <f t="shared" si="5"/>
        <v/>
      </c>
      <c r="AI168" s="92" t="str">
        <f t="shared" si="6"/>
        <v/>
      </c>
      <c r="AJ168" s="92" t="str">
        <f t="shared" si="7"/>
        <v/>
      </c>
      <c r="AK168" s="92" t="str">
        <f t="shared" si="8"/>
        <v/>
      </c>
      <c r="AL168" s="86" t="str">
        <f t="shared" si="9"/>
        <v/>
      </c>
      <c r="AM168" s="86" t="str">
        <f t="array" ref="AM168">IF(A168="","",IF(AB168&lt;&gt;1,0,IF(AND(INDEX(Companies!$R$6:$R$55,MATCH(A168,Companies!$A$6:$A$55,0))=1,INDEX(Companies!$I$6:$I$55,MATCH(A168,Companies!$A$6:$A$55,0))&gt;=MAX(10,Rules!$B$22)),1,0)))</f>
        <v/>
      </c>
      <c r="AN168" s="86" t="str">
        <f>IFERROR(__xludf.DUMMYFUNCTION("IF(A168="""","""",IFERROR(IF(AND(OR(C168=""FY0"",C168=""FY-1"",C168=""FY-2""),AD168=1,COUNTIFS($A$6:$A$205,A168,$C$6:$C$205,""FY0"",$AD$6:$AD$205,1)=1,COUNTIFS($A$6:$A$205,A168,$C$6:$C$205,""TTM"",$AD$6:$AD$205,1)=1,G168=IFNA(INDEX(FILTER($G$6:$G$205,$A$6"&amp;":$A$205=A168,$C$6:$C$205=""TTM"",$AD$6:$AD$205=1),1),""""),I168=IFNA(INDEX(FILTER($I$6:$I$205,$A$6:$A$205=A168,$C$6:$C$205=""TTM"",$AD$6:$AD$205=1),1),""""),SUMIFS($D$6:$D$205,$A$6:$A$205,A168,$C$6:$C$205,""FY0"",$AD$6:$AD$205,1)&lt;=SUMIFS($D$6:$D$205,$A$6:"&amp;"$A$205,A168,$C$6:$C$205,""TTM"",$AD$6:$AD$205,1),SUMIFS($D$6:$D$205,$A$6:$A$205,A168,$C$6:$C$205,""TTM"",$AD$6:$AD$205,1)-SUMIFS($D$6:$D$205,$A$6:$A$205,A168,$C$6:$C$205,""FY0"",$AD$6:$AD$205,1)&lt;366,ABS(D168-EDATE(SUMIFS($D$6:$D$205,$A$6:$A$205,A168,$C$6:"&amp;"$C$205,""FY0"",$AD$6:$AD$205,1),IF(C168=""FY0"",0,IF(C168=""FY-1"",-12,-24))))&lt;=31),1,0),0))"),"")</f>
        <v/>
      </c>
    </row>
    <row r="169" ht="31.5" customHeight="1">
      <c r="A169" s="85"/>
      <c r="B169" s="86" t="str">
        <f t="array" ref="B169">IF(A169="","",IF(AB169&lt;&gt;1,"Unmatched issuer",INDEX(Companies!$C$6:$C$55,MATCH(A169,Companies!$A$6:$A$55,0))))</f>
        <v/>
      </c>
      <c r="C169" s="87"/>
      <c r="D169" s="88"/>
      <c r="E169" s="88"/>
      <c r="F169" s="88"/>
      <c r="G169" s="87"/>
      <c r="H169" s="87"/>
      <c r="I169" s="85"/>
      <c r="J169" s="89"/>
      <c r="K169" s="89"/>
      <c r="L169" s="90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90"/>
      <c r="Z169" s="85"/>
      <c r="AA169" s="85"/>
      <c r="AB169" s="86" t="str">
        <f>IF(A169="","",COUNTIF(Companies!$A$6:$A$55,A169))</f>
        <v/>
      </c>
      <c r="AC169" s="86" t="str">
        <f t="shared" si="1"/>
        <v/>
      </c>
      <c r="AD169" s="86" t="str">
        <f>IF(A169="","",IFERROR(IF(AND(AB169=1,AC169=1,AM169=1,OR(C169="TTM",C169="FY0",C169="FY-1",C169="FY-2"),ISNUMBER(D169),D169&lt;=Rules!$B$6,ISNUMBER(E169),E169&gt;=D169,E169&lt;=Rules!$B$6,ISNUMBER(F169),ABS(D169-F169-365)&lt;=31,OR(G169="US GAAP",G169="IFRS"),H169="Yes",I169&lt;&gt;"",COUNT(J169:R169)=9,J169&gt;0,L169&gt;-1,L169&lt;1,M169&gt;=0,N169&gt;=0,Q169&gt;=0,R169&gt;=0,M169+O169-Q169&gt;0,N169+P169-R169&gt;0,Z169&lt;&gt;"",AA169&lt;&gt;""),1,0),0))</f>
        <v/>
      </c>
      <c r="AE169" s="91" t="str">
        <f t="shared" si="2"/>
        <v/>
      </c>
      <c r="AF169" s="91" t="str">
        <f t="shared" si="3"/>
        <v/>
      </c>
      <c r="AG169" s="92" t="str">
        <f t="shared" si="4"/>
        <v/>
      </c>
      <c r="AH169" s="92" t="str">
        <f t="shared" si="5"/>
        <v/>
      </c>
      <c r="AI169" s="92" t="str">
        <f t="shared" si="6"/>
        <v/>
      </c>
      <c r="AJ169" s="92" t="str">
        <f t="shared" si="7"/>
        <v/>
      </c>
      <c r="AK169" s="92" t="str">
        <f t="shared" si="8"/>
        <v/>
      </c>
      <c r="AL169" s="86" t="str">
        <f t="shared" si="9"/>
        <v/>
      </c>
      <c r="AM169" s="86" t="str">
        <f t="array" ref="AM169">IF(A169="","",IF(AB169&lt;&gt;1,0,IF(AND(INDEX(Companies!$R$6:$R$55,MATCH(A169,Companies!$A$6:$A$55,0))=1,INDEX(Companies!$I$6:$I$55,MATCH(A169,Companies!$A$6:$A$55,0))&gt;=MAX(10,Rules!$B$22)),1,0)))</f>
        <v/>
      </c>
      <c r="AN169" s="86" t="str">
        <f>IFERROR(__xludf.DUMMYFUNCTION("IF(A169="""","""",IFERROR(IF(AND(OR(C169=""FY0"",C169=""FY-1"",C169=""FY-2""),AD169=1,COUNTIFS($A$6:$A$205,A169,$C$6:$C$205,""FY0"",$AD$6:$AD$205,1)=1,COUNTIFS($A$6:$A$205,A169,$C$6:$C$205,""TTM"",$AD$6:$AD$205,1)=1,G169=IFNA(INDEX(FILTER($G$6:$G$205,$A$6"&amp;":$A$205=A169,$C$6:$C$205=""TTM"",$AD$6:$AD$205=1),1),""""),I169=IFNA(INDEX(FILTER($I$6:$I$205,$A$6:$A$205=A169,$C$6:$C$205=""TTM"",$AD$6:$AD$205=1),1),""""),SUMIFS($D$6:$D$205,$A$6:$A$205,A169,$C$6:$C$205,""FY0"",$AD$6:$AD$205,1)&lt;=SUMIFS($D$6:$D$205,$A$6:"&amp;"$A$205,A169,$C$6:$C$205,""TTM"",$AD$6:$AD$205,1),SUMIFS($D$6:$D$205,$A$6:$A$205,A169,$C$6:$C$205,""TTM"",$AD$6:$AD$205,1)-SUMIFS($D$6:$D$205,$A$6:$A$205,A169,$C$6:$C$205,""FY0"",$AD$6:$AD$205,1)&lt;366,ABS(D169-EDATE(SUMIFS($D$6:$D$205,$A$6:$A$205,A169,$C$6:"&amp;"$C$205,""FY0"",$AD$6:$AD$205,1),IF(C169=""FY0"",0,IF(C169=""FY-1"",-12,-24))))&lt;=31),1,0),0))"),"")</f>
        <v/>
      </c>
    </row>
    <row r="170" ht="31.5" customHeight="1">
      <c r="A170" s="85"/>
      <c r="B170" s="86" t="str">
        <f t="array" ref="B170">IF(A170="","",IF(AB170&lt;&gt;1,"Unmatched issuer",INDEX(Companies!$C$6:$C$55,MATCH(A170,Companies!$A$6:$A$55,0))))</f>
        <v/>
      </c>
      <c r="C170" s="87"/>
      <c r="D170" s="88"/>
      <c r="E170" s="88"/>
      <c r="F170" s="88"/>
      <c r="G170" s="87"/>
      <c r="H170" s="87"/>
      <c r="I170" s="85"/>
      <c r="J170" s="89"/>
      <c r="K170" s="89"/>
      <c r="L170" s="90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90"/>
      <c r="Z170" s="85"/>
      <c r="AA170" s="85"/>
      <c r="AB170" s="86" t="str">
        <f>IF(A170="","",COUNTIF(Companies!$A$6:$A$55,A170))</f>
        <v/>
      </c>
      <c r="AC170" s="86" t="str">
        <f t="shared" si="1"/>
        <v/>
      </c>
      <c r="AD170" s="86" t="str">
        <f>IF(A170="","",IFERROR(IF(AND(AB170=1,AC170=1,AM170=1,OR(C170="TTM",C170="FY0",C170="FY-1",C170="FY-2"),ISNUMBER(D170),D170&lt;=Rules!$B$6,ISNUMBER(E170),E170&gt;=D170,E170&lt;=Rules!$B$6,ISNUMBER(F170),ABS(D170-F170-365)&lt;=31,OR(G170="US GAAP",G170="IFRS"),H170="Yes",I170&lt;&gt;"",COUNT(J170:R170)=9,J170&gt;0,L170&gt;-1,L170&lt;1,M170&gt;=0,N170&gt;=0,Q170&gt;=0,R170&gt;=0,M170+O170-Q170&gt;0,N170+P170-R170&gt;0,Z170&lt;&gt;"",AA170&lt;&gt;""),1,0),0))</f>
        <v/>
      </c>
      <c r="AE170" s="91" t="str">
        <f t="shared" si="2"/>
        <v/>
      </c>
      <c r="AF170" s="91" t="str">
        <f t="shared" si="3"/>
        <v/>
      </c>
      <c r="AG170" s="92" t="str">
        <f t="shared" si="4"/>
        <v/>
      </c>
      <c r="AH170" s="92" t="str">
        <f t="shared" si="5"/>
        <v/>
      </c>
      <c r="AI170" s="92" t="str">
        <f t="shared" si="6"/>
        <v/>
      </c>
      <c r="AJ170" s="92" t="str">
        <f t="shared" si="7"/>
        <v/>
      </c>
      <c r="AK170" s="92" t="str">
        <f t="shared" si="8"/>
        <v/>
      </c>
      <c r="AL170" s="86" t="str">
        <f t="shared" si="9"/>
        <v/>
      </c>
      <c r="AM170" s="86" t="str">
        <f t="array" ref="AM170">IF(A170="","",IF(AB170&lt;&gt;1,0,IF(AND(INDEX(Companies!$R$6:$R$55,MATCH(A170,Companies!$A$6:$A$55,0))=1,INDEX(Companies!$I$6:$I$55,MATCH(A170,Companies!$A$6:$A$55,0))&gt;=MAX(10,Rules!$B$22)),1,0)))</f>
        <v/>
      </c>
      <c r="AN170" s="86" t="str">
        <f>IFERROR(__xludf.DUMMYFUNCTION("IF(A170="""","""",IFERROR(IF(AND(OR(C170=""FY0"",C170=""FY-1"",C170=""FY-2""),AD170=1,COUNTIFS($A$6:$A$205,A170,$C$6:$C$205,""FY0"",$AD$6:$AD$205,1)=1,COUNTIFS($A$6:$A$205,A170,$C$6:$C$205,""TTM"",$AD$6:$AD$205,1)=1,G170=IFNA(INDEX(FILTER($G$6:$G$205,$A$6"&amp;":$A$205=A170,$C$6:$C$205=""TTM"",$AD$6:$AD$205=1),1),""""),I170=IFNA(INDEX(FILTER($I$6:$I$205,$A$6:$A$205=A170,$C$6:$C$205=""TTM"",$AD$6:$AD$205=1),1),""""),SUMIFS($D$6:$D$205,$A$6:$A$205,A170,$C$6:$C$205,""FY0"",$AD$6:$AD$205,1)&lt;=SUMIFS($D$6:$D$205,$A$6:"&amp;"$A$205,A170,$C$6:$C$205,""TTM"",$AD$6:$AD$205,1),SUMIFS($D$6:$D$205,$A$6:$A$205,A170,$C$6:$C$205,""TTM"",$AD$6:$AD$205,1)-SUMIFS($D$6:$D$205,$A$6:$A$205,A170,$C$6:$C$205,""FY0"",$AD$6:$AD$205,1)&lt;366,ABS(D170-EDATE(SUMIFS($D$6:$D$205,$A$6:$A$205,A170,$C$6:"&amp;"$C$205,""FY0"",$AD$6:$AD$205,1),IF(C170=""FY0"",0,IF(C170=""FY-1"",-12,-24))))&lt;=31),1,0),0))"),"")</f>
        <v/>
      </c>
    </row>
    <row r="171" ht="31.5" customHeight="1">
      <c r="A171" s="85"/>
      <c r="B171" s="86" t="str">
        <f t="array" ref="B171">IF(A171="","",IF(AB171&lt;&gt;1,"Unmatched issuer",INDEX(Companies!$C$6:$C$55,MATCH(A171,Companies!$A$6:$A$55,0))))</f>
        <v/>
      </c>
      <c r="C171" s="87"/>
      <c r="D171" s="88"/>
      <c r="E171" s="88"/>
      <c r="F171" s="88"/>
      <c r="G171" s="87"/>
      <c r="H171" s="87"/>
      <c r="I171" s="85"/>
      <c r="J171" s="89"/>
      <c r="K171" s="89"/>
      <c r="L171" s="90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90"/>
      <c r="Z171" s="85"/>
      <c r="AA171" s="85"/>
      <c r="AB171" s="86" t="str">
        <f>IF(A171="","",COUNTIF(Companies!$A$6:$A$55,A171))</f>
        <v/>
      </c>
      <c r="AC171" s="86" t="str">
        <f t="shared" si="1"/>
        <v/>
      </c>
      <c r="AD171" s="86" t="str">
        <f>IF(A171="","",IFERROR(IF(AND(AB171=1,AC171=1,AM171=1,OR(C171="TTM",C171="FY0",C171="FY-1",C171="FY-2"),ISNUMBER(D171),D171&lt;=Rules!$B$6,ISNUMBER(E171),E171&gt;=D171,E171&lt;=Rules!$B$6,ISNUMBER(F171),ABS(D171-F171-365)&lt;=31,OR(G171="US GAAP",G171="IFRS"),H171="Yes",I171&lt;&gt;"",COUNT(J171:R171)=9,J171&gt;0,L171&gt;-1,L171&lt;1,M171&gt;=0,N171&gt;=0,Q171&gt;=0,R171&gt;=0,M171+O171-Q171&gt;0,N171+P171-R171&gt;0,Z171&lt;&gt;"",AA171&lt;&gt;""),1,0),0))</f>
        <v/>
      </c>
      <c r="AE171" s="91" t="str">
        <f t="shared" si="2"/>
        <v/>
      </c>
      <c r="AF171" s="91" t="str">
        <f t="shared" si="3"/>
        <v/>
      </c>
      <c r="AG171" s="92" t="str">
        <f t="shared" si="4"/>
        <v/>
      </c>
      <c r="AH171" s="92" t="str">
        <f t="shared" si="5"/>
        <v/>
      </c>
      <c r="AI171" s="92" t="str">
        <f t="shared" si="6"/>
        <v/>
      </c>
      <c r="AJ171" s="92" t="str">
        <f t="shared" si="7"/>
        <v/>
      </c>
      <c r="AK171" s="92" t="str">
        <f t="shared" si="8"/>
        <v/>
      </c>
      <c r="AL171" s="86" t="str">
        <f t="shared" si="9"/>
        <v/>
      </c>
      <c r="AM171" s="86" t="str">
        <f t="array" ref="AM171">IF(A171="","",IF(AB171&lt;&gt;1,0,IF(AND(INDEX(Companies!$R$6:$R$55,MATCH(A171,Companies!$A$6:$A$55,0))=1,INDEX(Companies!$I$6:$I$55,MATCH(A171,Companies!$A$6:$A$55,0))&gt;=MAX(10,Rules!$B$22)),1,0)))</f>
        <v/>
      </c>
      <c r="AN171" s="86" t="str">
        <f>IFERROR(__xludf.DUMMYFUNCTION("IF(A171="""","""",IFERROR(IF(AND(OR(C171=""FY0"",C171=""FY-1"",C171=""FY-2""),AD171=1,COUNTIFS($A$6:$A$205,A171,$C$6:$C$205,""FY0"",$AD$6:$AD$205,1)=1,COUNTIFS($A$6:$A$205,A171,$C$6:$C$205,""TTM"",$AD$6:$AD$205,1)=1,G171=IFNA(INDEX(FILTER($G$6:$G$205,$A$6"&amp;":$A$205=A171,$C$6:$C$205=""TTM"",$AD$6:$AD$205=1),1),""""),I171=IFNA(INDEX(FILTER($I$6:$I$205,$A$6:$A$205=A171,$C$6:$C$205=""TTM"",$AD$6:$AD$205=1),1),""""),SUMIFS($D$6:$D$205,$A$6:$A$205,A171,$C$6:$C$205,""FY0"",$AD$6:$AD$205,1)&lt;=SUMIFS($D$6:$D$205,$A$6:"&amp;"$A$205,A171,$C$6:$C$205,""TTM"",$AD$6:$AD$205,1),SUMIFS($D$6:$D$205,$A$6:$A$205,A171,$C$6:$C$205,""TTM"",$AD$6:$AD$205,1)-SUMIFS($D$6:$D$205,$A$6:$A$205,A171,$C$6:$C$205,""FY0"",$AD$6:$AD$205,1)&lt;366,ABS(D171-EDATE(SUMIFS($D$6:$D$205,$A$6:$A$205,A171,$C$6:"&amp;"$C$205,""FY0"",$AD$6:$AD$205,1),IF(C171=""FY0"",0,IF(C171=""FY-1"",-12,-24))))&lt;=31),1,0),0))"),"")</f>
        <v/>
      </c>
    </row>
    <row r="172" ht="31.5" customHeight="1">
      <c r="A172" s="85"/>
      <c r="B172" s="86" t="str">
        <f t="array" ref="B172">IF(A172="","",IF(AB172&lt;&gt;1,"Unmatched issuer",INDEX(Companies!$C$6:$C$55,MATCH(A172,Companies!$A$6:$A$55,0))))</f>
        <v/>
      </c>
      <c r="C172" s="87"/>
      <c r="D172" s="88"/>
      <c r="E172" s="88"/>
      <c r="F172" s="88"/>
      <c r="G172" s="87"/>
      <c r="H172" s="87"/>
      <c r="I172" s="85"/>
      <c r="J172" s="89"/>
      <c r="K172" s="89"/>
      <c r="L172" s="90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90"/>
      <c r="Z172" s="85"/>
      <c r="AA172" s="85"/>
      <c r="AB172" s="86" t="str">
        <f>IF(A172="","",COUNTIF(Companies!$A$6:$A$55,A172))</f>
        <v/>
      </c>
      <c r="AC172" s="86" t="str">
        <f t="shared" si="1"/>
        <v/>
      </c>
      <c r="AD172" s="86" t="str">
        <f>IF(A172="","",IFERROR(IF(AND(AB172=1,AC172=1,AM172=1,OR(C172="TTM",C172="FY0",C172="FY-1",C172="FY-2"),ISNUMBER(D172),D172&lt;=Rules!$B$6,ISNUMBER(E172),E172&gt;=D172,E172&lt;=Rules!$B$6,ISNUMBER(F172),ABS(D172-F172-365)&lt;=31,OR(G172="US GAAP",G172="IFRS"),H172="Yes",I172&lt;&gt;"",COUNT(J172:R172)=9,J172&gt;0,L172&gt;-1,L172&lt;1,M172&gt;=0,N172&gt;=0,Q172&gt;=0,R172&gt;=0,M172+O172-Q172&gt;0,N172+P172-R172&gt;0,Z172&lt;&gt;"",AA172&lt;&gt;""),1,0),0))</f>
        <v/>
      </c>
      <c r="AE172" s="91" t="str">
        <f t="shared" si="2"/>
        <v/>
      </c>
      <c r="AF172" s="91" t="str">
        <f t="shared" si="3"/>
        <v/>
      </c>
      <c r="AG172" s="92" t="str">
        <f t="shared" si="4"/>
        <v/>
      </c>
      <c r="AH172" s="92" t="str">
        <f t="shared" si="5"/>
        <v/>
      </c>
      <c r="AI172" s="92" t="str">
        <f t="shared" si="6"/>
        <v/>
      </c>
      <c r="AJ172" s="92" t="str">
        <f t="shared" si="7"/>
        <v/>
      </c>
      <c r="AK172" s="92" t="str">
        <f t="shared" si="8"/>
        <v/>
      </c>
      <c r="AL172" s="86" t="str">
        <f t="shared" si="9"/>
        <v/>
      </c>
      <c r="AM172" s="86" t="str">
        <f t="array" ref="AM172">IF(A172="","",IF(AB172&lt;&gt;1,0,IF(AND(INDEX(Companies!$R$6:$R$55,MATCH(A172,Companies!$A$6:$A$55,0))=1,INDEX(Companies!$I$6:$I$55,MATCH(A172,Companies!$A$6:$A$55,0))&gt;=MAX(10,Rules!$B$22)),1,0)))</f>
        <v/>
      </c>
      <c r="AN172" s="86" t="str">
        <f>IFERROR(__xludf.DUMMYFUNCTION("IF(A172="""","""",IFERROR(IF(AND(OR(C172=""FY0"",C172=""FY-1"",C172=""FY-2""),AD172=1,COUNTIFS($A$6:$A$205,A172,$C$6:$C$205,""FY0"",$AD$6:$AD$205,1)=1,COUNTIFS($A$6:$A$205,A172,$C$6:$C$205,""TTM"",$AD$6:$AD$205,1)=1,G172=IFNA(INDEX(FILTER($G$6:$G$205,$A$6"&amp;":$A$205=A172,$C$6:$C$205=""TTM"",$AD$6:$AD$205=1),1),""""),I172=IFNA(INDEX(FILTER($I$6:$I$205,$A$6:$A$205=A172,$C$6:$C$205=""TTM"",$AD$6:$AD$205=1),1),""""),SUMIFS($D$6:$D$205,$A$6:$A$205,A172,$C$6:$C$205,""FY0"",$AD$6:$AD$205,1)&lt;=SUMIFS($D$6:$D$205,$A$6:"&amp;"$A$205,A172,$C$6:$C$205,""TTM"",$AD$6:$AD$205,1),SUMIFS($D$6:$D$205,$A$6:$A$205,A172,$C$6:$C$205,""TTM"",$AD$6:$AD$205,1)-SUMIFS($D$6:$D$205,$A$6:$A$205,A172,$C$6:$C$205,""FY0"",$AD$6:$AD$205,1)&lt;366,ABS(D172-EDATE(SUMIFS($D$6:$D$205,$A$6:$A$205,A172,$C$6:"&amp;"$C$205,""FY0"",$AD$6:$AD$205,1),IF(C172=""FY0"",0,IF(C172=""FY-1"",-12,-24))))&lt;=31),1,0),0))"),"")</f>
        <v/>
      </c>
    </row>
    <row r="173" ht="31.5" customHeight="1">
      <c r="A173" s="85"/>
      <c r="B173" s="86" t="str">
        <f t="array" ref="B173">IF(A173="","",IF(AB173&lt;&gt;1,"Unmatched issuer",INDEX(Companies!$C$6:$C$55,MATCH(A173,Companies!$A$6:$A$55,0))))</f>
        <v/>
      </c>
      <c r="C173" s="87"/>
      <c r="D173" s="88"/>
      <c r="E173" s="88"/>
      <c r="F173" s="88"/>
      <c r="G173" s="87"/>
      <c r="H173" s="87"/>
      <c r="I173" s="85"/>
      <c r="J173" s="89"/>
      <c r="K173" s="89"/>
      <c r="L173" s="90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90"/>
      <c r="Z173" s="85"/>
      <c r="AA173" s="85"/>
      <c r="AB173" s="86" t="str">
        <f>IF(A173="","",COUNTIF(Companies!$A$6:$A$55,A173))</f>
        <v/>
      </c>
      <c r="AC173" s="86" t="str">
        <f t="shared" si="1"/>
        <v/>
      </c>
      <c r="AD173" s="86" t="str">
        <f>IF(A173="","",IFERROR(IF(AND(AB173=1,AC173=1,AM173=1,OR(C173="TTM",C173="FY0",C173="FY-1",C173="FY-2"),ISNUMBER(D173),D173&lt;=Rules!$B$6,ISNUMBER(E173),E173&gt;=D173,E173&lt;=Rules!$B$6,ISNUMBER(F173),ABS(D173-F173-365)&lt;=31,OR(G173="US GAAP",G173="IFRS"),H173="Yes",I173&lt;&gt;"",COUNT(J173:R173)=9,J173&gt;0,L173&gt;-1,L173&lt;1,M173&gt;=0,N173&gt;=0,Q173&gt;=0,R173&gt;=0,M173+O173-Q173&gt;0,N173+P173-R173&gt;0,Z173&lt;&gt;"",AA173&lt;&gt;""),1,0),0))</f>
        <v/>
      </c>
      <c r="AE173" s="91" t="str">
        <f t="shared" si="2"/>
        <v/>
      </c>
      <c r="AF173" s="91" t="str">
        <f t="shared" si="3"/>
        <v/>
      </c>
      <c r="AG173" s="92" t="str">
        <f t="shared" si="4"/>
        <v/>
      </c>
      <c r="AH173" s="92" t="str">
        <f t="shared" si="5"/>
        <v/>
      </c>
      <c r="AI173" s="92" t="str">
        <f t="shared" si="6"/>
        <v/>
      </c>
      <c r="AJ173" s="92" t="str">
        <f t="shared" si="7"/>
        <v/>
      </c>
      <c r="AK173" s="92" t="str">
        <f t="shared" si="8"/>
        <v/>
      </c>
      <c r="AL173" s="86" t="str">
        <f t="shared" si="9"/>
        <v/>
      </c>
      <c r="AM173" s="86" t="str">
        <f t="array" ref="AM173">IF(A173="","",IF(AB173&lt;&gt;1,0,IF(AND(INDEX(Companies!$R$6:$R$55,MATCH(A173,Companies!$A$6:$A$55,0))=1,INDEX(Companies!$I$6:$I$55,MATCH(A173,Companies!$A$6:$A$55,0))&gt;=MAX(10,Rules!$B$22)),1,0)))</f>
        <v/>
      </c>
      <c r="AN173" s="86" t="str">
        <f>IFERROR(__xludf.DUMMYFUNCTION("IF(A173="""","""",IFERROR(IF(AND(OR(C173=""FY0"",C173=""FY-1"",C173=""FY-2""),AD173=1,COUNTIFS($A$6:$A$205,A173,$C$6:$C$205,""FY0"",$AD$6:$AD$205,1)=1,COUNTIFS($A$6:$A$205,A173,$C$6:$C$205,""TTM"",$AD$6:$AD$205,1)=1,G173=IFNA(INDEX(FILTER($G$6:$G$205,$A$6"&amp;":$A$205=A173,$C$6:$C$205=""TTM"",$AD$6:$AD$205=1),1),""""),I173=IFNA(INDEX(FILTER($I$6:$I$205,$A$6:$A$205=A173,$C$6:$C$205=""TTM"",$AD$6:$AD$205=1),1),""""),SUMIFS($D$6:$D$205,$A$6:$A$205,A173,$C$6:$C$205,""FY0"",$AD$6:$AD$205,1)&lt;=SUMIFS($D$6:$D$205,$A$6:"&amp;"$A$205,A173,$C$6:$C$205,""TTM"",$AD$6:$AD$205,1),SUMIFS($D$6:$D$205,$A$6:$A$205,A173,$C$6:$C$205,""TTM"",$AD$6:$AD$205,1)-SUMIFS($D$6:$D$205,$A$6:$A$205,A173,$C$6:$C$205,""FY0"",$AD$6:$AD$205,1)&lt;366,ABS(D173-EDATE(SUMIFS($D$6:$D$205,$A$6:$A$205,A173,$C$6:"&amp;"$C$205,""FY0"",$AD$6:$AD$205,1),IF(C173=""FY0"",0,IF(C173=""FY-1"",-12,-24))))&lt;=31),1,0),0))"),"")</f>
        <v/>
      </c>
    </row>
    <row r="174" ht="31.5" customHeight="1">
      <c r="A174" s="85"/>
      <c r="B174" s="86" t="str">
        <f t="array" ref="B174">IF(A174="","",IF(AB174&lt;&gt;1,"Unmatched issuer",INDEX(Companies!$C$6:$C$55,MATCH(A174,Companies!$A$6:$A$55,0))))</f>
        <v/>
      </c>
      <c r="C174" s="87"/>
      <c r="D174" s="88"/>
      <c r="E174" s="88"/>
      <c r="F174" s="88"/>
      <c r="G174" s="87"/>
      <c r="H174" s="87"/>
      <c r="I174" s="85"/>
      <c r="J174" s="89"/>
      <c r="K174" s="89"/>
      <c r="L174" s="90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90"/>
      <c r="Z174" s="85"/>
      <c r="AA174" s="85"/>
      <c r="AB174" s="86" t="str">
        <f>IF(A174="","",COUNTIF(Companies!$A$6:$A$55,A174))</f>
        <v/>
      </c>
      <c r="AC174" s="86" t="str">
        <f t="shared" si="1"/>
        <v/>
      </c>
      <c r="AD174" s="86" t="str">
        <f>IF(A174="","",IFERROR(IF(AND(AB174=1,AC174=1,AM174=1,OR(C174="TTM",C174="FY0",C174="FY-1",C174="FY-2"),ISNUMBER(D174),D174&lt;=Rules!$B$6,ISNUMBER(E174),E174&gt;=D174,E174&lt;=Rules!$B$6,ISNUMBER(F174),ABS(D174-F174-365)&lt;=31,OR(G174="US GAAP",G174="IFRS"),H174="Yes",I174&lt;&gt;"",COUNT(J174:R174)=9,J174&gt;0,L174&gt;-1,L174&lt;1,M174&gt;=0,N174&gt;=0,Q174&gt;=0,R174&gt;=0,M174+O174-Q174&gt;0,N174+P174-R174&gt;0,Z174&lt;&gt;"",AA174&lt;&gt;""),1,0),0))</f>
        <v/>
      </c>
      <c r="AE174" s="91" t="str">
        <f t="shared" si="2"/>
        <v/>
      </c>
      <c r="AF174" s="91" t="str">
        <f t="shared" si="3"/>
        <v/>
      </c>
      <c r="AG174" s="92" t="str">
        <f t="shared" si="4"/>
        <v/>
      </c>
      <c r="AH174" s="92" t="str">
        <f t="shared" si="5"/>
        <v/>
      </c>
      <c r="AI174" s="92" t="str">
        <f t="shared" si="6"/>
        <v/>
      </c>
      <c r="AJ174" s="92" t="str">
        <f t="shared" si="7"/>
        <v/>
      </c>
      <c r="AK174" s="92" t="str">
        <f t="shared" si="8"/>
        <v/>
      </c>
      <c r="AL174" s="86" t="str">
        <f t="shared" si="9"/>
        <v/>
      </c>
      <c r="AM174" s="86" t="str">
        <f t="array" ref="AM174">IF(A174="","",IF(AB174&lt;&gt;1,0,IF(AND(INDEX(Companies!$R$6:$R$55,MATCH(A174,Companies!$A$6:$A$55,0))=1,INDEX(Companies!$I$6:$I$55,MATCH(A174,Companies!$A$6:$A$55,0))&gt;=MAX(10,Rules!$B$22)),1,0)))</f>
        <v/>
      </c>
      <c r="AN174" s="86" t="str">
        <f>IFERROR(__xludf.DUMMYFUNCTION("IF(A174="""","""",IFERROR(IF(AND(OR(C174=""FY0"",C174=""FY-1"",C174=""FY-2""),AD174=1,COUNTIFS($A$6:$A$205,A174,$C$6:$C$205,""FY0"",$AD$6:$AD$205,1)=1,COUNTIFS($A$6:$A$205,A174,$C$6:$C$205,""TTM"",$AD$6:$AD$205,1)=1,G174=IFNA(INDEX(FILTER($G$6:$G$205,$A$6"&amp;":$A$205=A174,$C$6:$C$205=""TTM"",$AD$6:$AD$205=1),1),""""),I174=IFNA(INDEX(FILTER($I$6:$I$205,$A$6:$A$205=A174,$C$6:$C$205=""TTM"",$AD$6:$AD$205=1),1),""""),SUMIFS($D$6:$D$205,$A$6:$A$205,A174,$C$6:$C$205,""FY0"",$AD$6:$AD$205,1)&lt;=SUMIFS($D$6:$D$205,$A$6:"&amp;"$A$205,A174,$C$6:$C$205,""TTM"",$AD$6:$AD$205,1),SUMIFS($D$6:$D$205,$A$6:$A$205,A174,$C$6:$C$205,""TTM"",$AD$6:$AD$205,1)-SUMIFS($D$6:$D$205,$A$6:$A$205,A174,$C$6:$C$205,""FY0"",$AD$6:$AD$205,1)&lt;366,ABS(D174-EDATE(SUMIFS($D$6:$D$205,$A$6:$A$205,A174,$C$6:"&amp;"$C$205,""FY0"",$AD$6:$AD$205,1),IF(C174=""FY0"",0,IF(C174=""FY-1"",-12,-24))))&lt;=31),1,0),0))"),"")</f>
        <v/>
      </c>
    </row>
    <row r="175" ht="31.5" customHeight="1">
      <c r="A175" s="85"/>
      <c r="B175" s="86" t="str">
        <f t="array" ref="B175">IF(A175="","",IF(AB175&lt;&gt;1,"Unmatched issuer",INDEX(Companies!$C$6:$C$55,MATCH(A175,Companies!$A$6:$A$55,0))))</f>
        <v/>
      </c>
      <c r="C175" s="87"/>
      <c r="D175" s="88"/>
      <c r="E175" s="88"/>
      <c r="F175" s="88"/>
      <c r="G175" s="87"/>
      <c r="H175" s="87"/>
      <c r="I175" s="85"/>
      <c r="J175" s="89"/>
      <c r="K175" s="89"/>
      <c r="L175" s="90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90"/>
      <c r="Z175" s="85"/>
      <c r="AA175" s="85"/>
      <c r="AB175" s="86" t="str">
        <f>IF(A175="","",COUNTIF(Companies!$A$6:$A$55,A175))</f>
        <v/>
      </c>
      <c r="AC175" s="86" t="str">
        <f t="shared" si="1"/>
        <v/>
      </c>
      <c r="AD175" s="86" t="str">
        <f>IF(A175="","",IFERROR(IF(AND(AB175=1,AC175=1,AM175=1,OR(C175="TTM",C175="FY0",C175="FY-1",C175="FY-2"),ISNUMBER(D175),D175&lt;=Rules!$B$6,ISNUMBER(E175),E175&gt;=D175,E175&lt;=Rules!$B$6,ISNUMBER(F175),ABS(D175-F175-365)&lt;=31,OR(G175="US GAAP",G175="IFRS"),H175="Yes",I175&lt;&gt;"",COUNT(J175:R175)=9,J175&gt;0,L175&gt;-1,L175&lt;1,M175&gt;=0,N175&gt;=0,Q175&gt;=0,R175&gt;=0,M175+O175-Q175&gt;0,N175+P175-R175&gt;0,Z175&lt;&gt;"",AA175&lt;&gt;""),1,0),0))</f>
        <v/>
      </c>
      <c r="AE175" s="91" t="str">
        <f t="shared" si="2"/>
        <v/>
      </c>
      <c r="AF175" s="91" t="str">
        <f t="shared" si="3"/>
        <v/>
      </c>
      <c r="AG175" s="92" t="str">
        <f t="shared" si="4"/>
        <v/>
      </c>
      <c r="AH175" s="92" t="str">
        <f t="shared" si="5"/>
        <v/>
      </c>
      <c r="AI175" s="92" t="str">
        <f t="shared" si="6"/>
        <v/>
      </c>
      <c r="AJ175" s="92" t="str">
        <f t="shared" si="7"/>
        <v/>
      </c>
      <c r="AK175" s="92" t="str">
        <f t="shared" si="8"/>
        <v/>
      </c>
      <c r="AL175" s="86" t="str">
        <f t="shared" si="9"/>
        <v/>
      </c>
      <c r="AM175" s="86" t="str">
        <f t="array" ref="AM175">IF(A175="","",IF(AB175&lt;&gt;1,0,IF(AND(INDEX(Companies!$R$6:$R$55,MATCH(A175,Companies!$A$6:$A$55,0))=1,INDEX(Companies!$I$6:$I$55,MATCH(A175,Companies!$A$6:$A$55,0))&gt;=MAX(10,Rules!$B$22)),1,0)))</f>
        <v/>
      </c>
      <c r="AN175" s="86" t="str">
        <f>IFERROR(__xludf.DUMMYFUNCTION("IF(A175="""","""",IFERROR(IF(AND(OR(C175=""FY0"",C175=""FY-1"",C175=""FY-2""),AD175=1,COUNTIFS($A$6:$A$205,A175,$C$6:$C$205,""FY0"",$AD$6:$AD$205,1)=1,COUNTIFS($A$6:$A$205,A175,$C$6:$C$205,""TTM"",$AD$6:$AD$205,1)=1,G175=IFNA(INDEX(FILTER($G$6:$G$205,$A$6"&amp;":$A$205=A175,$C$6:$C$205=""TTM"",$AD$6:$AD$205=1),1),""""),I175=IFNA(INDEX(FILTER($I$6:$I$205,$A$6:$A$205=A175,$C$6:$C$205=""TTM"",$AD$6:$AD$205=1),1),""""),SUMIFS($D$6:$D$205,$A$6:$A$205,A175,$C$6:$C$205,""FY0"",$AD$6:$AD$205,1)&lt;=SUMIFS($D$6:$D$205,$A$6:"&amp;"$A$205,A175,$C$6:$C$205,""TTM"",$AD$6:$AD$205,1),SUMIFS($D$6:$D$205,$A$6:$A$205,A175,$C$6:$C$205,""TTM"",$AD$6:$AD$205,1)-SUMIFS($D$6:$D$205,$A$6:$A$205,A175,$C$6:$C$205,""FY0"",$AD$6:$AD$205,1)&lt;366,ABS(D175-EDATE(SUMIFS($D$6:$D$205,$A$6:$A$205,A175,$C$6:"&amp;"$C$205,""FY0"",$AD$6:$AD$205,1),IF(C175=""FY0"",0,IF(C175=""FY-1"",-12,-24))))&lt;=31),1,0),0))"),"")</f>
        <v/>
      </c>
    </row>
    <row r="176" ht="31.5" customHeight="1">
      <c r="A176" s="85"/>
      <c r="B176" s="86" t="str">
        <f t="array" ref="B176">IF(A176="","",IF(AB176&lt;&gt;1,"Unmatched issuer",INDEX(Companies!$C$6:$C$55,MATCH(A176,Companies!$A$6:$A$55,0))))</f>
        <v/>
      </c>
      <c r="C176" s="87"/>
      <c r="D176" s="88"/>
      <c r="E176" s="88"/>
      <c r="F176" s="88"/>
      <c r="G176" s="87"/>
      <c r="H176" s="87"/>
      <c r="I176" s="85"/>
      <c r="J176" s="89"/>
      <c r="K176" s="89"/>
      <c r="L176" s="90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90"/>
      <c r="Z176" s="85"/>
      <c r="AA176" s="85"/>
      <c r="AB176" s="86" t="str">
        <f>IF(A176="","",COUNTIF(Companies!$A$6:$A$55,A176))</f>
        <v/>
      </c>
      <c r="AC176" s="86" t="str">
        <f t="shared" si="1"/>
        <v/>
      </c>
      <c r="AD176" s="86" t="str">
        <f>IF(A176="","",IFERROR(IF(AND(AB176=1,AC176=1,AM176=1,OR(C176="TTM",C176="FY0",C176="FY-1",C176="FY-2"),ISNUMBER(D176),D176&lt;=Rules!$B$6,ISNUMBER(E176),E176&gt;=D176,E176&lt;=Rules!$B$6,ISNUMBER(F176),ABS(D176-F176-365)&lt;=31,OR(G176="US GAAP",G176="IFRS"),H176="Yes",I176&lt;&gt;"",COUNT(J176:R176)=9,J176&gt;0,L176&gt;-1,L176&lt;1,M176&gt;=0,N176&gt;=0,Q176&gt;=0,R176&gt;=0,M176+O176-Q176&gt;0,N176+P176-R176&gt;0,Z176&lt;&gt;"",AA176&lt;&gt;""),1,0),0))</f>
        <v/>
      </c>
      <c r="AE176" s="91" t="str">
        <f t="shared" si="2"/>
        <v/>
      </c>
      <c r="AF176" s="91" t="str">
        <f t="shared" si="3"/>
        <v/>
      </c>
      <c r="AG176" s="92" t="str">
        <f t="shared" si="4"/>
        <v/>
      </c>
      <c r="AH176" s="92" t="str">
        <f t="shared" si="5"/>
        <v/>
      </c>
      <c r="AI176" s="92" t="str">
        <f t="shared" si="6"/>
        <v/>
      </c>
      <c r="AJ176" s="92" t="str">
        <f t="shared" si="7"/>
        <v/>
      </c>
      <c r="AK176" s="92" t="str">
        <f t="shared" si="8"/>
        <v/>
      </c>
      <c r="AL176" s="86" t="str">
        <f t="shared" si="9"/>
        <v/>
      </c>
      <c r="AM176" s="86" t="str">
        <f t="array" ref="AM176">IF(A176="","",IF(AB176&lt;&gt;1,0,IF(AND(INDEX(Companies!$R$6:$R$55,MATCH(A176,Companies!$A$6:$A$55,0))=1,INDEX(Companies!$I$6:$I$55,MATCH(A176,Companies!$A$6:$A$55,0))&gt;=MAX(10,Rules!$B$22)),1,0)))</f>
        <v/>
      </c>
      <c r="AN176" s="86" t="str">
        <f>IFERROR(__xludf.DUMMYFUNCTION("IF(A176="""","""",IFERROR(IF(AND(OR(C176=""FY0"",C176=""FY-1"",C176=""FY-2""),AD176=1,COUNTIFS($A$6:$A$205,A176,$C$6:$C$205,""FY0"",$AD$6:$AD$205,1)=1,COUNTIFS($A$6:$A$205,A176,$C$6:$C$205,""TTM"",$AD$6:$AD$205,1)=1,G176=IFNA(INDEX(FILTER($G$6:$G$205,$A$6"&amp;":$A$205=A176,$C$6:$C$205=""TTM"",$AD$6:$AD$205=1),1),""""),I176=IFNA(INDEX(FILTER($I$6:$I$205,$A$6:$A$205=A176,$C$6:$C$205=""TTM"",$AD$6:$AD$205=1),1),""""),SUMIFS($D$6:$D$205,$A$6:$A$205,A176,$C$6:$C$205,""FY0"",$AD$6:$AD$205,1)&lt;=SUMIFS($D$6:$D$205,$A$6:"&amp;"$A$205,A176,$C$6:$C$205,""TTM"",$AD$6:$AD$205,1),SUMIFS($D$6:$D$205,$A$6:$A$205,A176,$C$6:$C$205,""TTM"",$AD$6:$AD$205,1)-SUMIFS($D$6:$D$205,$A$6:$A$205,A176,$C$6:$C$205,""FY0"",$AD$6:$AD$205,1)&lt;366,ABS(D176-EDATE(SUMIFS($D$6:$D$205,$A$6:$A$205,A176,$C$6:"&amp;"$C$205,""FY0"",$AD$6:$AD$205,1),IF(C176=""FY0"",0,IF(C176=""FY-1"",-12,-24))))&lt;=31),1,0),0))"),"")</f>
        <v/>
      </c>
    </row>
    <row r="177" ht="31.5" customHeight="1">
      <c r="A177" s="85"/>
      <c r="B177" s="86" t="str">
        <f t="array" ref="B177">IF(A177="","",IF(AB177&lt;&gt;1,"Unmatched issuer",INDEX(Companies!$C$6:$C$55,MATCH(A177,Companies!$A$6:$A$55,0))))</f>
        <v/>
      </c>
      <c r="C177" s="87"/>
      <c r="D177" s="88"/>
      <c r="E177" s="88"/>
      <c r="F177" s="88"/>
      <c r="G177" s="87"/>
      <c r="H177" s="87"/>
      <c r="I177" s="85"/>
      <c r="J177" s="89"/>
      <c r="K177" s="89"/>
      <c r="L177" s="90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90"/>
      <c r="Z177" s="85"/>
      <c r="AA177" s="85"/>
      <c r="AB177" s="86" t="str">
        <f>IF(A177="","",COUNTIF(Companies!$A$6:$A$55,A177))</f>
        <v/>
      </c>
      <c r="AC177" s="86" t="str">
        <f t="shared" si="1"/>
        <v/>
      </c>
      <c r="AD177" s="86" t="str">
        <f>IF(A177="","",IFERROR(IF(AND(AB177=1,AC177=1,AM177=1,OR(C177="TTM",C177="FY0",C177="FY-1",C177="FY-2"),ISNUMBER(D177),D177&lt;=Rules!$B$6,ISNUMBER(E177),E177&gt;=D177,E177&lt;=Rules!$B$6,ISNUMBER(F177),ABS(D177-F177-365)&lt;=31,OR(G177="US GAAP",G177="IFRS"),H177="Yes",I177&lt;&gt;"",COUNT(J177:R177)=9,J177&gt;0,L177&gt;-1,L177&lt;1,M177&gt;=0,N177&gt;=0,Q177&gt;=0,R177&gt;=0,M177+O177-Q177&gt;0,N177+P177-R177&gt;0,Z177&lt;&gt;"",AA177&lt;&gt;""),1,0),0))</f>
        <v/>
      </c>
      <c r="AE177" s="91" t="str">
        <f t="shared" si="2"/>
        <v/>
      </c>
      <c r="AF177" s="91" t="str">
        <f t="shared" si="3"/>
        <v/>
      </c>
      <c r="AG177" s="92" t="str">
        <f t="shared" si="4"/>
        <v/>
      </c>
      <c r="AH177" s="92" t="str">
        <f t="shared" si="5"/>
        <v/>
      </c>
      <c r="AI177" s="92" t="str">
        <f t="shared" si="6"/>
        <v/>
      </c>
      <c r="AJ177" s="92" t="str">
        <f t="shared" si="7"/>
        <v/>
      </c>
      <c r="AK177" s="92" t="str">
        <f t="shared" si="8"/>
        <v/>
      </c>
      <c r="AL177" s="86" t="str">
        <f t="shared" si="9"/>
        <v/>
      </c>
      <c r="AM177" s="86" t="str">
        <f t="array" ref="AM177">IF(A177="","",IF(AB177&lt;&gt;1,0,IF(AND(INDEX(Companies!$R$6:$R$55,MATCH(A177,Companies!$A$6:$A$55,0))=1,INDEX(Companies!$I$6:$I$55,MATCH(A177,Companies!$A$6:$A$55,0))&gt;=MAX(10,Rules!$B$22)),1,0)))</f>
        <v/>
      </c>
      <c r="AN177" s="86" t="str">
        <f>IFERROR(__xludf.DUMMYFUNCTION("IF(A177="""","""",IFERROR(IF(AND(OR(C177=""FY0"",C177=""FY-1"",C177=""FY-2""),AD177=1,COUNTIFS($A$6:$A$205,A177,$C$6:$C$205,""FY0"",$AD$6:$AD$205,1)=1,COUNTIFS($A$6:$A$205,A177,$C$6:$C$205,""TTM"",$AD$6:$AD$205,1)=1,G177=IFNA(INDEX(FILTER($G$6:$G$205,$A$6"&amp;":$A$205=A177,$C$6:$C$205=""TTM"",$AD$6:$AD$205=1),1),""""),I177=IFNA(INDEX(FILTER($I$6:$I$205,$A$6:$A$205=A177,$C$6:$C$205=""TTM"",$AD$6:$AD$205=1),1),""""),SUMIFS($D$6:$D$205,$A$6:$A$205,A177,$C$6:$C$205,""FY0"",$AD$6:$AD$205,1)&lt;=SUMIFS($D$6:$D$205,$A$6:"&amp;"$A$205,A177,$C$6:$C$205,""TTM"",$AD$6:$AD$205,1),SUMIFS($D$6:$D$205,$A$6:$A$205,A177,$C$6:$C$205,""TTM"",$AD$6:$AD$205,1)-SUMIFS($D$6:$D$205,$A$6:$A$205,A177,$C$6:$C$205,""FY0"",$AD$6:$AD$205,1)&lt;366,ABS(D177-EDATE(SUMIFS($D$6:$D$205,$A$6:$A$205,A177,$C$6:"&amp;"$C$205,""FY0"",$AD$6:$AD$205,1),IF(C177=""FY0"",0,IF(C177=""FY-1"",-12,-24))))&lt;=31),1,0),0))"),"")</f>
        <v/>
      </c>
    </row>
    <row r="178" ht="31.5" customHeight="1">
      <c r="A178" s="85"/>
      <c r="B178" s="86" t="str">
        <f t="array" ref="B178">IF(A178="","",IF(AB178&lt;&gt;1,"Unmatched issuer",INDEX(Companies!$C$6:$C$55,MATCH(A178,Companies!$A$6:$A$55,0))))</f>
        <v/>
      </c>
      <c r="C178" s="87"/>
      <c r="D178" s="88"/>
      <c r="E178" s="88"/>
      <c r="F178" s="88"/>
      <c r="G178" s="87"/>
      <c r="H178" s="87"/>
      <c r="I178" s="85"/>
      <c r="J178" s="89"/>
      <c r="K178" s="89"/>
      <c r="L178" s="90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90"/>
      <c r="Z178" s="85"/>
      <c r="AA178" s="85"/>
      <c r="AB178" s="86" t="str">
        <f>IF(A178="","",COUNTIF(Companies!$A$6:$A$55,A178))</f>
        <v/>
      </c>
      <c r="AC178" s="86" t="str">
        <f t="shared" si="1"/>
        <v/>
      </c>
      <c r="AD178" s="86" t="str">
        <f>IF(A178="","",IFERROR(IF(AND(AB178=1,AC178=1,AM178=1,OR(C178="TTM",C178="FY0",C178="FY-1",C178="FY-2"),ISNUMBER(D178),D178&lt;=Rules!$B$6,ISNUMBER(E178),E178&gt;=D178,E178&lt;=Rules!$B$6,ISNUMBER(F178),ABS(D178-F178-365)&lt;=31,OR(G178="US GAAP",G178="IFRS"),H178="Yes",I178&lt;&gt;"",COUNT(J178:R178)=9,J178&gt;0,L178&gt;-1,L178&lt;1,M178&gt;=0,N178&gt;=0,Q178&gt;=0,R178&gt;=0,M178+O178-Q178&gt;0,N178+P178-R178&gt;0,Z178&lt;&gt;"",AA178&lt;&gt;""),1,0),0))</f>
        <v/>
      </c>
      <c r="AE178" s="91" t="str">
        <f t="shared" si="2"/>
        <v/>
      </c>
      <c r="AF178" s="91" t="str">
        <f t="shared" si="3"/>
        <v/>
      </c>
      <c r="AG178" s="92" t="str">
        <f t="shared" si="4"/>
        <v/>
      </c>
      <c r="AH178" s="92" t="str">
        <f t="shared" si="5"/>
        <v/>
      </c>
      <c r="AI178" s="92" t="str">
        <f t="shared" si="6"/>
        <v/>
      </c>
      <c r="AJ178" s="92" t="str">
        <f t="shared" si="7"/>
        <v/>
      </c>
      <c r="AK178" s="92" t="str">
        <f t="shared" si="8"/>
        <v/>
      </c>
      <c r="AL178" s="86" t="str">
        <f t="shared" si="9"/>
        <v/>
      </c>
      <c r="AM178" s="86" t="str">
        <f t="array" ref="AM178">IF(A178="","",IF(AB178&lt;&gt;1,0,IF(AND(INDEX(Companies!$R$6:$R$55,MATCH(A178,Companies!$A$6:$A$55,0))=1,INDEX(Companies!$I$6:$I$55,MATCH(A178,Companies!$A$6:$A$55,0))&gt;=MAX(10,Rules!$B$22)),1,0)))</f>
        <v/>
      </c>
      <c r="AN178" s="86" t="str">
        <f>IFERROR(__xludf.DUMMYFUNCTION("IF(A178="""","""",IFERROR(IF(AND(OR(C178=""FY0"",C178=""FY-1"",C178=""FY-2""),AD178=1,COUNTIFS($A$6:$A$205,A178,$C$6:$C$205,""FY0"",$AD$6:$AD$205,1)=1,COUNTIFS($A$6:$A$205,A178,$C$6:$C$205,""TTM"",$AD$6:$AD$205,1)=1,G178=IFNA(INDEX(FILTER($G$6:$G$205,$A$6"&amp;":$A$205=A178,$C$6:$C$205=""TTM"",$AD$6:$AD$205=1),1),""""),I178=IFNA(INDEX(FILTER($I$6:$I$205,$A$6:$A$205=A178,$C$6:$C$205=""TTM"",$AD$6:$AD$205=1),1),""""),SUMIFS($D$6:$D$205,$A$6:$A$205,A178,$C$6:$C$205,""FY0"",$AD$6:$AD$205,1)&lt;=SUMIFS($D$6:$D$205,$A$6:"&amp;"$A$205,A178,$C$6:$C$205,""TTM"",$AD$6:$AD$205,1),SUMIFS($D$6:$D$205,$A$6:$A$205,A178,$C$6:$C$205,""TTM"",$AD$6:$AD$205,1)-SUMIFS($D$6:$D$205,$A$6:$A$205,A178,$C$6:$C$205,""FY0"",$AD$6:$AD$205,1)&lt;366,ABS(D178-EDATE(SUMIFS($D$6:$D$205,$A$6:$A$205,A178,$C$6:"&amp;"$C$205,""FY0"",$AD$6:$AD$205,1),IF(C178=""FY0"",0,IF(C178=""FY-1"",-12,-24))))&lt;=31),1,0),0))"),"")</f>
        <v/>
      </c>
    </row>
    <row r="179" ht="31.5" customHeight="1">
      <c r="A179" s="85"/>
      <c r="B179" s="86" t="str">
        <f t="array" ref="B179">IF(A179="","",IF(AB179&lt;&gt;1,"Unmatched issuer",INDEX(Companies!$C$6:$C$55,MATCH(A179,Companies!$A$6:$A$55,0))))</f>
        <v/>
      </c>
      <c r="C179" s="87"/>
      <c r="D179" s="88"/>
      <c r="E179" s="88"/>
      <c r="F179" s="88"/>
      <c r="G179" s="87"/>
      <c r="H179" s="87"/>
      <c r="I179" s="85"/>
      <c r="J179" s="89"/>
      <c r="K179" s="89"/>
      <c r="L179" s="90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90"/>
      <c r="Z179" s="85"/>
      <c r="AA179" s="85"/>
      <c r="AB179" s="86" t="str">
        <f>IF(A179="","",COUNTIF(Companies!$A$6:$A$55,A179))</f>
        <v/>
      </c>
      <c r="AC179" s="86" t="str">
        <f t="shared" si="1"/>
        <v/>
      </c>
      <c r="AD179" s="86" t="str">
        <f>IF(A179="","",IFERROR(IF(AND(AB179=1,AC179=1,AM179=1,OR(C179="TTM",C179="FY0",C179="FY-1",C179="FY-2"),ISNUMBER(D179),D179&lt;=Rules!$B$6,ISNUMBER(E179),E179&gt;=D179,E179&lt;=Rules!$B$6,ISNUMBER(F179),ABS(D179-F179-365)&lt;=31,OR(G179="US GAAP",G179="IFRS"),H179="Yes",I179&lt;&gt;"",COUNT(J179:R179)=9,J179&gt;0,L179&gt;-1,L179&lt;1,M179&gt;=0,N179&gt;=0,Q179&gt;=0,R179&gt;=0,M179+O179-Q179&gt;0,N179+P179-R179&gt;0,Z179&lt;&gt;"",AA179&lt;&gt;""),1,0),0))</f>
        <v/>
      </c>
      <c r="AE179" s="91" t="str">
        <f t="shared" si="2"/>
        <v/>
      </c>
      <c r="AF179" s="91" t="str">
        <f t="shared" si="3"/>
        <v/>
      </c>
      <c r="AG179" s="92" t="str">
        <f t="shared" si="4"/>
        <v/>
      </c>
      <c r="AH179" s="92" t="str">
        <f t="shared" si="5"/>
        <v/>
      </c>
      <c r="AI179" s="92" t="str">
        <f t="shared" si="6"/>
        <v/>
      </c>
      <c r="AJ179" s="92" t="str">
        <f t="shared" si="7"/>
        <v/>
      </c>
      <c r="AK179" s="92" t="str">
        <f t="shared" si="8"/>
        <v/>
      </c>
      <c r="AL179" s="86" t="str">
        <f t="shared" si="9"/>
        <v/>
      </c>
      <c r="AM179" s="86" t="str">
        <f t="array" ref="AM179">IF(A179="","",IF(AB179&lt;&gt;1,0,IF(AND(INDEX(Companies!$R$6:$R$55,MATCH(A179,Companies!$A$6:$A$55,0))=1,INDEX(Companies!$I$6:$I$55,MATCH(A179,Companies!$A$6:$A$55,0))&gt;=MAX(10,Rules!$B$22)),1,0)))</f>
        <v/>
      </c>
      <c r="AN179" s="86" t="str">
        <f>IFERROR(__xludf.DUMMYFUNCTION("IF(A179="""","""",IFERROR(IF(AND(OR(C179=""FY0"",C179=""FY-1"",C179=""FY-2""),AD179=1,COUNTIFS($A$6:$A$205,A179,$C$6:$C$205,""FY0"",$AD$6:$AD$205,1)=1,COUNTIFS($A$6:$A$205,A179,$C$6:$C$205,""TTM"",$AD$6:$AD$205,1)=1,G179=IFNA(INDEX(FILTER($G$6:$G$205,$A$6"&amp;":$A$205=A179,$C$6:$C$205=""TTM"",$AD$6:$AD$205=1),1),""""),I179=IFNA(INDEX(FILTER($I$6:$I$205,$A$6:$A$205=A179,$C$6:$C$205=""TTM"",$AD$6:$AD$205=1),1),""""),SUMIFS($D$6:$D$205,$A$6:$A$205,A179,$C$6:$C$205,""FY0"",$AD$6:$AD$205,1)&lt;=SUMIFS($D$6:$D$205,$A$6:"&amp;"$A$205,A179,$C$6:$C$205,""TTM"",$AD$6:$AD$205,1),SUMIFS($D$6:$D$205,$A$6:$A$205,A179,$C$6:$C$205,""TTM"",$AD$6:$AD$205,1)-SUMIFS($D$6:$D$205,$A$6:$A$205,A179,$C$6:$C$205,""FY0"",$AD$6:$AD$205,1)&lt;366,ABS(D179-EDATE(SUMIFS($D$6:$D$205,$A$6:$A$205,A179,$C$6:"&amp;"$C$205,""FY0"",$AD$6:$AD$205,1),IF(C179=""FY0"",0,IF(C179=""FY-1"",-12,-24))))&lt;=31),1,0),0))"),"")</f>
        <v/>
      </c>
    </row>
    <row r="180" ht="31.5" customHeight="1">
      <c r="A180" s="85"/>
      <c r="B180" s="86" t="str">
        <f t="array" ref="B180">IF(A180="","",IF(AB180&lt;&gt;1,"Unmatched issuer",INDEX(Companies!$C$6:$C$55,MATCH(A180,Companies!$A$6:$A$55,0))))</f>
        <v/>
      </c>
      <c r="C180" s="87"/>
      <c r="D180" s="88"/>
      <c r="E180" s="88"/>
      <c r="F180" s="88"/>
      <c r="G180" s="87"/>
      <c r="H180" s="87"/>
      <c r="I180" s="85"/>
      <c r="J180" s="89"/>
      <c r="K180" s="89"/>
      <c r="L180" s="90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90"/>
      <c r="Z180" s="85"/>
      <c r="AA180" s="85"/>
      <c r="AB180" s="86" t="str">
        <f>IF(A180="","",COUNTIF(Companies!$A$6:$A$55,A180))</f>
        <v/>
      </c>
      <c r="AC180" s="86" t="str">
        <f t="shared" si="1"/>
        <v/>
      </c>
      <c r="AD180" s="86" t="str">
        <f>IF(A180="","",IFERROR(IF(AND(AB180=1,AC180=1,AM180=1,OR(C180="TTM",C180="FY0",C180="FY-1",C180="FY-2"),ISNUMBER(D180),D180&lt;=Rules!$B$6,ISNUMBER(E180),E180&gt;=D180,E180&lt;=Rules!$B$6,ISNUMBER(F180),ABS(D180-F180-365)&lt;=31,OR(G180="US GAAP",G180="IFRS"),H180="Yes",I180&lt;&gt;"",COUNT(J180:R180)=9,J180&gt;0,L180&gt;-1,L180&lt;1,M180&gt;=0,N180&gt;=0,Q180&gt;=0,R180&gt;=0,M180+O180-Q180&gt;0,N180+P180-R180&gt;0,Z180&lt;&gt;"",AA180&lt;&gt;""),1,0),0))</f>
        <v/>
      </c>
      <c r="AE180" s="91" t="str">
        <f t="shared" si="2"/>
        <v/>
      </c>
      <c r="AF180" s="91" t="str">
        <f t="shared" si="3"/>
        <v/>
      </c>
      <c r="AG180" s="92" t="str">
        <f t="shared" si="4"/>
        <v/>
      </c>
      <c r="AH180" s="92" t="str">
        <f t="shared" si="5"/>
        <v/>
      </c>
      <c r="AI180" s="92" t="str">
        <f t="shared" si="6"/>
        <v/>
      </c>
      <c r="AJ180" s="92" t="str">
        <f t="shared" si="7"/>
        <v/>
      </c>
      <c r="AK180" s="92" t="str">
        <f t="shared" si="8"/>
        <v/>
      </c>
      <c r="AL180" s="86" t="str">
        <f t="shared" si="9"/>
        <v/>
      </c>
      <c r="AM180" s="86" t="str">
        <f t="array" ref="AM180">IF(A180="","",IF(AB180&lt;&gt;1,0,IF(AND(INDEX(Companies!$R$6:$R$55,MATCH(A180,Companies!$A$6:$A$55,0))=1,INDEX(Companies!$I$6:$I$55,MATCH(A180,Companies!$A$6:$A$55,0))&gt;=MAX(10,Rules!$B$22)),1,0)))</f>
        <v/>
      </c>
      <c r="AN180" s="86" t="str">
        <f>IFERROR(__xludf.DUMMYFUNCTION("IF(A180="""","""",IFERROR(IF(AND(OR(C180=""FY0"",C180=""FY-1"",C180=""FY-2""),AD180=1,COUNTIFS($A$6:$A$205,A180,$C$6:$C$205,""FY0"",$AD$6:$AD$205,1)=1,COUNTIFS($A$6:$A$205,A180,$C$6:$C$205,""TTM"",$AD$6:$AD$205,1)=1,G180=IFNA(INDEX(FILTER($G$6:$G$205,$A$6"&amp;":$A$205=A180,$C$6:$C$205=""TTM"",$AD$6:$AD$205=1),1),""""),I180=IFNA(INDEX(FILTER($I$6:$I$205,$A$6:$A$205=A180,$C$6:$C$205=""TTM"",$AD$6:$AD$205=1),1),""""),SUMIFS($D$6:$D$205,$A$6:$A$205,A180,$C$6:$C$205,""FY0"",$AD$6:$AD$205,1)&lt;=SUMIFS($D$6:$D$205,$A$6:"&amp;"$A$205,A180,$C$6:$C$205,""TTM"",$AD$6:$AD$205,1),SUMIFS($D$6:$D$205,$A$6:$A$205,A180,$C$6:$C$205,""TTM"",$AD$6:$AD$205,1)-SUMIFS($D$6:$D$205,$A$6:$A$205,A180,$C$6:$C$205,""FY0"",$AD$6:$AD$205,1)&lt;366,ABS(D180-EDATE(SUMIFS($D$6:$D$205,$A$6:$A$205,A180,$C$6:"&amp;"$C$205,""FY0"",$AD$6:$AD$205,1),IF(C180=""FY0"",0,IF(C180=""FY-1"",-12,-24))))&lt;=31),1,0),0))"),"")</f>
        <v/>
      </c>
    </row>
    <row r="181" ht="31.5" customHeight="1">
      <c r="A181" s="85"/>
      <c r="B181" s="86" t="str">
        <f t="array" ref="B181">IF(A181="","",IF(AB181&lt;&gt;1,"Unmatched issuer",INDEX(Companies!$C$6:$C$55,MATCH(A181,Companies!$A$6:$A$55,0))))</f>
        <v/>
      </c>
      <c r="C181" s="87"/>
      <c r="D181" s="88"/>
      <c r="E181" s="88"/>
      <c r="F181" s="88"/>
      <c r="G181" s="87"/>
      <c r="H181" s="87"/>
      <c r="I181" s="85"/>
      <c r="J181" s="89"/>
      <c r="K181" s="89"/>
      <c r="L181" s="90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90"/>
      <c r="Z181" s="85"/>
      <c r="AA181" s="85"/>
      <c r="AB181" s="86" t="str">
        <f>IF(A181="","",COUNTIF(Companies!$A$6:$A$55,A181))</f>
        <v/>
      </c>
      <c r="AC181" s="86" t="str">
        <f t="shared" si="1"/>
        <v/>
      </c>
      <c r="AD181" s="86" t="str">
        <f>IF(A181="","",IFERROR(IF(AND(AB181=1,AC181=1,AM181=1,OR(C181="TTM",C181="FY0",C181="FY-1",C181="FY-2"),ISNUMBER(D181),D181&lt;=Rules!$B$6,ISNUMBER(E181),E181&gt;=D181,E181&lt;=Rules!$B$6,ISNUMBER(F181),ABS(D181-F181-365)&lt;=31,OR(G181="US GAAP",G181="IFRS"),H181="Yes",I181&lt;&gt;"",COUNT(J181:R181)=9,J181&gt;0,L181&gt;-1,L181&lt;1,M181&gt;=0,N181&gt;=0,Q181&gt;=0,R181&gt;=0,M181+O181-Q181&gt;0,N181+P181-R181&gt;0,Z181&lt;&gt;"",AA181&lt;&gt;""),1,0),0))</f>
        <v/>
      </c>
      <c r="AE181" s="91" t="str">
        <f t="shared" si="2"/>
        <v/>
      </c>
      <c r="AF181" s="91" t="str">
        <f t="shared" si="3"/>
        <v/>
      </c>
      <c r="AG181" s="92" t="str">
        <f t="shared" si="4"/>
        <v/>
      </c>
      <c r="AH181" s="92" t="str">
        <f t="shared" si="5"/>
        <v/>
      </c>
      <c r="AI181" s="92" t="str">
        <f t="shared" si="6"/>
        <v/>
      </c>
      <c r="AJ181" s="92" t="str">
        <f t="shared" si="7"/>
        <v/>
      </c>
      <c r="AK181" s="92" t="str">
        <f t="shared" si="8"/>
        <v/>
      </c>
      <c r="AL181" s="86" t="str">
        <f t="shared" si="9"/>
        <v/>
      </c>
      <c r="AM181" s="86" t="str">
        <f t="array" ref="AM181">IF(A181="","",IF(AB181&lt;&gt;1,0,IF(AND(INDEX(Companies!$R$6:$R$55,MATCH(A181,Companies!$A$6:$A$55,0))=1,INDEX(Companies!$I$6:$I$55,MATCH(A181,Companies!$A$6:$A$55,0))&gt;=MAX(10,Rules!$B$22)),1,0)))</f>
        <v/>
      </c>
      <c r="AN181" s="86" t="str">
        <f>IFERROR(__xludf.DUMMYFUNCTION("IF(A181="""","""",IFERROR(IF(AND(OR(C181=""FY0"",C181=""FY-1"",C181=""FY-2""),AD181=1,COUNTIFS($A$6:$A$205,A181,$C$6:$C$205,""FY0"",$AD$6:$AD$205,1)=1,COUNTIFS($A$6:$A$205,A181,$C$6:$C$205,""TTM"",$AD$6:$AD$205,1)=1,G181=IFNA(INDEX(FILTER($G$6:$G$205,$A$6"&amp;":$A$205=A181,$C$6:$C$205=""TTM"",$AD$6:$AD$205=1),1),""""),I181=IFNA(INDEX(FILTER($I$6:$I$205,$A$6:$A$205=A181,$C$6:$C$205=""TTM"",$AD$6:$AD$205=1),1),""""),SUMIFS($D$6:$D$205,$A$6:$A$205,A181,$C$6:$C$205,""FY0"",$AD$6:$AD$205,1)&lt;=SUMIFS($D$6:$D$205,$A$6:"&amp;"$A$205,A181,$C$6:$C$205,""TTM"",$AD$6:$AD$205,1),SUMIFS($D$6:$D$205,$A$6:$A$205,A181,$C$6:$C$205,""TTM"",$AD$6:$AD$205,1)-SUMIFS($D$6:$D$205,$A$6:$A$205,A181,$C$6:$C$205,""FY0"",$AD$6:$AD$205,1)&lt;366,ABS(D181-EDATE(SUMIFS($D$6:$D$205,$A$6:$A$205,A181,$C$6:"&amp;"$C$205,""FY0"",$AD$6:$AD$205,1),IF(C181=""FY0"",0,IF(C181=""FY-1"",-12,-24))))&lt;=31),1,0),0))"),"")</f>
        <v/>
      </c>
    </row>
    <row r="182" ht="31.5" customHeight="1">
      <c r="A182" s="85"/>
      <c r="B182" s="86" t="str">
        <f t="array" ref="B182">IF(A182="","",IF(AB182&lt;&gt;1,"Unmatched issuer",INDEX(Companies!$C$6:$C$55,MATCH(A182,Companies!$A$6:$A$55,0))))</f>
        <v/>
      </c>
      <c r="C182" s="87"/>
      <c r="D182" s="88"/>
      <c r="E182" s="88"/>
      <c r="F182" s="88"/>
      <c r="G182" s="87"/>
      <c r="H182" s="87"/>
      <c r="I182" s="85"/>
      <c r="J182" s="89"/>
      <c r="K182" s="89"/>
      <c r="L182" s="90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90"/>
      <c r="Z182" s="85"/>
      <c r="AA182" s="85"/>
      <c r="AB182" s="86" t="str">
        <f>IF(A182="","",COUNTIF(Companies!$A$6:$A$55,A182))</f>
        <v/>
      </c>
      <c r="AC182" s="86" t="str">
        <f t="shared" si="1"/>
        <v/>
      </c>
      <c r="AD182" s="86" t="str">
        <f>IF(A182="","",IFERROR(IF(AND(AB182=1,AC182=1,AM182=1,OR(C182="TTM",C182="FY0",C182="FY-1",C182="FY-2"),ISNUMBER(D182),D182&lt;=Rules!$B$6,ISNUMBER(E182),E182&gt;=D182,E182&lt;=Rules!$B$6,ISNUMBER(F182),ABS(D182-F182-365)&lt;=31,OR(G182="US GAAP",G182="IFRS"),H182="Yes",I182&lt;&gt;"",COUNT(J182:R182)=9,J182&gt;0,L182&gt;-1,L182&lt;1,M182&gt;=0,N182&gt;=0,Q182&gt;=0,R182&gt;=0,M182+O182-Q182&gt;0,N182+P182-R182&gt;0,Z182&lt;&gt;"",AA182&lt;&gt;""),1,0),0))</f>
        <v/>
      </c>
      <c r="AE182" s="91" t="str">
        <f t="shared" si="2"/>
        <v/>
      </c>
      <c r="AF182" s="91" t="str">
        <f t="shared" si="3"/>
        <v/>
      </c>
      <c r="AG182" s="92" t="str">
        <f t="shared" si="4"/>
        <v/>
      </c>
      <c r="AH182" s="92" t="str">
        <f t="shared" si="5"/>
        <v/>
      </c>
      <c r="AI182" s="92" t="str">
        <f t="shared" si="6"/>
        <v/>
      </c>
      <c r="AJ182" s="92" t="str">
        <f t="shared" si="7"/>
        <v/>
      </c>
      <c r="AK182" s="92" t="str">
        <f t="shared" si="8"/>
        <v/>
      </c>
      <c r="AL182" s="86" t="str">
        <f t="shared" si="9"/>
        <v/>
      </c>
      <c r="AM182" s="86" t="str">
        <f t="array" ref="AM182">IF(A182="","",IF(AB182&lt;&gt;1,0,IF(AND(INDEX(Companies!$R$6:$R$55,MATCH(A182,Companies!$A$6:$A$55,0))=1,INDEX(Companies!$I$6:$I$55,MATCH(A182,Companies!$A$6:$A$55,0))&gt;=MAX(10,Rules!$B$22)),1,0)))</f>
        <v/>
      </c>
      <c r="AN182" s="86" t="str">
        <f>IFERROR(__xludf.DUMMYFUNCTION("IF(A182="""","""",IFERROR(IF(AND(OR(C182=""FY0"",C182=""FY-1"",C182=""FY-2""),AD182=1,COUNTIFS($A$6:$A$205,A182,$C$6:$C$205,""FY0"",$AD$6:$AD$205,1)=1,COUNTIFS($A$6:$A$205,A182,$C$6:$C$205,""TTM"",$AD$6:$AD$205,1)=1,G182=IFNA(INDEX(FILTER($G$6:$G$205,$A$6"&amp;":$A$205=A182,$C$6:$C$205=""TTM"",$AD$6:$AD$205=1),1),""""),I182=IFNA(INDEX(FILTER($I$6:$I$205,$A$6:$A$205=A182,$C$6:$C$205=""TTM"",$AD$6:$AD$205=1),1),""""),SUMIFS($D$6:$D$205,$A$6:$A$205,A182,$C$6:$C$205,""FY0"",$AD$6:$AD$205,1)&lt;=SUMIFS($D$6:$D$205,$A$6:"&amp;"$A$205,A182,$C$6:$C$205,""TTM"",$AD$6:$AD$205,1),SUMIFS($D$6:$D$205,$A$6:$A$205,A182,$C$6:$C$205,""TTM"",$AD$6:$AD$205,1)-SUMIFS($D$6:$D$205,$A$6:$A$205,A182,$C$6:$C$205,""FY0"",$AD$6:$AD$205,1)&lt;366,ABS(D182-EDATE(SUMIFS($D$6:$D$205,$A$6:$A$205,A182,$C$6:"&amp;"$C$205,""FY0"",$AD$6:$AD$205,1),IF(C182=""FY0"",0,IF(C182=""FY-1"",-12,-24))))&lt;=31),1,0),0))"),"")</f>
        <v/>
      </c>
    </row>
    <row r="183" ht="31.5" customHeight="1">
      <c r="A183" s="85"/>
      <c r="B183" s="86" t="str">
        <f t="array" ref="B183">IF(A183="","",IF(AB183&lt;&gt;1,"Unmatched issuer",INDEX(Companies!$C$6:$C$55,MATCH(A183,Companies!$A$6:$A$55,0))))</f>
        <v/>
      </c>
      <c r="C183" s="87"/>
      <c r="D183" s="88"/>
      <c r="E183" s="88"/>
      <c r="F183" s="88"/>
      <c r="G183" s="87"/>
      <c r="H183" s="87"/>
      <c r="I183" s="85"/>
      <c r="J183" s="89"/>
      <c r="K183" s="89"/>
      <c r="L183" s="90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90"/>
      <c r="Z183" s="85"/>
      <c r="AA183" s="85"/>
      <c r="AB183" s="86" t="str">
        <f>IF(A183="","",COUNTIF(Companies!$A$6:$A$55,A183))</f>
        <v/>
      </c>
      <c r="AC183" s="86" t="str">
        <f t="shared" si="1"/>
        <v/>
      </c>
      <c r="AD183" s="86" t="str">
        <f>IF(A183="","",IFERROR(IF(AND(AB183=1,AC183=1,AM183=1,OR(C183="TTM",C183="FY0",C183="FY-1",C183="FY-2"),ISNUMBER(D183),D183&lt;=Rules!$B$6,ISNUMBER(E183),E183&gt;=D183,E183&lt;=Rules!$B$6,ISNUMBER(F183),ABS(D183-F183-365)&lt;=31,OR(G183="US GAAP",G183="IFRS"),H183="Yes",I183&lt;&gt;"",COUNT(J183:R183)=9,J183&gt;0,L183&gt;-1,L183&lt;1,M183&gt;=0,N183&gt;=0,Q183&gt;=0,R183&gt;=0,M183+O183-Q183&gt;0,N183+P183-R183&gt;0,Z183&lt;&gt;"",AA183&lt;&gt;""),1,0),0))</f>
        <v/>
      </c>
      <c r="AE183" s="91" t="str">
        <f t="shared" si="2"/>
        <v/>
      </c>
      <c r="AF183" s="91" t="str">
        <f t="shared" si="3"/>
        <v/>
      </c>
      <c r="AG183" s="92" t="str">
        <f t="shared" si="4"/>
        <v/>
      </c>
      <c r="AH183" s="92" t="str">
        <f t="shared" si="5"/>
        <v/>
      </c>
      <c r="AI183" s="92" t="str">
        <f t="shared" si="6"/>
        <v/>
      </c>
      <c r="AJ183" s="92" t="str">
        <f t="shared" si="7"/>
        <v/>
      </c>
      <c r="AK183" s="92" t="str">
        <f t="shared" si="8"/>
        <v/>
      </c>
      <c r="AL183" s="86" t="str">
        <f t="shared" si="9"/>
        <v/>
      </c>
      <c r="AM183" s="86" t="str">
        <f t="array" ref="AM183">IF(A183="","",IF(AB183&lt;&gt;1,0,IF(AND(INDEX(Companies!$R$6:$R$55,MATCH(A183,Companies!$A$6:$A$55,0))=1,INDEX(Companies!$I$6:$I$55,MATCH(A183,Companies!$A$6:$A$55,0))&gt;=MAX(10,Rules!$B$22)),1,0)))</f>
        <v/>
      </c>
      <c r="AN183" s="86" t="str">
        <f>IFERROR(__xludf.DUMMYFUNCTION("IF(A183="""","""",IFERROR(IF(AND(OR(C183=""FY0"",C183=""FY-1"",C183=""FY-2""),AD183=1,COUNTIFS($A$6:$A$205,A183,$C$6:$C$205,""FY0"",$AD$6:$AD$205,1)=1,COUNTIFS($A$6:$A$205,A183,$C$6:$C$205,""TTM"",$AD$6:$AD$205,1)=1,G183=IFNA(INDEX(FILTER($G$6:$G$205,$A$6"&amp;":$A$205=A183,$C$6:$C$205=""TTM"",$AD$6:$AD$205=1),1),""""),I183=IFNA(INDEX(FILTER($I$6:$I$205,$A$6:$A$205=A183,$C$6:$C$205=""TTM"",$AD$6:$AD$205=1),1),""""),SUMIFS($D$6:$D$205,$A$6:$A$205,A183,$C$6:$C$205,""FY0"",$AD$6:$AD$205,1)&lt;=SUMIFS($D$6:$D$205,$A$6:"&amp;"$A$205,A183,$C$6:$C$205,""TTM"",$AD$6:$AD$205,1),SUMIFS($D$6:$D$205,$A$6:$A$205,A183,$C$6:$C$205,""TTM"",$AD$6:$AD$205,1)-SUMIFS($D$6:$D$205,$A$6:$A$205,A183,$C$6:$C$205,""FY0"",$AD$6:$AD$205,1)&lt;366,ABS(D183-EDATE(SUMIFS($D$6:$D$205,$A$6:$A$205,A183,$C$6:"&amp;"$C$205,""FY0"",$AD$6:$AD$205,1),IF(C183=""FY0"",0,IF(C183=""FY-1"",-12,-24))))&lt;=31),1,0),0))"),"")</f>
        <v/>
      </c>
    </row>
    <row r="184" ht="31.5" customHeight="1">
      <c r="A184" s="85"/>
      <c r="B184" s="86" t="str">
        <f t="array" ref="B184">IF(A184="","",IF(AB184&lt;&gt;1,"Unmatched issuer",INDEX(Companies!$C$6:$C$55,MATCH(A184,Companies!$A$6:$A$55,0))))</f>
        <v/>
      </c>
      <c r="C184" s="87"/>
      <c r="D184" s="88"/>
      <c r="E184" s="88"/>
      <c r="F184" s="88"/>
      <c r="G184" s="87"/>
      <c r="H184" s="87"/>
      <c r="I184" s="85"/>
      <c r="J184" s="89"/>
      <c r="K184" s="89"/>
      <c r="L184" s="90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90"/>
      <c r="Z184" s="85"/>
      <c r="AA184" s="85"/>
      <c r="AB184" s="86" t="str">
        <f>IF(A184="","",COUNTIF(Companies!$A$6:$A$55,A184))</f>
        <v/>
      </c>
      <c r="AC184" s="86" t="str">
        <f t="shared" si="1"/>
        <v/>
      </c>
      <c r="AD184" s="86" t="str">
        <f>IF(A184="","",IFERROR(IF(AND(AB184=1,AC184=1,AM184=1,OR(C184="TTM",C184="FY0",C184="FY-1",C184="FY-2"),ISNUMBER(D184),D184&lt;=Rules!$B$6,ISNUMBER(E184),E184&gt;=D184,E184&lt;=Rules!$B$6,ISNUMBER(F184),ABS(D184-F184-365)&lt;=31,OR(G184="US GAAP",G184="IFRS"),H184="Yes",I184&lt;&gt;"",COUNT(J184:R184)=9,J184&gt;0,L184&gt;-1,L184&lt;1,M184&gt;=0,N184&gt;=0,Q184&gt;=0,R184&gt;=0,M184+O184-Q184&gt;0,N184+P184-R184&gt;0,Z184&lt;&gt;"",AA184&lt;&gt;""),1,0),0))</f>
        <v/>
      </c>
      <c r="AE184" s="91" t="str">
        <f t="shared" si="2"/>
        <v/>
      </c>
      <c r="AF184" s="91" t="str">
        <f t="shared" si="3"/>
        <v/>
      </c>
      <c r="AG184" s="92" t="str">
        <f t="shared" si="4"/>
        <v/>
      </c>
      <c r="AH184" s="92" t="str">
        <f t="shared" si="5"/>
        <v/>
      </c>
      <c r="AI184" s="92" t="str">
        <f t="shared" si="6"/>
        <v/>
      </c>
      <c r="AJ184" s="92" t="str">
        <f t="shared" si="7"/>
        <v/>
      </c>
      <c r="AK184" s="92" t="str">
        <f t="shared" si="8"/>
        <v/>
      </c>
      <c r="AL184" s="86" t="str">
        <f t="shared" si="9"/>
        <v/>
      </c>
      <c r="AM184" s="86" t="str">
        <f t="array" ref="AM184">IF(A184="","",IF(AB184&lt;&gt;1,0,IF(AND(INDEX(Companies!$R$6:$R$55,MATCH(A184,Companies!$A$6:$A$55,0))=1,INDEX(Companies!$I$6:$I$55,MATCH(A184,Companies!$A$6:$A$55,0))&gt;=MAX(10,Rules!$B$22)),1,0)))</f>
        <v/>
      </c>
      <c r="AN184" s="86" t="str">
        <f>IFERROR(__xludf.DUMMYFUNCTION("IF(A184="""","""",IFERROR(IF(AND(OR(C184=""FY0"",C184=""FY-1"",C184=""FY-2""),AD184=1,COUNTIFS($A$6:$A$205,A184,$C$6:$C$205,""FY0"",$AD$6:$AD$205,1)=1,COUNTIFS($A$6:$A$205,A184,$C$6:$C$205,""TTM"",$AD$6:$AD$205,1)=1,G184=IFNA(INDEX(FILTER($G$6:$G$205,$A$6"&amp;":$A$205=A184,$C$6:$C$205=""TTM"",$AD$6:$AD$205=1),1),""""),I184=IFNA(INDEX(FILTER($I$6:$I$205,$A$6:$A$205=A184,$C$6:$C$205=""TTM"",$AD$6:$AD$205=1),1),""""),SUMIFS($D$6:$D$205,$A$6:$A$205,A184,$C$6:$C$205,""FY0"",$AD$6:$AD$205,1)&lt;=SUMIFS($D$6:$D$205,$A$6:"&amp;"$A$205,A184,$C$6:$C$205,""TTM"",$AD$6:$AD$205,1),SUMIFS($D$6:$D$205,$A$6:$A$205,A184,$C$6:$C$205,""TTM"",$AD$6:$AD$205,1)-SUMIFS($D$6:$D$205,$A$6:$A$205,A184,$C$6:$C$205,""FY0"",$AD$6:$AD$205,1)&lt;366,ABS(D184-EDATE(SUMIFS($D$6:$D$205,$A$6:$A$205,A184,$C$6:"&amp;"$C$205,""FY0"",$AD$6:$AD$205,1),IF(C184=""FY0"",0,IF(C184=""FY-1"",-12,-24))))&lt;=31),1,0),0))"),"")</f>
        <v/>
      </c>
    </row>
    <row r="185" ht="31.5" customHeight="1">
      <c r="A185" s="85"/>
      <c r="B185" s="86" t="str">
        <f t="array" ref="B185">IF(A185="","",IF(AB185&lt;&gt;1,"Unmatched issuer",INDEX(Companies!$C$6:$C$55,MATCH(A185,Companies!$A$6:$A$55,0))))</f>
        <v/>
      </c>
      <c r="C185" s="87"/>
      <c r="D185" s="88"/>
      <c r="E185" s="88"/>
      <c r="F185" s="88"/>
      <c r="G185" s="87"/>
      <c r="H185" s="87"/>
      <c r="I185" s="85"/>
      <c r="J185" s="89"/>
      <c r="K185" s="89"/>
      <c r="L185" s="90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90"/>
      <c r="Z185" s="85"/>
      <c r="AA185" s="85"/>
      <c r="AB185" s="86" t="str">
        <f>IF(A185="","",COUNTIF(Companies!$A$6:$A$55,A185))</f>
        <v/>
      </c>
      <c r="AC185" s="86" t="str">
        <f t="shared" si="1"/>
        <v/>
      </c>
      <c r="AD185" s="86" t="str">
        <f>IF(A185="","",IFERROR(IF(AND(AB185=1,AC185=1,AM185=1,OR(C185="TTM",C185="FY0",C185="FY-1",C185="FY-2"),ISNUMBER(D185),D185&lt;=Rules!$B$6,ISNUMBER(E185),E185&gt;=D185,E185&lt;=Rules!$B$6,ISNUMBER(F185),ABS(D185-F185-365)&lt;=31,OR(G185="US GAAP",G185="IFRS"),H185="Yes",I185&lt;&gt;"",COUNT(J185:R185)=9,J185&gt;0,L185&gt;-1,L185&lt;1,M185&gt;=0,N185&gt;=0,Q185&gt;=0,R185&gt;=0,M185+O185-Q185&gt;0,N185+P185-R185&gt;0,Z185&lt;&gt;"",AA185&lt;&gt;""),1,0),0))</f>
        <v/>
      </c>
      <c r="AE185" s="91" t="str">
        <f t="shared" si="2"/>
        <v/>
      </c>
      <c r="AF185" s="91" t="str">
        <f t="shared" si="3"/>
        <v/>
      </c>
      <c r="AG185" s="92" t="str">
        <f t="shared" si="4"/>
        <v/>
      </c>
      <c r="AH185" s="92" t="str">
        <f t="shared" si="5"/>
        <v/>
      </c>
      <c r="AI185" s="92" t="str">
        <f t="shared" si="6"/>
        <v/>
      </c>
      <c r="AJ185" s="92" t="str">
        <f t="shared" si="7"/>
        <v/>
      </c>
      <c r="AK185" s="92" t="str">
        <f t="shared" si="8"/>
        <v/>
      </c>
      <c r="AL185" s="86" t="str">
        <f t="shared" si="9"/>
        <v/>
      </c>
      <c r="AM185" s="86" t="str">
        <f t="array" ref="AM185">IF(A185="","",IF(AB185&lt;&gt;1,0,IF(AND(INDEX(Companies!$R$6:$R$55,MATCH(A185,Companies!$A$6:$A$55,0))=1,INDEX(Companies!$I$6:$I$55,MATCH(A185,Companies!$A$6:$A$55,0))&gt;=MAX(10,Rules!$B$22)),1,0)))</f>
        <v/>
      </c>
      <c r="AN185" s="86" t="str">
        <f>IFERROR(__xludf.DUMMYFUNCTION("IF(A185="""","""",IFERROR(IF(AND(OR(C185=""FY0"",C185=""FY-1"",C185=""FY-2""),AD185=1,COUNTIFS($A$6:$A$205,A185,$C$6:$C$205,""FY0"",$AD$6:$AD$205,1)=1,COUNTIFS($A$6:$A$205,A185,$C$6:$C$205,""TTM"",$AD$6:$AD$205,1)=1,G185=IFNA(INDEX(FILTER($G$6:$G$205,$A$6"&amp;":$A$205=A185,$C$6:$C$205=""TTM"",$AD$6:$AD$205=1),1),""""),I185=IFNA(INDEX(FILTER($I$6:$I$205,$A$6:$A$205=A185,$C$6:$C$205=""TTM"",$AD$6:$AD$205=1),1),""""),SUMIFS($D$6:$D$205,$A$6:$A$205,A185,$C$6:$C$205,""FY0"",$AD$6:$AD$205,1)&lt;=SUMIFS($D$6:$D$205,$A$6:"&amp;"$A$205,A185,$C$6:$C$205,""TTM"",$AD$6:$AD$205,1),SUMIFS($D$6:$D$205,$A$6:$A$205,A185,$C$6:$C$205,""TTM"",$AD$6:$AD$205,1)-SUMIFS($D$6:$D$205,$A$6:$A$205,A185,$C$6:$C$205,""FY0"",$AD$6:$AD$205,1)&lt;366,ABS(D185-EDATE(SUMIFS($D$6:$D$205,$A$6:$A$205,A185,$C$6:"&amp;"$C$205,""FY0"",$AD$6:$AD$205,1),IF(C185=""FY0"",0,IF(C185=""FY-1"",-12,-24))))&lt;=31),1,0),0))"),"")</f>
        <v/>
      </c>
    </row>
    <row r="186" ht="31.5" customHeight="1">
      <c r="A186" s="85"/>
      <c r="B186" s="86" t="str">
        <f t="array" ref="B186">IF(A186="","",IF(AB186&lt;&gt;1,"Unmatched issuer",INDEX(Companies!$C$6:$C$55,MATCH(A186,Companies!$A$6:$A$55,0))))</f>
        <v/>
      </c>
      <c r="C186" s="87"/>
      <c r="D186" s="88"/>
      <c r="E186" s="88"/>
      <c r="F186" s="88"/>
      <c r="G186" s="87"/>
      <c r="H186" s="87"/>
      <c r="I186" s="85"/>
      <c r="J186" s="89"/>
      <c r="K186" s="89"/>
      <c r="L186" s="90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90"/>
      <c r="Z186" s="85"/>
      <c r="AA186" s="85"/>
      <c r="AB186" s="86" t="str">
        <f>IF(A186="","",COUNTIF(Companies!$A$6:$A$55,A186))</f>
        <v/>
      </c>
      <c r="AC186" s="86" t="str">
        <f t="shared" si="1"/>
        <v/>
      </c>
      <c r="AD186" s="86" t="str">
        <f>IF(A186="","",IFERROR(IF(AND(AB186=1,AC186=1,AM186=1,OR(C186="TTM",C186="FY0",C186="FY-1",C186="FY-2"),ISNUMBER(D186),D186&lt;=Rules!$B$6,ISNUMBER(E186),E186&gt;=D186,E186&lt;=Rules!$B$6,ISNUMBER(F186),ABS(D186-F186-365)&lt;=31,OR(G186="US GAAP",G186="IFRS"),H186="Yes",I186&lt;&gt;"",COUNT(J186:R186)=9,J186&gt;0,L186&gt;-1,L186&lt;1,M186&gt;=0,N186&gt;=0,Q186&gt;=0,R186&gt;=0,M186+O186-Q186&gt;0,N186+P186-R186&gt;0,Z186&lt;&gt;"",AA186&lt;&gt;""),1,0),0))</f>
        <v/>
      </c>
      <c r="AE186" s="91" t="str">
        <f t="shared" si="2"/>
        <v/>
      </c>
      <c r="AF186" s="91" t="str">
        <f t="shared" si="3"/>
        <v/>
      </c>
      <c r="AG186" s="92" t="str">
        <f t="shared" si="4"/>
        <v/>
      </c>
      <c r="AH186" s="92" t="str">
        <f t="shared" si="5"/>
        <v/>
      </c>
      <c r="AI186" s="92" t="str">
        <f t="shared" si="6"/>
        <v/>
      </c>
      <c r="AJ186" s="92" t="str">
        <f t="shared" si="7"/>
        <v/>
      </c>
      <c r="AK186" s="92" t="str">
        <f t="shared" si="8"/>
        <v/>
      </c>
      <c r="AL186" s="86" t="str">
        <f t="shared" si="9"/>
        <v/>
      </c>
      <c r="AM186" s="86" t="str">
        <f t="array" ref="AM186">IF(A186="","",IF(AB186&lt;&gt;1,0,IF(AND(INDEX(Companies!$R$6:$R$55,MATCH(A186,Companies!$A$6:$A$55,0))=1,INDEX(Companies!$I$6:$I$55,MATCH(A186,Companies!$A$6:$A$55,0))&gt;=MAX(10,Rules!$B$22)),1,0)))</f>
        <v/>
      </c>
      <c r="AN186" s="86" t="str">
        <f>IFERROR(__xludf.DUMMYFUNCTION("IF(A186="""","""",IFERROR(IF(AND(OR(C186=""FY0"",C186=""FY-1"",C186=""FY-2""),AD186=1,COUNTIFS($A$6:$A$205,A186,$C$6:$C$205,""FY0"",$AD$6:$AD$205,1)=1,COUNTIFS($A$6:$A$205,A186,$C$6:$C$205,""TTM"",$AD$6:$AD$205,1)=1,G186=IFNA(INDEX(FILTER($G$6:$G$205,$A$6"&amp;":$A$205=A186,$C$6:$C$205=""TTM"",$AD$6:$AD$205=1),1),""""),I186=IFNA(INDEX(FILTER($I$6:$I$205,$A$6:$A$205=A186,$C$6:$C$205=""TTM"",$AD$6:$AD$205=1),1),""""),SUMIFS($D$6:$D$205,$A$6:$A$205,A186,$C$6:$C$205,""FY0"",$AD$6:$AD$205,1)&lt;=SUMIFS($D$6:$D$205,$A$6:"&amp;"$A$205,A186,$C$6:$C$205,""TTM"",$AD$6:$AD$205,1),SUMIFS($D$6:$D$205,$A$6:$A$205,A186,$C$6:$C$205,""TTM"",$AD$6:$AD$205,1)-SUMIFS($D$6:$D$205,$A$6:$A$205,A186,$C$6:$C$205,""FY0"",$AD$6:$AD$205,1)&lt;366,ABS(D186-EDATE(SUMIFS($D$6:$D$205,$A$6:$A$205,A186,$C$6:"&amp;"$C$205,""FY0"",$AD$6:$AD$205,1),IF(C186=""FY0"",0,IF(C186=""FY-1"",-12,-24))))&lt;=31),1,0),0))"),"")</f>
        <v/>
      </c>
    </row>
    <row r="187" ht="31.5" customHeight="1">
      <c r="A187" s="85"/>
      <c r="B187" s="86" t="str">
        <f t="array" ref="B187">IF(A187="","",IF(AB187&lt;&gt;1,"Unmatched issuer",INDEX(Companies!$C$6:$C$55,MATCH(A187,Companies!$A$6:$A$55,0))))</f>
        <v/>
      </c>
      <c r="C187" s="87"/>
      <c r="D187" s="88"/>
      <c r="E187" s="88"/>
      <c r="F187" s="88"/>
      <c r="G187" s="87"/>
      <c r="H187" s="87"/>
      <c r="I187" s="85"/>
      <c r="J187" s="89"/>
      <c r="K187" s="89"/>
      <c r="L187" s="90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90"/>
      <c r="Z187" s="85"/>
      <c r="AA187" s="85"/>
      <c r="AB187" s="86" t="str">
        <f>IF(A187="","",COUNTIF(Companies!$A$6:$A$55,A187))</f>
        <v/>
      </c>
      <c r="AC187" s="86" t="str">
        <f t="shared" si="1"/>
        <v/>
      </c>
      <c r="AD187" s="86" t="str">
        <f>IF(A187="","",IFERROR(IF(AND(AB187=1,AC187=1,AM187=1,OR(C187="TTM",C187="FY0",C187="FY-1",C187="FY-2"),ISNUMBER(D187),D187&lt;=Rules!$B$6,ISNUMBER(E187),E187&gt;=D187,E187&lt;=Rules!$B$6,ISNUMBER(F187),ABS(D187-F187-365)&lt;=31,OR(G187="US GAAP",G187="IFRS"),H187="Yes",I187&lt;&gt;"",COUNT(J187:R187)=9,J187&gt;0,L187&gt;-1,L187&lt;1,M187&gt;=0,N187&gt;=0,Q187&gt;=0,R187&gt;=0,M187+O187-Q187&gt;0,N187+P187-R187&gt;0,Z187&lt;&gt;"",AA187&lt;&gt;""),1,0),0))</f>
        <v/>
      </c>
      <c r="AE187" s="91" t="str">
        <f t="shared" si="2"/>
        <v/>
      </c>
      <c r="AF187" s="91" t="str">
        <f t="shared" si="3"/>
        <v/>
      </c>
      <c r="AG187" s="92" t="str">
        <f t="shared" si="4"/>
        <v/>
      </c>
      <c r="AH187" s="92" t="str">
        <f t="shared" si="5"/>
        <v/>
      </c>
      <c r="AI187" s="92" t="str">
        <f t="shared" si="6"/>
        <v/>
      </c>
      <c r="AJ187" s="92" t="str">
        <f t="shared" si="7"/>
        <v/>
      </c>
      <c r="AK187" s="92" t="str">
        <f t="shared" si="8"/>
        <v/>
      </c>
      <c r="AL187" s="86" t="str">
        <f t="shared" si="9"/>
        <v/>
      </c>
      <c r="AM187" s="86" t="str">
        <f t="array" ref="AM187">IF(A187="","",IF(AB187&lt;&gt;1,0,IF(AND(INDEX(Companies!$R$6:$R$55,MATCH(A187,Companies!$A$6:$A$55,0))=1,INDEX(Companies!$I$6:$I$55,MATCH(A187,Companies!$A$6:$A$55,0))&gt;=MAX(10,Rules!$B$22)),1,0)))</f>
        <v/>
      </c>
      <c r="AN187" s="86" t="str">
        <f>IFERROR(__xludf.DUMMYFUNCTION("IF(A187="""","""",IFERROR(IF(AND(OR(C187=""FY0"",C187=""FY-1"",C187=""FY-2""),AD187=1,COUNTIFS($A$6:$A$205,A187,$C$6:$C$205,""FY0"",$AD$6:$AD$205,1)=1,COUNTIFS($A$6:$A$205,A187,$C$6:$C$205,""TTM"",$AD$6:$AD$205,1)=1,G187=IFNA(INDEX(FILTER($G$6:$G$205,$A$6"&amp;":$A$205=A187,$C$6:$C$205=""TTM"",$AD$6:$AD$205=1),1),""""),I187=IFNA(INDEX(FILTER($I$6:$I$205,$A$6:$A$205=A187,$C$6:$C$205=""TTM"",$AD$6:$AD$205=1),1),""""),SUMIFS($D$6:$D$205,$A$6:$A$205,A187,$C$6:$C$205,""FY0"",$AD$6:$AD$205,1)&lt;=SUMIFS($D$6:$D$205,$A$6:"&amp;"$A$205,A187,$C$6:$C$205,""TTM"",$AD$6:$AD$205,1),SUMIFS($D$6:$D$205,$A$6:$A$205,A187,$C$6:$C$205,""TTM"",$AD$6:$AD$205,1)-SUMIFS($D$6:$D$205,$A$6:$A$205,A187,$C$6:$C$205,""FY0"",$AD$6:$AD$205,1)&lt;366,ABS(D187-EDATE(SUMIFS($D$6:$D$205,$A$6:$A$205,A187,$C$6:"&amp;"$C$205,""FY0"",$AD$6:$AD$205,1),IF(C187=""FY0"",0,IF(C187=""FY-1"",-12,-24))))&lt;=31),1,0),0))"),"")</f>
        <v/>
      </c>
    </row>
    <row r="188" ht="31.5" customHeight="1">
      <c r="A188" s="85"/>
      <c r="B188" s="86" t="str">
        <f t="array" ref="B188">IF(A188="","",IF(AB188&lt;&gt;1,"Unmatched issuer",INDEX(Companies!$C$6:$C$55,MATCH(A188,Companies!$A$6:$A$55,0))))</f>
        <v/>
      </c>
      <c r="C188" s="87"/>
      <c r="D188" s="88"/>
      <c r="E188" s="88"/>
      <c r="F188" s="88"/>
      <c r="G188" s="87"/>
      <c r="H188" s="87"/>
      <c r="I188" s="85"/>
      <c r="J188" s="89"/>
      <c r="K188" s="89"/>
      <c r="L188" s="90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90"/>
      <c r="Z188" s="85"/>
      <c r="AA188" s="85"/>
      <c r="AB188" s="86" t="str">
        <f>IF(A188="","",COUNTIF(Companies!$A$6:$A$55,A188))</f>
        <v/>
      </c>
      <c r="AC188" s="86" t="str">
        <f t="shared" si="1"/>
        <v/>
      </c>
      <c r="AD188" s="86" t="str">
        <f>IF(A188="","",IFERROR(IF(AND(AB188=1,AC188=1,AM188=1,OR(C188="TTM",C188="FY0",C188="FY-1",C188="FY-2"),ISNUMBER(D188),D188&lt;=Rules!$B$6,ISNUMBER(E188),E188&gt;=D188,E188&lt;=Rules!$B$6,ISNUMBER(F188),ABS(D188-F188-365)&lt;=31,OR(G188="US GAAP",G188="IFRS"),H188="Yes",I188&lt;&gt;"",COUNT(J188:R188)=9,J188&gt;0,L188&gt;-1,L188&lt;1,M188&gt;=0,N188&gt;=0,Q188&gt;=0,R188&gt;=0,M188+O188-Q188&gt;0,N188+P188-R188&gt;0,Z188&lt;&gt;"",AA188&lt;&gt;""),1,0),0))</f>
        <v/>
      </c>
      <c r="AE188" s="91" t="str">
        <f t="shared" si="2"/>
        <v/>
      </c>
      <c r="AF188" s="91" t="str">
        <f t="shared" si="3"/>
        <v/>
      </c>
      <c r="AG188" s="92" t="str">
        <f t="shared" si="4"/>
        <v/>
      </c>
      <c r="AH188" s="92" t="str">
        <f t="shared" si="5"/>
        <v/>
      </c>
      <c r="AI188" s="92" t="str">
        <f t="shared" si="6"/>
        <v/>
      </c>
      <c r="AJ188" s="92" t="str">
        <f t="shared" si="7"/>
        <v/>
      </c>
      <c r="AK188" s="92" t="str">
        <f t="shared" si="8"/>
        <v/>
      </c>
      <c r="AL188" s="86" t="str">
        <f t="shared" si="9"/>
        <v/>
      </c>
      <c r="AM188" s="86" t="str">
        <f t="array" ref="AM188">IF(A188="","",IF(AB188&lt;&gt;1,0,IF(AND(INDEX(Companies!$R$6:$R$55,MATCH(A188,Companies!$A$6:$A$55,0))=1,INDEX(Companies!$I$6:$I$55,MATCH(A188,Companies!$A$6:$A$55,0))&gt;=MAX(10,Rules!$B$22)),1,0)))</f>
        <v/>
      </c>
      <c r="AN188" s="86" t="str">
        <f>IFERROR(__xludf.DUMMYFUNCTION("IF(A188="""","""",IFERROR(IF(AND(OR(C188=""FY0"",C188=""FY-1"",C188=""FY-2""),AD188=1,COUNTIFS($A$6:$A$205,A188,$C$6:$C$205,""FY0"",$AD$6:$AD$205,1)=1,COUNTIFS($A$6:$A$205,A188,$C$6:$C$205,""TTM"",$AD$6:$AD$205,1)=1,G188=IFNA(INDEX(FILTER($G$6:$G$205,$A$6"&amp;":$A$205=A188,$C$6:$C$205=""TTM"",$AD$6:$AD$205=1),1),""""),I188=IFNA(INDEX(FILTER($I$6:$I$205,$A$6:$A$205=A188,$C$6:$C$205=""TTM"",$AD$6:$AD$205=1),1),""""),SUMIFS($D$6:$D$205,$A$6:$A$205,A188,$C$6:$C$205,""FY0"",$AD$6:$AD$205,1)&lt;=SUMIFS($D$6:$D$205,$A$6:"&amp;"$A$205,A188,$C$6:$C$205,""TTM"",$AD$6:$AD$205,1),SUMIFS($D$6:$D$205,$A$6:$A$205,A188,$C$6:$C$205,""TTM"",$AD$6:$AD$205,1)-SUMIFS($D$6:$D$205,$A$6:$A$205,A188,$C$6:$C$205,""FY0"",$AD$6:$AD$205,1)&lt;366,ABS(D188-EDATE(SUMIFS($D$6:$D$205,$A$6:$A$205,A188,$C$6:"&amp;"$C$205,""FY0"",$AD$6:$AD$205,1),IF(C188=""FY0"",0,IF(C188=""FY-1"",-12,-24))))&lt;=31),1,0),0))"),"")</f>
        <v/>
      </c>
    </row>
    <row r="189" ht="31.5" customHeight="1">
      <c r="A189" s="85"/>
      <c r="B189" s="86" t="str">
        <f t="array" ref="B189">IF(A189="","",IF(AB189&lt;&gt;1,"Unmatched issuer",INDEX(Companies!$C$6:$C$55,MATCH(A189,Companies!$A$6:$A$55,0))))</f>
        <v/>
      </c>
      <c r="C189" s="87"/>
      <c r="D189" s="88"/>
      <c r="E189" s="88"/>
      <c r="F189" s="88"/>
      <c r="G189" s="87"/>
      <c r="H189" s="87"/>
      <c r="I189" s="85"/>
      <c r="J189" s="89"/>
      <c r="K189" s="89"/>
      <c r="L189" s="90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90"/>
      <c r="Z189" s="85"/>
      <c r="AA189" s="85"/>
      <c r="AB189" s="86" t="str">
        <f>IF(A189="","",COUNTIF(Companies!$A$6:$A$55,A189))</f>
        <v/>
      </c>
      <c r="AC189" s="86" t="str">
        <f t="shared" si="1"/>
        <v/>
      </c>
      <c r="AD189" s="86" t="str">
        <f>IF(A189="","",IFERROR(IF(AND(AB189=1,AC189=1,AM189=1,OR(C189="TTM",C189="FY0",C189="FY-1",C189="FY-2"),ISNUMBER(D189),D189&lt;=Rules!$B$6,ISNUMBER(E189),E189&gt;=D189,E189&lt;=Rules!$B$6,ISNUMBER(F189),ABS(D189-F189-365)&lt;=31,OR(G189="US GAAP",G189="IFRS"),H189="Yes",I189&lt;&gt;"",COUNT(J189:R189)=9,J189&gt;0,L189&gt;-1,L189&lt;1,M189&gt;=0,N189&gt;=0,Q189&gt;=0,R189&gt;=0,M189+O189-Q189&gt;0,N189+P189-R189&gt;0,Z189&lt;&gt;"",AA189&lt;&gt;""),1,0),0))</f>
        <v/>
      </c>
      <c r="AE189" s="91" t="str">
        <f t="shared" si="2"/>
        <v/>
      </c>
      <c r="AF189" s="91" t="str">
        <f t="shared" si="3"/>
        <v/>
      </c>
      <c r="AG189" s="92" t="str">
        <f t="shared" si="4"/>
        <v/>
      </c>
      <c r="AH189" s="92" t="str">
        <f t="shared" si="5"/>
        <v/>
      </c>
      <c r="AI189" s="92" t="str">
        <f t="shared" si="6"/>
        <v/>
      </c>
      <c r="AJ189" s="92" t="str">
        <f t="shared" si="7"/>
        <v/>
      </c>
      <c r="AK189" s="92" t="str">
        <f t="shared" si="8"/>
        <v/>
      </c>
      <c r="AL189" s="86" t="str">
        <f t="shared" si="9"/>
        <v/>
      </c>
      <c r="AM189" s="86" t="str">
        <f t="array" ref="AM189">IF(A189="","",IF(AB189&lt;&gt;1,0,IF(AND(INDEX(Companies!$R$6:$R$55,MATCH(A189,Companies!$A$6:$A$55,0))=1,INDEX(Companies!$I$6:$I$55,MATCH(A189,Companies!$A$6:$A$55,0))&gt;=MAX(10,Rules!$B$22)),1,0)))</f>
        <v/>
      </c>
      <c r="AN189" s="86" t="str">
        <f>IFERROR(__xludf.DUMMYFUNCTION("IF(A189="""","""",IFERROR(IF(AND(OR(C189=""FY0"",C189=""FY-1"",C189=""FY-2""),AD189=1,COUNTIFS($A$6:$A$205,A189,$C$6:$C$205,""FY0"",$AD$6:$AD$205,1)=1,COUNTIFS($A$6:$A$205,A189,$C$6:$C$205,""TTM"",$AD$6:$AD$205,1)=1,G189=IFNA(INDEX(FILTER($G$6:$G$205,$A$6"&amp;":$A$205=A189,$C$6:$C$205=""TTM"",$AD$6:$AD$205=1),1),""""),I189=IFNA(INDEX(FILTER($I$6:$I$205,$A$6:$A$205=A189,$C$6:$C$205=""TTM"",$AD$6:$AD$205=1),1),""""),SUMIFS($D$6:$D$205,$A$6:$A$205,A189,$C$6:$C$205,""FY0"",$AD$6:$AD$205,1)&lt;=SUMIFS($D$6:$D$205,$A$6:"&amp;"$A$205,A189,$C$6:$C$205,""TTM"",$AD$6:$AD$205,1),SUMIFS($D$6:$D$205,$A$6:$A$205,A189,$C$6:$C$205,""TTM"",$AD$6:$AD$205,1)-SUMIFS($D$6:$D$205,$A$6:$A$205,A189,$C$6:$C$205,""FY0"",$AD$6:$AD$205,1)&lt;366,ABS(D189-EDATE(SUMIFS($D$6:$D$205,$A$6:$A$205,A189,$C$6:"&amp;"$C$205,""FY0"",$AD$6:$AD$205,1),IF(C189=""FY0"",0,IF(C189=""FY-1"",-12,-24))))&lt;=31),1,0),0))"),"")</f>
        <v/>
      </c>
    </row>
    <row r="190" ht="31.5" customHeight="1">
      <c r="A190" s="85"/>
      <c r="B190" s="86" t="str">
        <f t="array" ref="B190">IF(A190="","",IF(AB190&lt;&gt;1,"Unmatched issuer",INDEX(Companies!$C$6:$C$55,MATCH(A190,Companies!$A$6:$A$55,0))))</f>
        <v/>
      </c>
      <c r="C190" s="87"/>
      <c r="D190" s="88"/>
      <c r="E190" s="88"/>
      <c r="F190" s="88"/>
      <c r="G190" s="87"/>
      <c r="H190" s="87"/>
      <c r="I190" s="85"/>
      <c r="J190" s="89"/>
      <c r="K190" s="89"/>
      <c r="L190" s="90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90"/>
      <c r="Z190" s="85"/>
      <c r="AA190" s="85"/>
      <c r="AB190" s="86" t="str">
        <f>IF(A190="","",COUNTIF(Companies!$A$6:$A$55,A190))</f>
        <v/>
      </c>
      <c r="AC190" s="86" t="str">
        <f t="shared" si="1"/>
        <v/>
      </c>
      <c r="AD190" s="86" t="str">
        <f>IF(A190="","",IFERROR(IF(AND(AB190=1,AC190=1,AM190=1,OR(C190="TTM",C190="FY0",C190="FY-1",C190="FY-2"),ISNUMBER(D190),D190&lt;=Rules!$B$6,ISNUMBER(E190),E190&gt;=D190,E190&lt;=Rules!$B$6,ISNUMBER(F190),ABS(D190-F190-365)&lt;=31,OR(G190="US GAAP",G190="IFRS"),H190="Yes",I190&lt;&gt;"",COUNT(J190:R190)=9,J190&gt;0,L190&gt;-1,L190&lt;1,M190&gt;=0,N190&gt;=0,Q190&gt;=0,R190&gt;=0,M190+O190-Q190&gt;0,N190+P190-R190&gt;0,Z190&lt;&gt;"",AA190&lt;&gt;""),1,0),0))</f>
        <v/>
      </c>
      <c r="AE190" s="91" t="str">
        <f t="shared" si="2"/>
        <v/>
      </c>
      <c r="AF190" s="91" t="str">
        <f t="shared" si="3"/>
        <v/>
      </c>
      <c r="AG190" s="92" t="str">
        <f t="shared" si="4"/>
        <v/>
      </c>
      <c r="AH190" s="92" t="str">
        <f t="shared" si="5"/>
        <v/>
      </c>
      <c r="AI190" s="92" t="str">
        <f t="shared" si="6"/>
        <v/>
      </c>
      <c r="AJ190" s="92" t="str">
        <f t="shared" si="7"/>
        <v/>
      </c>
      <c r="AK190" s="92" t="str">
        <f t="shared" si="8"/>
        <v/>
      </c>
      <c r="AL190" s="86" t="str">
        <f t="shared" si="9"/>
        <v/>
      </c>
      <c r="AM190" s="86" t="str">
        <f t="array" ref="AM190">IF(A190="","",IF(AB190&lt;&gt;1,0,IF(AND(INDEX(Companies!$R$6:$R$55,MATCH(A190,Companies!$A$6:$A$55,0))=1,INDEX(Companies!$I$6:$I$55,MATCH(A190,Companies!$A$6:$A$55,0))&gt;=MAX(10,Rules!$B$22)),1,0)))</f>
        <v/>
      </c>
      <c r="AN190" s="86" t="str">
        <f>IFERROR(__xludf.DUMMYFUNCTION("IF(A190="""","""",IFERROR(IF(AND(OR(C190=""FY0"",C190=""FY-1"",C190=""FY-2""),AD190=1,COUNTIFS($A$6:$A$205,A190,$C$6:$C$205,""FY0"",$AD$6:$AD$205,1)=1,COUNTIFS($A$6:$A$205,A190,$C$6:$C$205,""TTM"",$AD$6:$AD$205,1)=1,G190=IFNA(INDEX(FILTER($G$6:$G$205,$A$6"&amp;":$A$205=A190,$C$6:$C$205=""TTM"",$AD$6:$AD$205=1),1),""""),I190=IFNA(INDEX(FILTER($I$6:$I$205,$A$6:$A$205=A190,$C$6:$C$205=""TTM"",$AD$6:$AD$205=1),1),""""),SUMIFS($D$6:$D$205,$A$6:$A$205,A190,$C$6:$C$205,""FY0"",$AD$6:$AD$205,1)&lt;=SUMIFS($D$6:$D$205,$A$6:"&amp;"$A$205,A190,$C$6:$C$205,""TTM"",$AD$6:$AD$205,1),SUMIFS($D$6:$D$205,$A$6:$A$205,A190,$C$6:$C$205,""TTM"",$AD$6:$AD$205,1)-SUMIFS($D$6:$D$205,$A$6:$A$205,A190,$C$6:$C$205,""FY0"",$AD$6:$AD$205,1)&lt;366,ABS(D190-EDATE(SUMIFS($D$6:$D$205,$A$6:$A$205,A190,$C$6:"&amp;"$C$205,""FY0"",$AD$6:$AD$205,1),IF(C190=""FY0"",0,IF(C190=""FY-1"",-12,-24))))&lt;=31),1,0),0))"),"")</f>
        <v/>
      </c>
    </row>
    <row r="191" ht="31.5" customHeight="1">
      <c r="A191" s="85"/>
      <c r="B191" s="86" t="str">
        <f t="array" ref="B191">IF(A191="","",IF(AB191&lt;&gt;1,"Unmatched issuer",INDEX(Companies!$C$6:$C$55,MATCH(A191,Companies!$A$6:$A$55,0))))</f>
        <v/>
      </c>
      <c r="C191" s="87"/>
      <c r="D191" s="88"/>
      <c r="E191" s="88"/>
      <c r="F191" s="88"/>
      <c r="G191" s="87"/>
      <c r="H191" s="87"/>
      <c r="I191" s="85"/>
      <c r="J191" s="89"/>
      <c r="K191" s="89"/>
      <c r="L191" s="90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90"/>
      <c r="Z191" s="85"/>
      <c r="AA191" s="85"/>
      <c r="AB191" s="86" t="str">
        <f>IF(A191="","",COUNTIF(Companies!$A$6:$A$55,A191))</f>
        <v/>
      </c>
      <c r="AC191" s="86" t="str">
        <f t="shared" si="1"/>
        <v/>
      </c>
      <c r="AD191" s="86" t="str">
        <f>IF(A191="","",IFERROR(IF(AND(AB191=1,AC191=1,AM191=1,OR(C191="TTM",C191="FY0",C191="FY-1",C191="FY-2"),ISNUMBER(D191),D191&lt;=Rules!$B$6,ISNUMBER(E191),E191&gt;=D191,E191&lt;=Rules!$B$6,ISNUMBER(F191),ABS(D191-F191-365)&lt;=31,OR(G191="US GAAP",G191="IFRS"),H191="Yes",I191&lt;&gt;"",COUNT(J191:R191)=9,J191&gt;0,L191&gt;-1,L191&lt;1,M191&gt;=0,N191&gt;=0,Q191&gt;=0,R191&gt;=0,M191+O191-Q191&gt;0,N191+P191-R191&gt;0,Z191&lt;&gt;"",AA191&lt;&gt;""),1,0),0))</f>
        <v/>
      </c>
      <c r="AE191" s="91" t="str">
        <f t="shared" si="2"/>
        <v/>
      </c>
      <c r="AF191" s="91" t="str">
        <f t="shared" si="3"/>
        <v/>
      </c>
      <c r="AG191" s="92" t="str">
        <f t="shared" si="4"/>
        <v/>
      </c>
      <c r="AH191" s="92" t="str">
        <f t="shared" si="5"/>
        <v/>
      </c>
      <c r="AI191" s="92" t="str">
        <f t="shared" si="6"/>
        <v/>
      </c>
      <c r="AJ191" s="92" t="str">
        <f t="shared" si="7"/>
        <v/>
      </c>
      <c r="AK191" s="92" t="str">
        <f t="shared" si="8"/>
        <v/>
      </c>
      <c r="AL191" s="86" t="str">
        <f t="shared" si="9"/>
        <v/>
      </c>
      <c r="AM191" s="86" t="str">
        <f t="array" ref="AM191">IF(A191="","",IF(AB191&lt;&gt;1,0,IF(AND(INDEX(Companies!$R$6:$R$55,MATCH(A191,Companies!$A$6:$A$55,0))=1,INDEX(Companies!$I$6:$I$55,MATCH(A191,Companies!$A$6:$A$55,0))&gt;=MAX(10,Rules!$B$22)),1,0)))</f>
        <v/>
      </c>
      <c r="AN191" s="86" t="str">
        <f>IFERROR(__xludf.DUMMYFUNCTION("IF(A191="""","""",IFERROR(IF(AND(OR(C191=""FY0"",C191=""FY-1"",C191=""FY-2""),AD191=1,COUNTIFS($A$6:$A$205,A191,$C$6:$C$205,""FY0"",$AD$6:$AD$205,1)=1,COUNTIFS($A$6:$A$205,A191,$C$6:$C$205,""TTM"",$AD$6:$AD$205,1)=1,G191=IFNA(INDEX(FILTER($G$6:$G$205,$A$6"&amp;":$A$205=A191,$C$6:$C$205=""TTM"",$AD$6:$AD$205=1),1),""""),I191=IFNA(INDEX(FILTER($I$6:$I$205,$A$6:$A$205=A191,$C$6:$C$205=""TTM"",$AD$6:$AD$205=1),1),""""),SUMIFS($D$6:$D$205,$A$6:$A$205,A191,$C$6:$C$205,""FY0"",$AD$6:$AD$205,1)&lt;=SUMIFS($D$6:$D$205,$A$6:"&amp;"$A$205,A191,$C$6:$C$205,""TTM"",$AD$6:$AD$205,1),SUMIFS($D$6:$D$205,$A$6:$A$205,A191,$C$6:$C$205,""TTM"",$AD$6:$AD$205,1)-SUMIFS($D$6:$D$205,$A$6:$A$205,A191,$C$6:$C$205,""FY0"",$AD$6:$AD$205,1)&lt;366,ABS(D191-EDATE(SUMIFS($D$6:$D$205,$A$6:$A$205,A191,$C$6:"&amp;"$C$205,""FY0"",$AD$6:$AD$205,1),IF(C191=""FY0"",0,IF(C191=""FY-1"",-12,-24))))&lt;=31),1,0),0))"),"")</f>
        <v/>
      </c>
    </row>
    <row r="192" ht="31.5" customHeight="1">
      <c r="A192" s="85"/>
      <c r="B192" s="86" t="str">
        <f t="array" ref="B192">IF(A192="","",IF(AB192&lt;&gt;1,"Unmatched issuer",INDEX(Companies!$C$6:$C$55,MATCH(A192,Companies!$A$6:$A$55,0))))</f>
        <v/>
      </c>
      <c r="C192" s="87"/>
      <c r="D192" s="88"/>
      <c r="E192" s="88"/>
      <c r="F192" s="88"/>
      <c r="G192" s="87"/>
      <c r="H192" s="87"/>
      <c r="I192" s="85"/>
      <c r="J192" s="89"/>
      <c r="K192" s="89"/>
      <c r="L192" s="90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90"/>
      <c r="Z192" s="85"/>
      <c r="AA192" s="85"/>
      <c r="AB192" s="86" t="str">
        <f>IF(A192="","",COUNTIF(Companies!$A$6:$A$55,A192))</f>
        <v/>
      </c>
      <c r="AC192" s="86" t="str">
        <f t="shared" si="1"/>
        <v/>
      </c>
      <c r="AD192" s="86" t="str">
        <f>IF(A192="","",IFERROR(IF(AND(AB192=1,AC192=1,AM192=1,OR(C192="TTM",C192="FY0",C192="FY-1",C192="FY-2"),ISNUMBER(D192),D192&lt;=Rules!$B$6,ISNUMBER(E192),E192&gt;=D192,E192&lt;=Rules!$B$6,ISNUMBER(F192),ABS(D192-F192-365)&lt;=31,OR(G192="US GAAP",G192="IFRS"),H192="Yes",I192&lt;&gt;"",COUNT(J192:R192)=9,J192&gt;0,L192&gt;-1,L192&lt;1,M192&gt;=0,N192&gt;=0,Q192&gt;=0,R192&gt;=0,M192+O192-Q192&gt;0,N192+P192-R192&gt;0,Z192&lt;&gt;"",AA192&lt;&gt;""),1,0),0))</f>
        <v/>
      </c>
      <c r="AE192" s="91" t="str">
        <f t="shared" si="2"/>
        <v/>
      </c>
      <c r="AF192" s="91" t="str">
        <f t="shared" si="3"/>
        <v/>
      </c>
      <c r="AG192" s="92" t="str">
        <f t="shared" si="4"/>
        <v/>
      </c>
      <c r="AH192" s="92" t="str">
        <f t="shared" si="5"/>
        <v/>
      </c>
      <c r="AI192" s="92" t="str">
        <f t="shared" si="6"/>
        <v/>
      </c>
      <c r="AJ192" s="92" t="str">
        <f t="shared" si="7"/>
        <v/>
      </c>
      <c r="AK192" s="92" t="str">
        <f t="shared" si="8"/>
        <v/>
      </c>
      <c r="AL192" s="86" t="str">
        <f t="shared" si="9"/>
        <v/>
      </c>
      <c r="AM192" s="86" t="str">
        <f t="array" ref="AM192">IF(A192="","",IF(AB192&lt;&gt;1,0,IF(AND(INDEX(Companies!$R$6:$R$55,MATCH(A192,Companies!$A$6:$A$55,0))=1,INDEX(Companies!$I$6:$I$55,MATCH(A192,Companies!$A$6:$A$55,0))&gt;=MAX(10,Rules!$B$22)),1,0)))</f>
        <v/>
      </c>
      <c r="AN192" s="86" t="str">
        <f>IFERROR(__xludf.DUMMYFUNCTION("IF(A192="""","""",IFERROR(IF(AND(OR(C192=""FY0"",C192=""FY-1"",C192=""FY-2""),AD192=1,COUNTIFS($A$6:$A$205,A192,$C$6:$C$205,""FY0"",$AD$6:$AD$205,1)=1,COUNTIFS($A$6:$A$205,A192,$C$6:$C$205,""TTM"",$AD$6:$AD$205,1)=1,G192=IFNA(INDEX(FILTER($G$6:$G$205,$A$6"&amp;":$A$205=A192,$C$6:$C$205=""TTM"",$AD$6:$AD$205=1),1),""""),I192=IFNA(INDEX(FILTER($I$6:$I$205,$A$6:$A$205=A192,$C$6:$C$205=""TTM"",$AD$6:$AD$205=1),1),""""),SUMIFS($D$6:$D$205,$A$6:$A$205,A192,$C$6:$C$205,""FY0"",$AD$6:$AD$205,1)&lt;=SUMIFS($D$6:$D$205,$A$6:"&amp;"$A$205,A192,$C$6:$C$205,""TTM"",$AD$6:$AD$205,1),SUMIFS($D$6:$D$205,$A$6:$A$205,A192,$C$6:$C$205,""TTM"",$AD$6:$AD$205,1)-SUMIFS($D$6:$D$205,$A$6:$A$205,A192,$C$6:$C$205,""FY0"",$AD$6:$AD$205,1)&lt;366,ABS(D192-EDATE(SUMIFS($D$6:$D$205,$A$6:$A$205,A192,$C$6:"&amp;"$C$205,""FY0"",$AD$6:$AD$205,1),IF(C192=""FY0"",0,IF(C192=""FY-1"",-12,-24))))&lt;=31),1,0),0))"),"")</f>
        <v/>
      </c>
    </row>
    <row r="193" ht="31.5" customHeight="1">
      <c r="A193" s="85"/>
      <c r="B193" s="86" t="str">
        <f t="array" ref="B193">IF(A193="","",IF(AB193&lt;&gt;1,"Unmatched issuer",INDEX(Companies!$C$6:$C$55,MATCH(A193,Companies!$A$6:$A$55,0))))</f>
        <v/>
      </c>
      <c r="C193" s="87"/>
      <c r="D193" s="88"/>
      <c r="E193" s="88"/>
      <c r="F193" s="88"/>
      <c r="G193" s="87"/>
      <c r="H193" s="87"/>
      <c r="I193" s="85"/>
      <c r="J193" s="89"/>
      <c r="K193" s="89"/>
      <c r="L193" s="90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90"/>
      <c r="Z193" s="85"/>
      <c r="AA193" s="85"/>
      <c r="AB193" s="86" t="str">
        <f>IF(A193="","",COUNTIF(Companies!$A$6:$A$55,A193))</f>
        <v/>
      </c>
      <c r="AC193" s="86" t="str">
        <f t="shared" si="1"/>
        <v/>
      </c>
      <c r="AD193" s="86" t="str">
        <f>IF(A193="","",IFERROR(IF(AND(AB193=1,AC193=1,AM193=1,OR(C193="TTM",C193="FY0",C193="FY-1",C193="FY-2"),ISNUMBER(D193),D193&lt;=Rules!$B$6,ISNUMBER(E193),E193&gt;=D193,E193&lt;=Rules!$B$6,ISNUMBER(F193),ABS(D193-F193-365)&lt;=31,OR(G193="US GAAP",G193="IFRS"),H193="Yes",I193&lt;&gt;"",COUNT(J193:R193)=9,J193&gt;0,L193&gt;-1,L193&lt;1,M193&gt;=0,N193&gt;=0,Q193&gt;=0,R193&gt;=0,M193+O193-Q193&gt;0,N193+P193-R193&gt;0,Z193&lt;&gt;"",AA193&lt;&gt;""),1,0),0))</f>
        <v/>
      </c>
      <c r="AE193" s="91" t="str">
        <f t="shared" si="2"/>
        <v/>
      </c>
      <c r="AF193" s="91" t="str">
        <f t="shared" si="3"/>
        <v/>
      </c>
      <c r="AG193" s="92" t="str">
        <f t="shared" si="4"/>
        <v/>
      </c>
      <c r="AH193" s="92" t="str">
        <f t="shared" si="5"/>
        <v/>
      </c>
      <c r="AI193" s="92" t="str">
        <f t="shared" si="6"/>
        <v/>
      </c>
      <c r="AJ193" s="92" t="str">
        <f t="shared" si="7"/>
        <v/>
      </c>
      <c r="AK193" s="92" t="str">
        <f t="shared" si="8"/>
        <v/>
      </c>
      <c r="AL193" s="86" t="str">
        <f t="shared" si="9"/>
        <v/>
      </c>
      <c r="AM193" s="86" t="str">
        <f t="array" ref="AM193">IF(A193="","",IF(AB193&lt;&gt;1,0,IF(AND(INDEX(Companies!$R$6:$R$55,MATCH(A193,Companies!$A$6:$A$55,0))=1,INDEX(Companies!$I$6:$I$55,MATCH(A193,Companies!$A$6:$A$55,0))&gt;=MAX(10,Rules!$B$22)),1,0)))</f>
        <v/>
      </c>
      <c r="AN193" s="86" t="str">
        <f>IFERROR(__xludf.DUMMYFUNCTION("IF(A193="""","""",IFERROR(IF(AND(OR(C193=""FY0"",C193=""FY-1"",C193=""FY-2""),AD193=1,COUNTIFS($A$6:$A$205,A193,$C$6:$C$205,""FY0"",$AD$6:$AD$205,1)=1,COUNTIFS($A$6:$A$205,A193,$C$6:$C$205,""TTM"",$AD$6:$AD$205,1)=1,G193=IFNA(INDEX(FILTER($G$6:$G$205,$A$6"&amp;":$A$205=A193,$C$6:$C$205=""TTM"",$AD$6:$AD$205=1),1),""""),I193=IFNA(INDEX(FILTER($I$6:$I$205,$A$6:$A$205=A193,$C$6:$C$205=""TTM"",$AD$6:$AD$205=1),1),""""),SUMIFS($D$6:$D$205,$A$6:$A$205,A193,$C$6:$C$205,""FY0"",$AD$6:$AD$205,1)&lt;=SUMIFS($D$6:$D$205,$A$6:"&amp;"$A$205,A193,$C$6:$C$205,""TTM"",$AD$6:$AD$205,1),SUMIFS($D$6:$D$205,$A$6:$A$205,A193,$C$6:$C$205,""TTM"",$AD$6:$AD$205,1)-SUMIFS($D$6:$D$205,$A$6:$A$205,A193,$C$6:$C$205,""FY0"",$AD$6:$AD$205,1)&lt;366,ABS(D193-EDATE(SUMIFS($D$6:$D$205,$A$6:$A$205,A193,$C$6:"&amp;"$C$205,""FY0"",$AD$6:$AD$205,1),IF(C193=""FY0"",0,IF(C193=""FY-1"",-12,-24))))&lt;=31),1,0),0))"),"")</f>
        <v/>
      </c>
    </row>
    <row r="194" ht="31.5" customHeight="1">
      <c r="A194" s="85"/>
      <c r="B194" s="86" t="str">
        <f t="array" ref="B194">IF(A194="","",IF(AB194&lt;&gt;1,"Unmatched issuer",INDEX(Companies!$C$6:$C$55,MATCH(A194,Companies!$A$6:$A$55,0))))</f>
        <v/>
      </c>
      <c r="C194" s="87"/>
      <c r="D194" s="88"/>
      <c r="E194" s="88"/>
      <c r="F194" s="88"/>
      <c r="G194" s="87"/>
      <c r="H194" s="87"/>
      <c r="I194" s="85"/>
      <c r="J194" s="89"/>
      <c r="K194" s="89"/>
      <c r="L194" s="90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90"/>
      <c r="Z194" s="85"/>
      <c r="AA194" s="85"/>
      <c r="AB194" s="86" t="str">
        <f>IF(A194="","",COUNTIF(Companies!$A$6:$A$55,A194))</f>
        <v/>
      </c>
      <c r="AC194" s="86" t="str">
        <f t="shared" si="1"/>
        <v/>
      </c>
      <c r="AD194" s="86" t="str">
        <f>IF(A194="","",IFERROR(IF(AND(AB194=1,AC194=1,AM194=1,OR(C194="TTM",C194="FY0",C194="FY-1",C194="FY-2"),ISNUMBER(D194),D194&lt;=Rules!$B$6,ISNUMBER(E194),E194&gt;=D194,E194&lt;=Rules!$B$6,ISNUMBER(F194),ABS(D194-F194-365)&lt;=31,OR(G194="US GAAP",G194="IFRS"),H194="Yes",I194&lt;&gt;"",COUNT(J194:R194)=9,J194&gt;0,L194&gt;-1,L194&lt;1,M194&gt;=0,N194&gt;=0,Q194&gt;=0,R194&gt;=0,M194+O194-Q194&gt;0,N194+P194-R194&gt;0,Z194&lt;&gt;"",AA194&lt;&gt;""),1,0),0))</f>
        <v/>
      </c>
      <c r="AE194" s="91" t="str">
        <f t="shared" si="2"/>
        <v/>
      </c>
      <c r="AF194" s="91" t="str">
        <f t="shared" si="3"/>
        <v/>
      </c>
      <c r="AG194" s="92" t="str">
        <f t="shared" si="4"/>
        <v/>
      </c>
      <c r="AH194" s="92" t="str">
        <f t="shared" si="5"/>
        <v/>
      </c>
      <c r="AI194" s="92" t="str">
        <f t="shared" si="6"/>
        <v/>
      </c>
      <c r="AJ194" s="92" t="str">
        <f t="shared" si="7"/>
        <v/>
      </c>
      <c r="AK194" s="92" t="str">
        <f t="shared" si="8"/>
        <v/>
      </c>
      <c r="AL194" s="86" t="str">
        <f t="shared" si="9"/>
        <v/>
      </c>
      <c r="AM194" s="86" t="str">
        <f t="array" ref="AM194">IF(A194="","",IF(AB194&lt;&gt;1,0,IF(AND(INDEX(Companies!$R$6:$R$55,MATCH(A194,Companies!$A$6:$A$55,0))=1,INDEX(Companies!$I$6:$I$55,MATCH(A194,Companies!$A$6:$A$55,0))&gt;=MAX(10,Rules!$B$22)),1,0)))</f>
        <v/>
      </c>
      <c r="AN194" s="86" t="str">
        <f>IFERROR(__xludf.DUMMYFUNCTION("IF(A194="""","""",IFERROR(IF(AND(OR(C194=""FY0"",C194=""FY-1"",C194=""FY-2""),AD194=1,COUNTIFS($A$6:$A$205,A194,$C$6:$C$205,""FY0"",$AD$6:$AD$205,1)=1,COUNTIFS($A$6:$A$205,A194,$C$6:$C$205,""TTM"",$AD$6:$AD$205,1)=1,G194=IFNA(INDEX(FILTER($G$6:$G$205,$A$6"&amp;":$A$205=A194,$C$6:$C$205=""TTM"",$AD$6:$AD$205=1),1),""""),I194=IFNA(INDEX(FILTER($I$6:$I$205,$A$6:$A$205=A194,$C$6:$C$205=""TTM"",$AD$6:$AD$205=1),1),""""),SUMIFS($D$6:$D$205,$A$6:$A$205,A194,$C$6:$C$205,""FY0"",$AD$6:$AD$205,1)&lt;=SUMIFS($D$6:$D$205,$A$6:"&amp;"$A$205,A194,$C$6:$C$205,""TTM"",$AD$6:$AD$205,1),SUMIFS($D$6:$D$205,$A$6:$A$205,A194,$C$6:$C$205,""TTM"",$AD$6:$AD$205,1)-SUMIFS($D$6:$D$205,$A$6:$A$205,A194,$C$6:$C$205,""FY0"",$AD$6:$AD$205,1)&lt;366,ABS(D194-EDATE(SUMIFS($D$6:$D$205,$A$6:$A$205,A194,$C$6:"&amp;"$C$205,""FY0"",$AD$6:$AD$205,1),IF(C194=""FY0"",0,IF(C194=""FY-1"",-12,-24))))&lt;=31),1,0),0))"),"")</f>
        <v/>
      </c>
    </row>
    <row r="195" ht="31.5" customHeight="1">
      <c r="A195" s="85"/>
      <c r="B195" s="86" t="str">
        <f t="array" ref="B195">IF(A195="","",IF(AB195&lt;&gt;1,"Unmatched issuer",INDEX(Companies!$C$6:$C$55,MATCH(A195,Companies!$A$6:$A$55,0))))</f>
        <v/>
      </c>
      <c r="C195" s="87"/>
      <c r="D195" s="88"/>
      <c r="E195" s="88"/>
      <c r="F195" s="88"/>
      <c r="G195" s="87"/>
      <c r="H195" s="87"/>
      <c r="I195" s="85"/>
      <c r="J195" s="89"/>
      <c r="K195" s="89"/>
      <c r="L195" s="90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90"/>
      <c r="Z195" s="85"/>
      <c r="AA195" s="85"/>
      <c r="AB195" s="86" t="str">
        <f>IF(A195="","",COUNTIF(Companies!$A$6:$A$55,A195))</f>
        <v/>
      </c>
      <c r="AC195" s="86" t="str">
        <f t="shared" si="1"/>
        <v/>
      </c>
      <c r="AD195" s="86" t="str">
        <f>IF(A195="","",IFERROR(IF(AND(AB195=1,AC195=1,AM195=1,OR(C195="TTM",C195="FY0",C195="FY-1",C195="FY-2"),ISNUMBER(D195),D195&lt;=Rules!$B$6,ISNUMBER(E195),E195&gt;=D195,E195&lt;=Rules!$B$6,ISNUMBER(F195),ABS(D195-F195-365)&lt;=31,OR(G195="US GAAP",G195="IFRS"),H195="Yes",I195&lt;&gt;"",COUNT(J195:R195)=9,J195&gt;0,L195&gt;-1,L195&lt;1,M195&gt;=0,N195&gt;=0,Q195&gt;=0,R195&gt;=0,M195+O195-Q195&gt;0,N195+P195-R195&gt;0,Z195&lt;&gt;"",AA195&lt;&gt;""),1,0),0))</f>
        <v/>
      </c>
      <c r="AE195" s="91" t="str">
        <f t="shared" si="2"/>
        <v/>
      </c>
      <c r="AF195" s="91" t="str">
        <f t="shared" si="3"/>
        <v/>
      </c>
      <c r="AG195" s="92" t="str">
        <f t="shared" si="4"/>
        <v/>
      </c>
      <c r="AH195" s="92" t="str">
        <f t="shared" si="5"/>
        <v/>
      </c>
      <c r="AI195" s="92" t="str">
        <f t="shared" si="6"/>
        <v/>
      </c>
      <c r="AJ195" s="92" t="str">
        <f t="shared" si="7"/>
        <v/>
      </c>
      <c r="AK195" s="92" t="str">
        <f t="shared" si="8"/>
        <v/>
      </c>
      <c r="AL195" s="86" t="str">
        <f t="shared" si="9"/>
        <v/>
      </c>
      <c r="AM195" s="86" t="str">
        <f t="array" ref="AM195">IF(A195="","",IF(AB195&lt;&gt;1,0,IF(AND(INDEX(Companies!$R$6:$R$55,MATCH(A195,Companies!$A$6:$A$55,0))=1,INDEX(Companies!$I$6:$I$55,MATCH(A195,Companies!$A$6:$A$55,0))&gt;=MAX(10,Rules!$B$22)),1,0)))</f>
        <v/>
      </c>
      <c r="AN195" s="86" t="str">
        <f>IFERROR(__xludf.DUMMYFUNCTION("IF(A195="""","""",IFERROR(IF(AND(OR(C195=""FY0"",C195=""FY-1"",C195=""FY-2""),AD195=1,COUNTIFS($A$6:$A$205,A195,$C$6:$C$205,""FY0"",$AD$6:$AD$205,1)=1,COUNTIFS($A$6:$A$205,A195,$C$6:$C$205,""TTM"",$AD$6:$AD$205,1)=1,G195=IFNA(INDEX(FILTER($G$6:$G$205,$A$6"&amp;":$A$205=A195,$C$6:$C$205=""TTM"",$AD$6:$AD$205=1),1),""""),I195=IFNA(INDEX(FILTER($I$6:$I$205,$A$6:$A$205=A195,$C$6:$C$205=""TTM"",$AD$6:$AD$205=1),1),""""),SUMIFS($D$6:$D$205,$A$6:$A$205,A195,$C$6:$C$205,""FY0"",$AD$6:$AD$205,1)&lt;=SUMIFS($D$6:$D$205,$A$6:"&amp;"$A$205,A195,$C$6:$C$205,""TTM"",$AD$6:$AD$205,1),SUMIFS($D$6:$D$205,$A$6:$A$205,A195,$C$6:$C$205,""TTM"",$AD$6:$AD$205,1)-SUMIFS($D$6:$D$205,$A$6:$A$205,A195,$C$6:$C$205,""FY0"",$AD$6:$AD$205,1)&lt;366,ABS(D195-EDATE(SUMIFS($D$6:$D$205,$A$6:$A$205,A195,$C$6:"&amp;"$C$205,""FY0"",$AD$6:$AD$205,1),IF(C195=""FY0"",0,IF(C195=""FY-1"",-12,-24))))&lt;=31),1,0),0))"),"")</f>
        <v/>
      </c>
    </row>
    <row r="196" ht="31.5" customHeight="1">
      <c r="A196" s="85"/>
      <c r="B196" s="86" t="str">
        <f t="array" ref="B196">IF(A196="","",IF(AB196&lt;&gt;1,"Unmatched issuer",INDEX(Companies!$C$6:$C$55,MATCH(A196,Companies!$A$6:$A$55,0))))</f>
        <v/>
      </c>
      <c r="C196" s="87"/>
      <c r="D196" s="88"/>
      <c r="E196" s="88"/>
      <c r="F196" s="88"/>
      <c r="G196" s="87"/>
      <c r="H196" s="87"/>
      <c r="I196" s="85"/>
      <c r="J196" s="89"/>
      <c r="K196" s="89"/>
      <c r="L196" s="90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90"/>
      <c r="Z196" s="85"/>
      <c r="AA196" s="85"/>
      <c r="AB196" s="86" t="str">
        <f>IF(A196="","",COUNTIF(Companies!$A$6:$A$55,A196))</f>
        <v/>
      </c>
      <c r="AC196" s="86" t="str">
        <f t="shared" si="1"/>
        <v/>
      </c>
      <c r="AD196" s="86" t="str">
        <f>IF(A196="","",IFERROR(IF(AND(AB196=1,AC196=1,AM196=1,OR(C196="TTM",C196="FY0",C196="FY-1",C196="FY-2"),ISNUMBER(D196),D196&lt;=Rules!$B$6,ISNUMBER(E196),E196&gt;=D196,E196&lt;=Rules!$B$6,ISNUMBER(F196),ABS(D196-F196-365)&lt;=31,OR(G196="US GAAP",G196="IFRS"),H196="Yes",I196&lt;&gt;"",COUNT(J196:R196)=9,J196&gt;0,L196&gt;-1,L196&lt;1,M196&gt;=0,N196&gt;=0,Q196&gt;=0,R196&gt;=0,M196+O196-Q196&gt;0,N196+P196-R196&gt;0,Z196&lt;&gt;"",AA196&lt;&gt;""),1,0),0))</f>
        <v/>
      </c>
      <c r="AE196" s="91" t="str">
        <f t="shared" si="2"/>
        <v/>
      </c>
      <c r="AF196" s="91" t="str">
        <f t="shared" si="3"/>
        <v/>
      </c>
      <c r="AG196" s="92" t="str">
        <f t="shared" si="4"/>
        <v/>
      </c>
      <c r="AH196" s="92" t="str">
        <f t="shared" si="5"/>
        <v/>
      </c>
      <c r="AI196" s="92" t="str">
        <f t="shared" si="6"/>
        <v/>
      </c>
      <c r="AJ196" s="92" t="str">
        <f t="shared" si="7"/>
        <v/>
      </c>
      <c r="AK196" s="92" t="str">
        <f t="shared" si="8"/>
        <v/>
      </c>
      <c r="AL196" s="86" t="str">
        <f t="shared" si="9"/>
        <v/>
      </c>
      <c r="AM196" s="86" t="str">
        <f t="array" ref="AM196">IF(A196="","",IF(AB196&lt;&gt;1,0,IF(AND(INDEX(Companies!$R$6:$R$55,MATCH(A196,Companies!$A$6:$A$55,0))=1,INDEX(Companies!$I$6:$I$55,MATCH(A196,Companies!$A$6:$A$55,0))&gt;=MAX(10,Rules!$B$22)),1,0)))</f>
        <v/>
      </c>
      <c r="AN196" s="86" t="str">
        <f>IFERROR(__xludf.DUMMYFUNCTION("IF(A196="""","""",IFERROR(IF(AND(OR(C196=""FY0"",C196=""FY-1"",C196=""FY-2""),AD196=1,COUNTIFS($A$6:$A$205,A196,$C$6:$C$205,""FY0"",$AD$6:$AD$205,1)=1,COUNTIFS($A$6:$A$205,A196,$C$6:$C$205,""TTM"",$AD$6:$AD$205,1)=1,G196=IFNA(INDEX(FILTER($G$6:$G$205,$A$6"&amp;":$A$205=A196,$C$6:$C$205=""TTM"",$AD$6:$AD$205=1),1),""""),I196=IFNA(INDEX(FILTER($I$6:$I$205,$A$6:$A$205=A196,$C$6:$C$205=""TTM"",$AD$6:$AD$205=1),1),""""),SUMIFS($D$6:$D$205,$A$6:$A$205,A196,$C$6:$C$205,""FY0"",$AD$6:$AD$205,1)&lt;=SUMIFS($D$6:$D$205,$A$6:"&amp;"$A$205,A196,$C$6:$C$205,""TTM"",$AD$6:$AD$205,1),SUMIFS($D$6:$D$205,$A$6:$A$205,A196,$C$6:$C$205,""TTM"",$AD$6:$AD$205,1)-SUMIFS($D$6:$D$205,$A$6:$A$205,A196,$C$6:$C$205,""FY0"",$AD$6:$AD$205,1)&lt;366,ABS(D196-EDATE(SUMIFS($D$6:$D$205,$A$6:$A$205,A196,$C$6:"&amp;"$C$205,""FY0"",$AD$6:$AD$205,1),IF(C196=""FY0"",0,IF(C196=""FY-1"",-12,-24))))&lt;=31),1,0),0))"),"")</f>
        <v/>
      </c>
    </row>
    <row r="197" ht="31.5" customHeight="1">
      <c r="A197" s="85"/>
      <c r="B197" s="86" t="str">
        <f t="array" ref="B197">IF(A197="","",IF(AB197&lt;&gt;1,"Unmatched issuer",INDEX(Companies!$C$6:$C$55,MATCH(A197,Companies!$A$6:$A$55,0))))</f>
        <v/>
      </c>
      <c r="C197" s="87"/>
      <c r="D197" s="88"/>
      <c r="E197" s="88"/>
      <c r="F197" s="88"/>
      <c r="G197" s="87"/>
      <c r="H197" s="87"/>
      <c r="I197" s="85"/>
      <c r="J197" s="89"/>
      <c r="K197" s="89"/>
      <c r="L197" s="90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90"/>
      <c r="Z197" s="85"/>
      <c r="AA197" s="85"/>
      <c r="AB197" s="86" t="str">
        <f>IF(A197="","",COUNTIF(Companies!$A$6:$A$55,A197))</f>
        <v/>
      </c>
      <c r="AC197" s="86" t="str">
        <f t="shared" si="1"/>
        <v/>
      </c>
      <c r="AD197" s="86" t="str">
        <f>IF(A197="","",IFERROR(IF(AND(AB197=1,AC197=1,AM197=1,OR(C197="TTM",C197="FY0",C197="FY-1",C197="FY-2"),ISNUMBER(D197),D197&lt;=Rules!$B$6,ISNUMBER(E197),E197&gt;=D197,E197&lt;=Rules!$B$6,ISNUMBER(F197),ABS(D197-F197-365)&lt;=31,OR(G197="US GAAP",G197="IFRS"),H197="Yes",I197&lt;&gt;"",COUNT(J197:R197)=9,J197&gt;0,L197&gt;-1,L197&lt;1,M197&gt;=0,N197&gt;=0,Q197&gt;=0,R197&gt;=0,M197+O197-Q197&gt;0,N197+P197-R197&gt;0,Z197&lt;&gt;"",AA197&lt;&gt;""),1,0),0))</f>
        <v/>
      </c>
      <c r="AE197" s="91" t="str">
        <f t="shared" si="2"/>
        <v/>
      </c>
      <c r="AF197" s="91" t="str">
        <f t="shared" si="3"/>
        <v/>
      </c>
      <c r="AG197" s="92" t="str">
        <f t="shared" si="4"/>
        <v/>
      </c>
      <c r="AH197" s="92" t="str">
        <f t="shared" si="5"/>
        <v/>
      </c>
      <c r="AI197" s="92" t="str">
        <f t="shared" si="6"/>
        <v/>
      </c>
      <c r="AJ197" s="92" t="str">
        <f t="shared" si="7"/>
        <v/>
      </c>
      <c r="AK197" s="92" t="str">
        <f t="shared" si="8"/>
        <v/>
      </c>
      <c r="AL197" s="86" t="str">
        <f t="shared" si="9"/>
        <v/>
      </c>
      <c r="AM197" s="86" t="str">
        <f t="array" ref="AM197">IF(A197="","",IF(AB197&lt;&gt;1,0,IF(AND(INDEX(Companies!$R$6:$R$55,MATCH(A197,Companies!$A$6:$A$55,0))=1,INDEX(Companies!$I$6:$I$55,MATCH(A197,Companies!$A$6:$A$55,0))&gt;=MAX(10,Rules!$B$22)),1,0)))</f>
        <v/>
      </c>
      <c r="AN197" s="86" t="str">
        <f>IFERROR(__xludf.DUMMYFUNCTION("IF(A197="""","""",IFERROR(IF(AND(OR(C197=""FY0"",C197=""FY-1"",C197=""FY-2""),AD197=1,COUNTIFS($A$6:$A$205,A197,$C$6:$C$205,""FY0"",$AD$6:$AD$205,1)=1,COUNTIFS($A$6:$A$205,A197,$C$6:$C$205,""TTM"",$AD$6:$AD$205,1)=1,G197=IFNA(INDEX(FILTER($G$6:$G$205,$A$6"&amp;":$A$205=A197,$C$6:$C$205=""TTM"",$AD$6:$AD$205=1),1),""""),I197=IFNA(INDEX(FILTER($I$6:$I$205,$A$6:$A$205=A197,$C$6:$C$205=""TTM"",$AD$6:$AD$205=1),1),""""),SUMIFS($D$6:$D$205,$A$6:$A$205,A197,$C$6:$C$205,""FY0"",$AD$6:$AD$205,1)&lt;=SUMIFS($D$6:$D$205,$A$6:"&amp;"$A$205,A197,$C$6:$C$205,""TTM"",$AD$6:$AD$205,1),SUMIFS($D$6:$D$205,$A$6:$A$205,A197,$C$6:$C$205,""TTM"",$AD$6:$AD$205,1)-SUMIFS($D$6:$D$205,$A$6:$A$205,A197,$C$6:$C$205,""FY0"",$AD$6:$AD$205,1)&lt;366,ABS(D197-EDATE(SUMIFS($D$6:$D$205,$A$6:$A$205,A197,$C$6:"&amp;"$C$205,""FY0"",$AD$6:$AD$205,1),IF(C197=""FY0"",0,IF(C197=""FY-1"",-12,-24))))&lt;=31),1,0),0))"),"")</f>
        <v/>
      </c>
    </row>
    <row r="198" ht="31.5" customHeight="1">
      <c r="A198" s="85"/>
      <c r="B198" s="86" t="str">
        <f t="array" ref="B198">IF(A198="","",IF(AB198&lt;&gt;1,"Unmatched issuer",INDEX(Companies!$C$6:$C$55,MATCH(A198,Companies!$A$6:$A$55,0))))</f>
        <v/>
      </c>
      <c r="C198" s="87"/>
      <c r="D198" s="88"/>
      <c r="E198" s="88"/>
      <c r="F198" s="88"/>
      <c r="G198" s="87"/>
      <c r="H198" s="87"/>
      <c r="I198" s="85"/>
      <c r="J198" s="89"/>
      <c r="K198" s="89"/>
      <c r="L198" s="90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90"/>
      <c r="Z198" s="85"/>
      <c r="AA198" s="85"/>
      <c r="AB198" s="86" t="str">
        <f>IF(A198="","",COUNTIF(Companies!$A$6:$A$55,A198))</f>
        <v/>
      </c>
      <c r="AC198" s="86" t="str">
        <f t="shared" si="1"/>
        <v/>
      </c>
      <c r="AD198" s="86" t="str">
        <f>IF(A198="","",IFERROR(IF(AND(AB198=1,AC198=1,AM198=1,OR(C198="TTM",C198="FY0",C198="FY-1",C198="FY-2"),ISNUMBER(D198),D198&lt;=Rules!$B$6,ISNUMBER(E198),E198&gt;=D198,E198&lt;=Rules!$B$6,ISNUMBER(F198),ABS(D198-F198-365)&lt;=31,OR(G198="US GAAP",G198="IFRS"),H198="Yes",I198&lt;&gt;"",COUNT(J198:R198)=9,J198&gt;0,L198&gt;-1,L198&lt;1,M198&gt;=0,N198&gt;=0,Q198&gt;=0,R198&gt;=0,M198+O198-Q198&gt;0,N198+P198-R198&gt;0,Z198&lt;&gt;"",AA198&lt;&gt;""),1,0),0))</f>
        <v/>
      </c>
      <c r="AE198" s="91" t="str">
        <f t="shared" si="2"/>
        <v/>
      </c>
      <c r="AF198" s="91" t="str">
        <f t="shared" si="3"/>
        <v/>
      </c>
      <c r="AG198" s="92" t="str">
        <f t="shared" si="4"/>
        <v/>
      </c>
      <c r="AH198" s="92" t="str">
        <f t="shared" si="5"/>
        <v/>
      </c>
      <c r="AI198" s="92" t="str">
        <f t="shared" si="6"/>
        <v/>
      </c>
      <c r="AJ198" s="92" t="str">
        <f t="shared" si="7"/>
        <v/>
      </c>
      <c r="AK198" s="92" t="str">
        <f t="shared" si="8"/>
        <v/>
      </c>
      <c r="AL198" s="86" t="str">
        <f t="shared" si="9"/>
        <v/>
      </c>
      <c r="AM198" s="86" t="str">
        <f t="array" ref="AM198">IF(A198="","",IF(AB198&lt;&gt;1,0,IF(AND(INDEX(Companies!$R$6:$R$55,MATCH(A198,Companies!$A$6:$A$55,0))=1,INDEX(Companies!$I$6:$I$55,MATCH(A198,Companies!$A$6:$A$55,0))&gt;=MAX(10,Rules!$B$22)),1,0)))</f>
        <v/>
      </c>
      <c r="AN198" s="86" t="str">
        <f>IFERROR(__xludf.DUMMYFUNCTION("IF(A198="""","""",IFERROR(IF(AND(OR(C198=""FY0"",C198=""FY-1"",C198=""FY-2""),AD198=1,COUNTIFS($A$6:$A$205,A198,$C$6:$C$205,""FY0"",$AD$6:$AD$205,1)=1,COUNTIFS($A$6:$A$205,A198,$C$6:$C$205,""TTM"",$AD$6:$AD$205,1)=1,G198=IFNA(INDEX(FILTER($G$6:$G$205,$A$6"&amp;":$A$205=A198,$C$6:$C$205=""TTM"",$AD$6:$AD$205=1),1),""""),I198=IFNA(INDEX(FILTER($I$6:$I$205,$A$6:$A$205=A198,$C$6:$C$205=""TTM"",$AD$6:$AD$205=1),1),""""),SUMIFS($D$6:$D$205,$A$6:$A$205,A198,$C$6:$C$205,""FY0"",$AD$6:$AD$205,1)&lt;=SUMIFS($D$6:$D$205,$A$6:"&amp;"$A$205,A198,$C$6:$C$205,""TTM"",$AD$6:$AD$205,1),SUMIFS($D$6:$D$205,$A$6:$A$205,A198,$C$6:$C$205,""TTM"",$AD$6:$AD$205,1)-SUMIFS($D$6:$D$205,$A$6:$A$205,A198,$C$6:$C$205,""FY0"",$AD$6:$AD$205,1)&lt;366,ABS(D198-EDATE(SUMIFS($D$6:$D$205,$A$6:$A$205,A198,$C$6:"&amp;"$C$205,""FY0"",$AD$6:$AD$205,1),IF(C198=""FY0"",0,IF(C198=""FY-1"",-12,-24))))&lt;=31),1,0),0))"),"")</f>
        <v/>
      </c>
    </row>
    <row r="199" ht="31.5" customHeight="1">
      <c r="A199" s="85"/>
      <c r="B199" s="86" t="str">
        <f t="array" ref="B199">IF(A199="","",IF(AB199&lt;&gt;1,"Unmatched issuer",INDEX(Companies!$C$6:$C$55,MATCH(A199,Companies!$A$6:$A$55,0))))</f>
        <v/>
      </c>
      <c r="C199" s="87"/>
      <c r="D199" s="88"/>
      <c r="E199" s="88"/>
      <c r="F199" s="88"/>
      <c r="G199" s="87"/>
      <c r="H199" s="87"/>
      <c r="I199" s="85"/>
      <c r="J199" s="89"/>
      <c r="K199" s="89"/>
      <c r="L199" s="90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90"/>
      <c r="Z199" s="85"/>
      <c r="AA199" s="85"/>
      <c r="AB199" s="86" t="str">
        <f>IF(A199="","",COUNTIF(Companies!$A$6:$A$55,A199))</f>
        <v/>
      </c>
      <c r="AC199" s="86" t="str">
        <f t="shared" si="1"/>
        <v/>
      </c>
      <c r="AD199" s="86" t="str">
        <f>IF(A199="","",IFERROR(IF(AND(AB199=1,AC199=1,AM199=1,OR(C199="TTM",C199="FY0",C199="FY-1",C199="FY-2"),ISNUMBER(D199),D199&lt;=Rules!$B$6,ISNUMBER(E199),E199&gt;=D199,E199&lt;=Rules!$B$6,ISNUMBER(F199),ABS(D199-F199-365)&lt;=31,OR(G199="US GAAP",G199="IFRS"),H199="Yes",I199&lt;&gt;"",COUNT(J199:R199)=9,J199&gt;0,L199&gt;-1,L199&lt;1,M199&gt;=0,N199&gt;=0,Q199&gt;=0,R199&gt;=0,M199+O199-Q199&gt;0,N199+P199-R199&gt;0,Z199&lt;&gt;"",AA199&lt;&gt;""),1,0),0))</f>
        <v/>
      </c>
      <c r="AE199" s="91" t="str">
        <f t="shared" si="2"/>
        <v/>
      </c>
      <c r="AF199" s="91" t="str">
        <f t="shared" si="3"/>
        <v/>
      </c>
      <c r="AG199" s="92" t="str">
        <f t="shared" si="4"/>
        <v/>
      </c>
      <c r="AH199" s="92" t="str">
        <f t="shared" si="5"/>
        <v/>
      </c>
      <c r="AI199" s="92" t="str">
        <f t="shared" si="6"/>
        <v/>
      </c>
      <c r="AJ199" s="92" t="str">
        <f t="shared" si="7"/>
        <v/>
      </c>
      <c r="AK199" s="92" t="str">
        <f t="shared" si="8"/>
        <v/>
      </c>
      <c r="AL199" s="86" t="str">
        <f t="shared" si="9"/>
        <v/>
      </c>
      <c r="AM199" s="86" t="str">
        <f t="array" ref="AM199">IF(A199="","",IF(AB199&lt;&gt;1,0,IF(AND(INDEX(Companies!$R$6:$R$55,MATCH(A199,Companies!$A$6:$A$55,0))=1,INDEX(Companies!$I$6:$I$55,MATCH(A199,Companies!$A$6:$A$55,0))&gt;=MAX(10,Rules!$B$22)),1,0)))</f>
        <v/>
      </c>
      <c r="AN199" s="86" t="str">
        <f>IFERROR(__xludf.DUMMYFUNCTION("IF(A199="""","""",IFERROR(IF(AND(OR(C199=""FY0"",C199=""FY-1"",C199=""FY-2""),AD199=1,COUNTIFS($A$6:$A$205,A199,$C$6:$C$205,""FY0"",$AD$6:$AD$205,1)=1,COUNTIFS($A$6:$A$205,A199,$C$6:$C$205,""TTM"",$AD$6:$AD$205,1)=1,G199=IFNA(INDEX(FILTER($G$6:$G$205,$A$6"&amp;":$A$205=A199,$C$6:$C$205=""TTM"",$AD$6:$AD$205=1),1),""""),I199=IFNA(INDEX(FILTER($I$6:$I$205,$A$6:$A$205=A199,$C$6:$C$205=""TTM"",$AD$6:$AD$205=1),1),""""),SUMIFS($D$6:$D$205,$A$6:$A$205,A199,$C$6:$C$205,""FY0"",$AD$6:$AD$205,1)&lt;=SUMIFS($D$6:$D$205,$A$6:"&amp;"$A$205,A199,$C$6:$C$205,""TTM"",$AD$6:$AD$205,1),SUMIFS($D$6:$D$205,$A$6:$A$205,A199,$C$6:$C$205,""TTM"",$AD$6:$AD$205,1)-SUMIFS($D$6:$D$205,$A$6:$A$205,A199,$C$6:$C$205,""FY0"",$AD$6:$AD$205,1)&lt;366,ABS(D199-EDATE(SUMIFS($D$6:$D$205,$A$6:$A$205,A199,$C$6:"&amp;"$C$205,""FY0"",$AD$6:$AD$205,1),IF(C199=""FY0"",0,IF(C199=""FY-1"",-12,-24))))&lt;=31),1,0),0))"),"")</f>
        <v/>
      </c>
    </row>
    <row r="200" ht="31.5" customHeight="1">
      <c r="A200" s="85"/>
      <c r="B200" s="86" t="str">
        <f t="array" ref="B200">IF(A200="","",IF(AB200&lt;&gt;1,"Unmatched issuer",INDEX(Companies!$C$6:$C$55,MATCH(A200,Companies!$A$6:$A$55,0))))</f>
        <v/>
      </c>
      <c r="C200" s="87"/>
      <c r="D200" s="88"/>
      <c r="E200" s="88"/>
      <c r="F200" s="88"/>
      <c r="G200" s="87"/>
      <c r="H200" s="87"/>
      <c r="I200" s="85"/>
      <c r="J200" s="89"/>
      <c r="K200" s="89"/>
      <c r="L200" s="90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90"/>
      <c r="Z200" s="85"/>
      <c r="AA200" s="85"/>
      <c r="AB200" s="86" t="str">
        <f>IF(A200="","",COUNTIF(Companies!$A$6:$A$55,A200))</f>
        <v/>
      </c>
      <c r="AC200" s="86" t="str">
        <f t="shared" si="1"/>
        <v/>
      </c>
      <c r="AD200" s="86" t="str">
        <f>IF(A200="","",IFERROR(IF(AND(AB200=1,AC200=1,AM200=1,OR(C200="TTM",C200="FY0",C200="FY-1",C200="FY-2"),ISNUMBER(D200),D200&lt;=Rules!$B$6,ISNUMBER(E200),E200&gt;=D200,E200&lt;=Rules!$B$6,ISNUMBER(F200),ABS(D200-F200-365)&lt;=31,OR(G200="US GAAP",G200="IFRS"),H200="Yes",I200&lt;&gt;"",COUNT(J200:R200)=9,J200&gt;0,L200&gt;-1,L200&lt;1,M200&gt;=0,N200&gt;=0,Q200&gt;=0,R200&gt;=0,M200+O200-Q200&gt;0,N200+P200-R200&gt;0,Z200&lt;&gt;"",AA200&lt;&gt;""),1,0),0))</f>
        <v/>
      </c>
      <c r="AE200" s="91" t="str">
        <f t="shared" si="2"/>
        <v/>
      </c>
      <c r="AF200" s="91" t="str">
        <f t="shared" si="3"/>
        <v/>
      </c>
      <c r="AG200" s="92" t="str">
        <f t="shared" si="4"/>
        <v/>
      </c>
      <c r="AH200" s="92" t="str">
        <f t="shared" si="5"/>
        <v/>
      </c>
      <c r="AI200" s="92" t="str">
        <f t="shared" si="6"/>
        <v/>
      </c>
      <c r="AJ200" s="92" t="str">
        <f t="shared" si="7"/>
        <v/>
      </c>
      <c r="AK200" s="92" t="str">
        <f t="shared" si="8"/>
        <v/>
      </c>
      <c r="AL200" s="86" t="str">
        <f t="shared" si="9"/>
        <v/>
      </c>
      <c r="AM200" s="86" t="str">
        <f t="array" ref="AM200">IF(A200="","",IF(AB200&lt;&gt;1,0,IF(AND(INDEX(Companies!$R$6:$R$55,MATCH(A200,Companies!$A$6:$A$55,0))=1,INDEX(Companies!$I$6:$I$55,MATCH(A200,Companies!$A$6:$A$55,0))&gt;=MAX(10,Rules!$B$22)),1,0)))</f>
        <v/>
      </c>
      <c r="AN200" s="86" t="str">
        <f>IFERROR(__xludf.DUMMYFUNCTION("IF(A200="""","""",IFERROR(IF(AND(OR(C200=""FY0"",C200=""FY-1"",C200=""FY-2""),AD200=1,COUNTIFS($A$6:$A$205,A200,$C$6:$C$205,""FY0"",$AD$6:$AD$205,1)=1,COUNTIFS($A$6:$A$205,A200,$C$6:$C$205,""TTM"",$AD$6:$AD$205,1)=1,G200=IFNA(INDEX(FILTER($G$6:$G$205,$A$6"&amp;":$A$205=A200,$C$6:$C$205=""TTM"",$AD$6:$AD$205=1),1),""""),I200=IFNA(INDEX(FILTER($I$6:$I$205,$A$6:$A$205=A200,$C$6:$C$205=""TTM"",$AD$6:$AD$205=1),1),""""),SUMIFS($D$6:$D$205,$A$6:$A$205,A200,$C$6:$C$205,""FY0"",$AD$6:$AD$205,1)&lt;=SUMIFS($D$6:$D$205,$A$6:"&amp;"$A$205,A200,$C$6:$C$205,""TTM"",$AD$6:$AD$205,1),SUMIFS($D$6:$D$205,$A$6:$A$205,A200,$C$6:$C$205,""TTM"",$AD$6:$AD$205,1)-SUMIFS($D$6:$D$205,$A$6:$A$205,A200,$C$6:$C$205,""FY0"",$AD$6:$AD$205,1)&lt;366,ABS(D200-EDATE(SUMIFS($D$6:$D$205,$A$6:$A$205,A200,$C$6:"&amp;"$C$205,""FY0"",$AD$6:$AD$205,1),IF(C200=""FY0"",0,IF(C200=""FY-1"",-12,-24))))&lt;=31),1,0),0))"),"")</f>
        <v/>
      </c>
    </row>
    <row r="201" ht="31.5" customHeight="1">
      <c r="A201" s="85"/>
      <c r="B201" s="86" t="str">
        <f t="array" ref="B201">IF(A201="","",IF(AB201&lt;&gt;1,"Unmatched issuer",INDEX(Companies!$C$6:$C$55,MATCH(A201,Companies!$A$6:$A$55,0))))</f>
        <v/>
      </c>
      <c r="C201" s="87"/>
      <c r="D201" s="88"/>
      <c r="E201" s="88"/>
      <c r="F201" s="88"/>
      <c r="G201" s="87"/>
      <c r="H201" s="87"/>
      <c r="I201" s="85"/>
      <c r="J201" s="89"/>
      <c r="K201" s="89"/>
      <c r="L201" s="90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90"/>
      <c r="Z201" s="85"/>
      <c r="AA201" s="85"/>
      <c r="AB201" s="86" t="str">
        <f>IF(A201="","",COUNTIF(Companies!$A$6:$A$55,A201))</f>
        <v/>
      </c>
      <c r="AC201" s="86" t="str">
        <f t="shared" si="1"/>
        <v/>
      </c>
      <c r="AD201" s="86" t="str">
        <f>IF(A201="","",IFERROR(IF(AND(AB201=1,AC201=1,AM201=1,OR(C201="TTM",C201="FY0",C201="FY-1",C201="FY-2"),ISNUMBER(D201),D201&lt;=Rules!$B$6,ISNUMBER(E201),E201&gt;=D201,E201&lt;=Rules!$B$6,ISNUMBER(F201),ABS(D201-F201-365)&lt;=31,OR(G201="US GAAP",G201="IFRS"),H201="Yes",I201&lt;&gt;"",COUNT(J201:R201)=9,J201&gt;0,L201&gt;-1,L201&lt;1,M201&gt;=0,N201&gt;=0,Q201&gt;=0,R201&gt;=0,M201+O201-Q201&gt;0,N201+P201-R201&gt;0,Z201&lt;&gt;"",AA201&lt;&gt;""),1,0),0))</f>
        <v/>
      </c>
      <c r="AE201" s="91" t="str">
        <f t="shared" si="2"/>
        <v/>
      </c>
      <c r="AF201" s="91" t="str">
        <f t="shared" si="3"/>
        <v/>
      </c>
      <c r="AG201" s="92" t="str">
        <f t="shared" si="4"/>
        <v/>
      </c>
      <c r="AH201" s="92" t="str">
        <f t="shared" si="5"/>
        <v/>
      </c>
      <c r="AI201" s="92" t="str">
        <f t="shared" si="6"/>
        <v/>
      </c>
      <c r="AJ201" s="92" t="str">
        <f t="shared" si="7"/>
        <v/>
      </c>
      <c r="AK201" s="92" t="str">
        <f t="shared" si="8"/>
        <v/>
      </c>
      <c r="AL201" s="86" t="str">
        <f t="shared" si="9"/>
        <v/>
      </c>
      <c r="AM201" s="86" t="str">
        <f t="array" ref="AM201">IF(A201="","",IF(AB201&lt;&gt;1,0,IF(AND(INDEX(Companies!$R$6:$R$55,MATCH(A201,Companies!$A$6:$A$55,0))=1,INDEX(Companies!$I$6:$I$55,MATCH(A201,Companies!$A$6:$A$55,0))&gt;=MAX(10,Rules!$B$22)),1,0)))</f>
        <v/>
      </c>
      <c r="AN201" s="86" t="str">
        <f>IFERROR(__xludf.DUMMYFUNCTION("IF(A201="""","""",IFERROR(IF(AND(OR(C201=""FY0"",C201=""FY-1"",C201=""FY-2""),AD201=1,COUNTIFS($A$6:$A$205,A201,$C$6:$C$205,""FY0"",$AD$6:$AD$205,1)=1,COUNTIFS($A$6:$A$205,A201,$C$6:$C$205,""TTM"",$AD$6:$AD$205,1)=1,G201=IFNA(INDEX(FILTER($G$6:$G$205,$A$6"&amp;":$A$205=A201,$C$6:$C$205=""TTM"",$AD$6:$AD$205=1),1),""""),I201=IFNA(INDEX(FILTER($I$6:$I$205,$A$6:$A$205=A201,$C$6:$C$205=""TTM"",$AD$6:$AD$205=1),1),""""),SUMIFS($D$6:$D$205,$A$6:$A$205,A201,$C$6:$C$205,""FY0"",$AD$6:$AD$205,1)&lt;=SUMIFS($D$6:$D$205,$A$6:"&amp;"$A$205,A201,$C$6:$C$205,""TTM"",$AD$6:$AD$205,1),SUMIFS($D$6:$D$205,$A$6:$A$205,A201,$C$6:$C$205,""TTM"",$AD$6:$AD$205,1)-SUMIFS($D$6:$D$205,$A$6:$A$205,A201,$C$6:$C$205,""FY0"",$AD$6:$AD$205,1)&lt;366,ABS(D201-EDATE(SUMIFS($D$6:$D$205,$A$6:$A$205,A201,$C$6:"&amp;"$C$205,""FY0"",$AD$6:$AD$205,1),IF(C201=""FY0"",0,IF(C201=""FY-1"",-12,-24))))&lt;=31),1,0),0))"),"")</f>
        <v/>
      </c>
    </row>
    <row r="202" ht="31.5" customHeight="1">
      <c r="A202" s="85"/>
      <c r="B202" s="86" t="str">
        <f t="array" ref="B202">IF(A202="","",IF(AB202&lt;&gt;1,"Unmatched issuer",INDEX(Companies!$C$6:$C$55,MATCH(A202,Companies!$A$6:$A$55,0))))</f>
        <v/>
      </c>
      <c r="C202" s="87"/>
      <c r="D202" s="88"/>
      <c r="E202" s="88"/>
      <c r="F202" s="88"/>
      <c r="G202" s="87"/>
      <c r="H202" s="87"/>
      <c r="I202" s="85"/>
      <c r="J202" s="89"/>
      <c r="K202" s="89"/>
      <c r="L202" s="90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90"/>
      <c r="Z202" s="85"/>
      <c r="AA202" s="85"/>
      <c r="AB202" s="86" t="str">
        <f>IF(A202="","",COUNTIF(Companies!$A$6:$A$55,A202))</f>
        <v/>
      </c>
      <c r="AC202" s="86" t="str">
        <f t="shared" si="1"/>
        <v/>
      </c>
      <c r="AD202" s="86" t="str">
        <f>IF(A202="","",IFERROR(IF(AND(AB202=1,AC202=1,AM202=1,OR(C202="TTM",C202="FY0",C202="FY-1",C202="FY-2"),ISNUMBER(D202),D202&lt;=Rules!$B$6,ISNUMBER(E202),E202&gt;=D202,E202&lt;=Rules!$B$6,ISNUMBER(F202),ABS(D202-F202-365)&lt;=31,OR(G202="US GAAP",G202="IFRS"),H202="Yes",I202&lt;&gt;"",COUNT(J202:R202)=9,J202&gt;0,L202&gt;-1,L202&lt;1,M202&gt;=0,N202&gt;=0,Q202&gt;=0,R202&gt;=0,M202+O202-Q202&gt;0,N202+P202-R202&gt;0,Z202&lt;&gt;"",AA202&lt;&gt;""),1,0),0))</f>
        <v/>
      </c>
      <c r="AE202" s="91" t="str">
        <f t="shared" si="2"/>
        <v/>
      </c>
      <c r="AF202" s="91" t="str">
        <f t="shared" si="3"/>
        <v/>
      </c>
      <c r="AG202" s="92" t="str">
        <f t="shared" si="4"/>
        <v/>
      </c>
      <c r="AH202" s="92" t="str">
        <f t="shared" si="5"/>
        <v/>
      </c>
      <c r="AI202" s="92" t="str">
        <f t="shared" si="6"/>
        <v/>
      </c>
      <c r="AJ202" s="92" t="str">
        <f t="shared" si="7"/>
        <v/>
      </c>
      <c r="AK202" s="92" t="str">
        <f t="shared" si="8"/>
        <v/>
      </c>
      <c r="AL202" s="86" t="str">
        <f t="shared" si="9"/>
        <v/>
      </c>
      <c r="AM202" s="86" t="str">
        <f t="array" ref="AM202">IF(A202="","",IF(AB202&lt;&gt;1,0,IF(AND(INDEX(Companies!$R$6:$R$55,MATCH(A202,Companies!$A$6:$A$55,0))=1,INDEX(Companies!$I$6:$I$55,MATCH(A202,Companies!$A$6:$A$55,0))&gt;=MAX(10,Rules!$B$22)),1,0)))</f>
        <v/>
      </c>
      <c r="AN202" s="86" t="str">
        <f>IFERROR(__xludf.DUMMYFUNCTION("IF(A202="""","""",IFERROR(IF(AND(OR(C202=""FY0"",C202=""FY-1"",C202=""FY-2""),AD202=1,COUNTIFS($A$6:$A$205,A202,$C$6:$C$205,""FY0"",$AD$6:$AD$205,1)=1,COUNTIFS($A$6:$A$205,A202,$C$6:$C$205,""TTM"",$AD$6:$AD$205,1)=1,G202=IFNA(INDEX(FILTER($G$6:$G$205,$A$6"&amp;":$A$205=A202,$C$6:$C$205=""TTM"",$AD$6:$AD$205=1),1),""""),I202=IFNA(INDEX(FILTER($I$6:$I$205,$A$6:$A$205=A202,$C$6:$C$205=""TTM"",$AD$6:$AD$205=1),1),""""),SUMIFS($D$6:$D$205,$A$6:$A$205,A202,$C$6:$C$205,""FY0"",$AD$6:$AD$205,1)&lt;=SUMIFS($D$6:$D$205,$A$6:"&amp;"$A$205,A202,$C$6:$C$205,""TTM"",$AD$6:$AD$205,1),SUMIFS($D$6:$D$205,$A$6:$A$205,A202,$C$6:$C$205,""TTM"",$AD$6:$AD$205,1)-SUMIFS($D$6:$D$205,$A$6:$A$205,A202,$C$6:$C$205,""FY0"",$AD$6:$AD$205,1)&lt;366,ABS(D202-EDATE(SUMIFS($D$6:$D$205,$A$6:$A$205,A202,$C$6:"&amp;"$C$205,""FY0"",$AD$6:$AD$205,1),IF(C202=""FY0"",0,IF(C202=""FY-1"",-12,-24))))&lt;=31),1,0),0))"),"")</f>
        <v/>
      </c>
    </row>
    <row r="203" ht="31.5" customHeight="1">
      <c r="A203" s="85"/>
      <c r="B203" s="86" t="str">
        <f t="array" ref="B203">IF(A203="","",IF(AB203&lt;&gt;1,"Unmatched issuer",INDEX(Companies!$C$6:$C$55,MATCH(A203,Companies!$A$6:$A$55,0))))</f>
        <v/>
      </c>
      <c r="C203" s="87"/>
      <c r="D203" s="88"/>
      <c r="E203" s="88"/>
      <c r="F203" s="88"/>
      <c r="G203" s="87"/>
      <c r="H203" s="87"/>
      <c r="I203" s="85"/>
      <c r="J203" s="89"/>
      <c r="K203" s="89"/>
      <c r="L203" s="90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90"/>
      <c r="Z203" s="85"/>
      <c r="AA203" s="85"/>
      <c r="AB203" s="86" t="str">
        <f>IF(A203="","",COUNTIF(Companies!$A$6:$A$55,A203))</f>
        <v/>
      </c>
      <c r="AC203" s="86" t="str">
        <f t="shared" si="1"/>
        <v/>
      </c>
      <c r="AD203" s="86" t="str">
        <f>IF(A203="","",IFERROR(IF(AND(AB203=1,AC203=1,AM203=1,OR(C203="TTM",C203="FY0",C203="FY-1",C203="FY-2"),ISNUMBER(D203),D203&lt;=Rules!$B$6,ISNUMBER(E203),E203&gt;=D203,E203&lt;=Rules!$B$6,ISNUMBER(F203),ABS(D203-F203-365)&lt;=31,OR(G203="US GAAP",G203="IFRS"),H203="Yes",I203&lt;&gt;"",COUNT(J203:R203)=9,J203&gt;0,L203&gt;-1,L203&lt;1,M203&gt;=0,N203&gt;=0,Q203&gt;=0,R203&gt;=0,M203+O203-Q203&gt;0,N203+P203-R203&gt;0,Z203&lt;&gt;"",AA203&lt;&gt;""),1,0),0))</f>
        <v/>
      </c>
      <c r="AE203" s="91" t="str">
        <f t="shared" si="2"/>
        <v/>
      </c>
      <c r="AF203" s="91" t="str">
        <f t="shared" si="3"/>
        <v/>
      </c>
      <c r="AG203" s="92" t="str">
        <f t="shared" si="4"/>
        <v/>
      </c>
      <c r="AH203" s="92" t="str">
        <f t="shared" si="5"/>
        <v/>
      </c>
      <c r="AI203" s="92" t="str">
        <f t="shared" si="6"/>
        <v/>
      </c>
      <c r="AJ203" s="92" t="str">
        <f t="shared" si="7"/>
        <v/>
      </c>
      <c r="AK203" s="92" t="str">
        <f t="shared" si="8"/>
        <v/>
      </c>
      <c r="AL203" s="86" t="str">
        <f t="shared" si="9"/>
        <v/>
      </c>
      <c r="AM203" s="86" t="str">
        <f t="array" ref="AM203">IF(A203="","",IF(AB203&lt;&gt;1,0,IF(AND(INDEX(Companies!$R$6:$R$55,MATCH(A203,Companies!$A$6:$A$55,0))=1,INDEX(Companies!$I$6:$I$55,MATCH(A203,Companies!$A$6:$A$55,0))&gt;=MAX(10,Rules!$B$22)),1,0)))</f>
        <v/>
      </c>
      <c r="AN203" s="86" t="str">
        <f>IFERROR(__xludf.DUMMYFUNCTION("IF(A203="""","""",IFERROR(IF(AND(OR(C203=""FY0"",C203=""FY-1"",C203=""FY-2""),AD203=1,COUNTIFS($A$6:$A$205,A203,$C$6:$C$205,""FY0"",$AD$6:$AD$205,1)=1,COUNTIFS($A$6:$A$205,A203,$C$6:$C$205,""TTM"",$AD$6:$AD$205,1)=1,G203=IFNA(INDEX(FILTER($G$6:$G$205,$A$6"&amp;":$A$205=A203,$C$6:$C$205=""TTM"",$AD$6:$AD$205=1),1),""""),I203=IFNA(INDEX(FILTER($I$6:$I$205,$A$6:$A$205=A203,$C$6:$C$205=""TTM"",$AD$6:$AD$205=1),1),""""),SUMIFS($D$6:$D$205,$A$6:$A$205,A203,$C$6:$C$205,""FY0"",$AD$6:$AD$205,1)&lt;=SUMIFS($D$6:$D$205,$A$6:"&amp;"$A$205,A203,$C$6:$C$205,""TTM"",$AD$6:$AD$205,1),SUMIFS($D$6:$D$205,$A$6:$A$205,A203,$C$6:$C$205,""TTM"",$AD$6:$AD$205,1)-SUMIFS($D$6:$D$205,$A$6:$A$205,A203,$C$6:$C$205,""FY0"",$AD$6:$AD$205,1)&lt;366,ABS(D203-EDATE(SUMIFS($D$6:$D$205,$A$6:$A$205,A203,$C$6:"&amp;"$C$205,""FY0"",$AD$6:$AD$205,1),IF(C203=""FY0"",0,IF(C203=""FY-1"",-12,-24))))&lt;=31),1,0),0))"),"")</f>
        <v/>
      </c>
    </row>
    <row r="204" ht="31.5" customHeight="1">
      <c r="A204" s="85"/>
      <c r="B204" s="86" t="str">
        <f t="array" ref="B204">IF(A204="","",IF(AB204&lt;&gt;1,"Unmatched issuer",INDEX(Companies!$C$6:$C$55,MATCH(A204,Companies!$A$6:$A$55,0))))</f>
        <v/>
      </c>
      <c r="C204" s="87"/>
      <c r="D204" s="88"/>
      <c r="E204" s="88"/>
      <c r="F204" s="88"/>
      <c r="G204" s="87"/>
      <c r="H204" s="87"/>
      <c r="I204" s="85"/>
      <c r="J204" s="89"/>
      <c r="K204" s="89"/>
      <c r="L204" s="90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90"/>
      <c r="Z204" s="85"/>
      <c r="AA204" s="85"/>
      <c r="AB204" s="86" t="str">
        <f>IF(A204="","",COUNTIF(Companies!$A$6:$A$55,A204))</f>
        <v/>
      </c>
      <c r="AC204" s="86" t="str">
        <f t="shared" si="1"/>
        <v/>
      </c>
      <c r="AD204" s="86" t="str">
        <f>IF(A204="","",IFERROR(IF(AND(AB204=1,AC204=1,AM204=1,OR(C204="TTM",C204="FY0",C204="FY-1",C204="FY-2"),ISNUMBER(D204),D204&lt;=Rules!$B$6,ISNUMBER(E204),E204&gt;=D204,E204&lt;=Rules!$B$6,ISNUMBER(F204),ABS(D204-F204-365)&lt;=31,OR(G204="US GAAP",G204="IFRS"),H204="Yes",I204&lt;&gt;"",COUNT(J204:R204)=9,J204&gt;0,L204&gt;-1,L204&lt;1,M204&gt;=0,N204&gt;=0,Q204&gt;=0,R204&gt;=0,M204+O204-Q204&gt;0,N204+P204-R204&gt;0,Z204&lt;&gt;"",AA204&lt;&gt;""),1,0),0))</f>
        <v/>
      </c>
      <c r="AE204" s="91" t="str">
        <f t="shared" si="2"/>
        <v/>
      </c>
      <c r="AF204" s="91" t="str">
        <f t="shared" si="3"/>
        <v/>
      </c>
      <c r="AG204" s="92" t="str">
        <f t="shared" si="4"/>
        <v/>
      </c>
      <c r="AH204" s="92" t="str">
        <f t="shared" si="5"/>
        <v/>
      </c>
      <c r="AI204" s="92" t="str">
        <f t="shared" si="6"/>
        <v/>
      </c>
      <c r="AJ204" s="92" t="str">
        <f t="shared" si="7"/>
        <v/>
      </c>
      <c r="AK204" s="92" t="str">
        <f t="shared" si="8"/>
        <v/>
      </c>
      <c r="AL204" s="86" t="str">
        <f t="shared" si="9"/>
        <v/>
      </c>
      <c r="AM204" s="86" t="str">
        <f t="array" ref="AM204">IF(A204="","",IF(AB204&lt;&gt;1,0,IF(AND(INDEX(Companies!$R$6:$R$55,MATCH(A204,Companies!$A$6:$A$55,0))=1,INDEX(Companies!$I$6:$I$55,MATCH(A204,Companies!$A$6:$A$55,0))&gt;=MAX(10,Rules!$B$22)),1,0)))</f>
        <v/>
      </c>
      <c r="AN204" s="86" t="str">
        <f>IFERROR(__xludf.DUMMYFUNCTION("IF(A204="""","""",IFERROR(IF(AND(OR(C204=""FY0"",C204=""FY-1"",C204=""FY-2""),AD204=1,COUNTIFS($A$6:$A$205,A204,$C$6:$C$205,""FY0"",$AD$6:$AD$205,1)=1,COUNTIFS($A$6:$A$205,A204,$C$6:$C$205,""TTM"",$AD$6:$AD$205,1)=1,G204=IFNA(INDEX(FILTER($G$6:$G$205,$A$6"&amp;":$A$205=A204,$C$6:$C$205=""TTM"",$AD$6:$AD$205=1),1),""""),I204=IFNA(INDEX(FILTER($I$6:$I$205,$A$6:$A$205=A204,$C$6:$C$205=""TTM"",$AD$6:$AD$205=1),1),""""),SUMIFS($D$6:$D$205,$A$6:$A$205,A204,$C$6:$C$205,""FY0"",$AD$6:$AD$205,1)&lt;=SUMIFS($D$6:$D$205,$A$6:"&amp;"$A$205,A204,$C$6:$C$205,""TTM"",$AD$6:$AD$205,1),SUMIFS($D$6:$D$205,$A$6:$A$205,A204,$C$6:$C$205,""TTM"",$AD$6:$AD$205,1)-SUMIFS($D$6:$D$205,$A$6:$A$205,A204,$C$6:$C$205,""FY0"",$AD$6:$AD$205,1)&lt;366,ABS(D204-EDATE(SUMIFS($D$6:$D$205,$A$6:$A$205,A204,$C$6:"&amp;"$C$205,""FY0"",$AD$6:$AD$205,1),IF(C204=""FY0"",0,IF(C204=""FY-1"",-12,-24))))&lt;=31),1,0),0))"),"")</f>
        <v/>
      </c>
    </row>
    <row r="205" ht="31.5" customHeight="1">
      <c r="A205" s="85"/>
      <c r="B205" s="86" t="str">
        <f t="array" ref="B205">IF(A205="","",IF(AB205&lt;&gt;1,"Unmatched issuer",INDEX(Companies!$C$6:$C$55,MATCH(A205,Companies!$A$6:$A$55,0))))</f>
        <v/>
      </c>
      <c r="C205" s="87"/>
      <c r="D205" s="88"/>
      <c r="E205" s="88"/>
      <c r="F205" s="88"/>
      <c r="G205" s="87"/>
      <c r="H205" s="87"/>
      <c r="I205" s="85"/>
      <c r="J205" s="89"/>
      <c r="K205" s="89"/>
      <c r="L205" s="90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90"/>
      <c r="Z205" s="85"/>
      <c r="AA205" s="85"/>
      <c r="AB205" s="86" t="str">
        <f>IF(A205="","",COUNTIF(Companies!$A$6:$A$55,A205))</f>
        <v/>
      </c>
      <c r="AC205" s="86" t="str">
        <f t="shared" si="1"/>
        <v/>
      </c>
      <c r="AD205" s="86" t="str">
        <f>IF(A205="","",IFERROR(IF(AND(AB205=1,AC205=1,AM205=1,OR(C205="TTM",C205="FY0",C205="FY-1",C205="FY-2"),ISNUMBER(D205),D205&lt;=Rules!$B$6,ISNUMBER(E205),E205&gt;=D205,E205&lt;=Rules!$B$6,ISNUMBER(F205),ABS(D205-F205-365)&lt;=31,OR(G205="US GAAP",G205="IFRS"),H205="Yes",I205&lt;&gt;"",COUNT(J205:R205)=9,J205&gt;0,L205&gt;-1,L205&lt;1,M205&gt;=0,N205&gt;=0,Q205&gt;=0,R205&gt;=0,M205+O205-Q205&gt;0,N205+P205-R205&gt;0,Z205&lt;&gt;"",AA205&lt;&gt;""),1,0),0))</f>
        <v/>
      </c>
      <c r="AE205" s="91" t="str">
        <f t="shared" si="2"/>
        <v/>
      </c>
      <c r="AF205" s="91" t="str">
        <f t="shared" si="3"/>
        <v/>
      </c>
      <c r="AG205" s="92" t="str">
        <f t="shared" si="4"/>
        <v/>
      </c>
      <c r="AH205" s="92" t="str">
        <f t="shared" si="5"/>
        <v/>
      </c>
      <c r="AI205" s="92" t="str">
        <f t="shared" si="6"/>
        <v/>
      </c>
      <c r="AJ205" s="92" t="str">
        <f t="shared" si="7"/>
        <v/>
      </c>
      <c r="AK205" s="92" t="str">
        <f t="shared" si="8"/>
        <v/>
      </c>
      <c r="AL205" s="86" t="str">
        <f t="shared" si="9"/>
        <v/>
      </c>
      <c r="AM205" s="86" t="str">
        <f t="array" ref="AM205">IF(A205="","",IF(AB205&lt;&gt;1,0,IF(AND(INDEX(Companies!$R$6:$R$55,MATCH(A205,Companies!$A$6:$A$55,0))=1,INDEX(Companies!$I$6:$I$55,MATCH(A205,Companies!$A$6:$A$55,0))&gt;=MAX(10,Rules!$B$22)),1,0)))</f>
        <v/>
      </c>
      <c r="AN205" s="86" t="str">
        <f>IFERROR(__xludf.DUMMYFUNCTION("IF(A205="""","""",IFERROR(IF(AND(OR(C205=""FY0"",C205=""FY-1"",C205=""FY-2""),AD205=1,COUNTIFS($A$6:$A$205,A205,$C$6:$C$205,""FY0"",$AD$6:$AD$205,1)=1,COUNTIFS($A$6:$A$205,A205,$C$6:$C$205,""TTM"",$AD$6:$AD$205,1)=1,G205=IFNA(INDEX(FILTER($G$6:$G$205,$A$6"&amp;":$A$205=A205,$C$6:$C$205=""TTM"",$AD$6:$AD$205=1),1),""""),I205=IFNA(INDEX(FILTER($I$6:$I$205,$A$6:$A$205=A205,$C$6:$C$205=""TTM"",$AD$6:$AD$205=1),1),""""),SUMIFS($D$6:$D$205,$A$6:$A$205,A205,$C$6:$C$205,""FY0"",$AD$6:$AD$205,1)&lt;=SUMIFS($D$6:$D$205,$A$6:"&amp;"$A$205,A205,$C$6:$C$205,""TTM"",$AD$6:$AD$205,1),SUMIFS($D$6:$D$205,$A$6:$A$205,A205,$C$6:$C$205,""TTM"",$AD$6:$AD$205,1)-SUMIFS($D$6:$D$205,$A$6:$A$205,A205,$C$6:$C$205,""FY0"",$AD$6:$AD$205,1)&lt;366,ABS(D205-EDATE(SUMIFS($D$6:$D$205,$A$6:$A$205,A205,$C$6:"&amp;"$C$205,""FY0"",$AD$6:$AD$205,1),IF(C205=""FY0"",0,IF(C205=""FY-1"",-12,-24))))&lt;=31),1,0),0))"),"")</f>
        <v/>
      </c>
    </row>
  </sheetData>
  <mergeCells count="2">
    <mergeCell ref="C3:P3"/>
    <mergeCell ref="C4:P4"/>
  </mergeCells>
  <dataValidations>
    <dataValidation type="list" allowBlank="1" showErrorMessage="1" sqref="H6:H205">
      <formula1>"Yes,No"</formula1>
    </dataValidation>
    <dataValidation type="custom" allowBlank="1" showDropDown="1" sqref="D6:F205">
      <formula1>OR(NOT(ISERROR(DATEVALUE(D6))), AND(ISNUMBER(D6), LEFT(CELL("format", D6))="D"))</formula1>
    </dataValidation>
    <dataValidation type="custom" allowBlank="1" showDropDown="1" sqref="J6:Y205 AE6:AK205">
      <formula1>AND(ISNUMBER(J6),(NOT(OR(NOT(ISERROR(DATEVALUE(J6))), AND(ISNUMBER(J6), LEFT(CELL("format", J6))="D")))))</formula1>
    </dataValidation>
    <dataValidation type="list" allowBlank="1" showErrorMessage="1" sqref="C6:C205">
      <formula1>"TTM,FY0,FY-1,FY-2"</formula1>
    </dataValidation>
    <dataValidation type="list" allowBlank="1" showErrorMessage="1" sqref="G6:G205">
      <formula1>"US GAAP,IFRS,Other"</formula1>
    </dataValidation>
  </dataValidations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2" width="25.13"/>
    <col customWidth="1" min="3" max="18" width="18.8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>
      <c r="A2" s="94" t="s">
        <v>949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ht="30.0" customHeight="1">
      <c r="A3" s="93"/>
      <c r="B3" s="93"/>
      <c r="C3" s="95" t="s">
        <v>950</v>
      </c>
      <c r="P3" s="93"/>
      <c r="Q3" s="93"/>
      <c r="R3" s="93"/>
    </row>
    <row r="4">
      <c r="A4" s="93" t="s">
        <v>892</v>
      </c>
      <c r="B4" s="96">
        <f>Rules!B6</f>
        <v>46298</v>
      </c>
      <c r="C4" s="93"/>
      <c r="D4" s="93"/>
      <c r="E4" s="93"/>
      <c r="F4" s="95" t="s">
        <v>951</v>
      </c>
      <c r="G4" s="95" t="s">
        <v>34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>
      <c r="A5" s="93" t="s">
        <v>952</v>
      </c>
      <c r="B5" s="95">
        <f>MAX(3,Rules!B12)</f>
        <v>3</v>
      </c>
      <c r="C5" s="93"/>
      <c r="D5" s="93"/>
      <c r="E5" s="93"/>
      <c r="F5" s="95" t="s">
        <v>953</v>
      </c>
      <c r="G5" s="97">
        <v>0.5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>
      <c r="A6" s="93" t="s">
        <v>954</v>
      </c>
      <c r="B6" s="95">
        <v>120.0</v>
      </c>
      <c r="C6" s="93"/>
      <c r="D6" s="93"/>
      <c r="E6" s="93"/>
      <c r="F6" s="95" t="s">
        <v>955</v>
      </c>
      <c r="G6" s="97">
        <v>0.5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>
      <c r="A7" s="93" t="s">
        <v>956</v>
      </c>
      <c r="B7" s="95">
        <v>400.0</v>
      </c>
      <c r="C7" s="93"/>
      <c r="D7" s="93"/>
      <c r="E7" s="93"/>
      <c r="F7" s="95" t="s">
        <v>885</v>
      </c>
      <c r="G7" s="98">
        <f>SUM(G5:G6)</f>
        <v>1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>
      <c r="A8" s="93" t="s">
        <v>886</v>
      </c>
      <c r="B8" s="95">
        <f>COUNTIF(Q15:Q64,1)</f>
        <v>0</v>
      </c>
      <c r="C8" s="93"/>
      <c r="D8" s="93"/>
      <c r="E8" s="93"/>
      <c r="F8" s="95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>
      <c r="A9" s="93" t="s">
        <v>887</v>
      </c>
      <c r="B9" s="95" t="str">
        <f>IF(Rules!B7="Not selected","Choose research scope",IF(Rules!B15&lt;&gt;"Yes","Confirm issuer universe",IF(OR(COUNT(G5:G6)&lt;&gt;2,MIN(G5:G6)&lt;=0,ABS(SUM(G5:G6)-1)&gt;0.000001),"Check weights","Ready")))</f>
        <v>Choose research scope</v>
      </c>
      <c r="C9" s="93"/>
      <c r="D9" s="93"/>
      <c r="E9" s="93"/>
      <c r="F9" s="95"/>
      <c r="G9" s="95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</row>
    <row r="10">
      <c r="A10" s="93" t="s">
        <v>957</v>
      </c>
      <c r="B10" s="95">
        <v>45.0</v>
      </c>
      <c r="C10" s="93"/>
      <c r="D10" s="93"/>
      <c r="E10" s="93"/>
      <c r="F10" s="95"/>
      <c r="G10" s="95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</row>
    <row r="11">
      <c r="A11" s="93"/>
      <c r="B11" s="93"/>
      <c r="C11" s="93"/>
      <c r="D11" s="93"/>
      <c r="E11" s="93"/>
      <c r="F11" s="95"/>
      <c r="G11" s="95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</row>
    <row r="12" ht="28.5" customHeight="1">
      <c r="A12" s="93"/>
      <c r="B12" s="93"/>
      <c r="C12" s="95" t="s">
        <v>958</v>
      </c>
      <c r="P12" s="93"/>
      <c r="Q12" s="93"/>
      <c r="R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</row>
    <row r="14" ht="55.5" customHeight="1">
      <c r="A14" s="99" t="s">
        <v>139</v>
      </c>
      <c r="B14" s="99" t="s">
        <v>141</v>
      </c>
      <c r="C14" s="99" t="s">
        <v>959</v>
      </c>
      <c r="D14" s="99" t="s">
        <v>895</v>
      </c>
      <c r="E14" s="99" t="s">
        <v>960</v>
      </c>
      <c r="F14" s="99" t="s">
        <v>961</v>
      </c>
      <c r="G14" s="99" t="s">
        <v>962</v>
      </c>
      <c r="H14" s="99" t="s">
        <v>963</v>
      </c>
      <c r="I14" s="99" t="s">
        <v>964</v>
      </c>
      <c r="J14" s="99" t="s">
        <v>965</v>
      </c>
      <c r="K14" s="99" t="s">
        <v>966</v>
      </c>
      <c r="L14" s="99" t="s">
        <v>372</v>
      </c>
      <c r="M14" s="99" t="s">
        <v>967</v>
      </c>
      <c r="N14" s="99" t="s">
        <v>968</v>
      </c>
      <c r="O14" s="99" t="s">
        <v>969</v>
      </c>
      <c r="P14" s="99" t="s">
        <v>970</v>
      </c>
      <c r="Q14" s="99" t="s">
        <v>913</v>
      </c>
      <c r="R14" s="99" t="s">
        <v>971</v>
      </c>
    </row>
    <row r="15">
      <c r="A15" s="93" t="str">
        <f>IF(Companies!A6="","",Companies!A6)</f>
        <v>US-XOM</v>
      </c>
      <c r="B15" s="93" t="str">
        <f>IF(A15="","",Companies!C6)</f>
        <v>ExxonMobil</v>
      </c>
      <c r="C15" s="93" t="str">
        <f t="array" ref="C15">IF(A15="","",IFNA(INDEX('Growth inputs'!$C$6:$C$55,MATCH(A15,'Growth inputs'!$A$6:$A$55,0)),"n.a."))</f>
        <v>Integrated oil; COP is secondary upstream comparison</v>
      </c>
      <c r="D15" s="93" t="str">
        <f t="array" ref="D15">IF(A15="","",IFNA(INDEX('Growth inputs'!$R$6:$R$55,MATCH(A15,'Growth inputs'!$A$6:$A$55,0)),"n.a."))</f>
        <v>US GAAP</v>
      </c>
      <c r="E15" s="93" t="str">
        <f t="array" ref="E15">IF(A15="","",IFNA(INDEX('Growth inputs'!$D$6:$D$55,MATCH(A15,'Growth inputs'!$A$6:$A$55,0)),"n.a."))</f>
        <v>Adjusted</v>
      </c>
      <c r="F15" s="100" t="str">
        <f t="array" ref="F15">IF(A15="","",IF(COUNTIF('Growth inputs'!$A$6:$A$55,A15)&lt;&gt;1,"n.a.",IF(AND(COUNT(IFNA(INDEX('Growth inputs'!$F$6:$F$55,MATCH(A15,'Growth inputs'!$A$6:$A$55,0)),"n.a."),IFNA(INDEX('Growth inputs'!$H$6:$H$55,MATCH(A15,'Growth inputs'!$A$6:$A$55,0)),"n.a."))=2,IFNA(INDEX('Growth inputs'!$F$6:$F$55,MATCH(A15,'Growth inputs'!$A$6:$A$55,0)),"n.a.")&gt;0,IFNA(INDEX('Growth inputs'!$H$6:$H$55,MATCH(A15,'Growth inputs'!$A$6:$A$55,0)),"n.a.")&gt;0,IFNA(INDEX('Growth inputs'!$D$6:$D$55,MATCH(A15,'Growth inputs'!$A$6:$A$55,0)),"n.a.")=IFNA(INDEX('Growth inputs'!$Z$6:$Z$55,MATCH(A15,'Growth inputs'!$A$6:$A$55,0)),"n.a."),IFNA(INDEX('Growth inputs'!$AB$6:$AB$55,MATCH(A15,'Growth inputs'!$A$6:$A$55,0)),"n.a.")="Yes"),(IFNA(INDEX('Growth inputs'!$F$6:$F$55,MATCH(A15,'Growth inputs'!$A$6:$A$55,0)),"n.a.")/IFNA(INDEX('Growth inputs'!$H$6:$H$55,MATCH(A15,'Growth inputs'!$A$6:$A$55,0)),"n.a."))^(1/3)-1,"n.a.")))</f>
        <v>n.a.</v>
      </c>
      <c r="G15" s="100" t="str">
        <f t="array" ref="G15">IF(A15="","",IF(COUNTIF('Growth inputs'!$A$6:$A$55,A15)&lt;&gt;1,"n.a.",IF(AND(COUNT(IFNA(INDEX('Growth inputs'!$K$6:$K$55,MATCH(A15,'Growth inputs'!$A$6:$A$55,0)),"n.a."),IFNA(INDEX('Growth inputs'!$L$6:$L$55,MATCH(A15,'Growth inputs'!$A$6:$A$55,0)),"n.a."),IFNA(INDEX('Growth inputs'!$F$6:$F$55,MATCH(A15,'Growth inputs'!$A$6:$A$55,0)),"n.a."))=3,IFNA(INDEX('Growth inputs'!$F$6:$F$55,MATCH(A15,'Growth inputs'!$A$6:$A$55,0)),"n.a.")&gt;0,IFNA(INDEX('Growth inputs'!$K$6:$K$55,MATCH(A15,'Growth inputs'!$A$6:$A$55,0)),"n.a.")&lt;=IFNA(INDEX('Growth inputs'!$L$6:$L$55,MATCH(A15,'Growth inputs'!$A$6:$A$55,0)),"n.a."),IFNA(INDEX('Growth inputs'!$D$6:$D$55,MATCH(A15,'Growth inputs'!$A$6:$A$55,0)),"n.a.")=IFNA(INDEX('Growth inputs'!$Y$6:$Y$55,MATCH(A15,'Growth inputs'!$A$6:$A$55,0)),"n.a."),IFNA(INDEX('Growth inputs'!$N$6:$N$55,MATCH(A15,'Growth inputs'!$A$6:$A$55,0)),"n.a.")&lt;&gt;"",IFNA(INDEX('Growth inputs'!$P$6:$P$55,MATCH(A15,'Growth inputs'!$A$6:$A$55,0)),"n.a.")&lt;&gt;"",ISNUMBER(IFNA(INDEX('Growth inputs'!$M$6:$M$55,MATCH(A15,'Growth inputs'!$A$6:$A$55,0)),"n.a.")),IFNA(INDEX('Growth inputs'!$M$6:$M$55,MATCH(A15,'Growth inputs'!$A$6:$A$55,0)),"n.a.")&lt;=Rules!$B$6,ISNUMBER(IFNA(INDEX('Growth inputs'!$I$6:$I$55,MATCH(A15,'Growth inputs'!$A$6:$A$55,0)),"n.a.")),IFNA(INDEX('Growth inputs'!$I$6:$I$55,MATCH(A15,'Growth inputs'!$A$6:$A$55,0)),"n.a.")&lt;=Rules!$B$6),AVERAGE(IFNA(INDEX('Growth inputs'!$K$6:$K$55,MATCH(A15,'Growth inputs'!$A$6:$A$55,0)),"n.a."),IFNA(INDEX('Growth inputs'!$L$6:$L$55,MATCH(A15,'Growth inputs'!$A$6:$A$55,0)),"n.a."))/IFNA(INDEX('Growth inputs'!$F$6:$F$55,MATCH(A15,'Growth inputs'!$A$6:$A$55,0)),"n.a.")-1,"n.a.")))</f>
        <v>n.a.</v>
      </c>
      <c r="H15" s="101" t="str">
        <f t="shared" ref="H15:H64" si="1">IF(A15="","",IF(OR(Q15&lt;&gt;1,$B$9&lt;&gt;"Ready",K15&lt;$B$5),"n.a.",100*(COUNTIFS($Q$15:$Q$64,1,$C$15:$C$64,C15,$D$15:$D$64,D15,$E$15:$E$64,E15,$M$15:$M$64,"&gt;="&amp;(M15-$B$10),$M$15:$M$64,"&lt;="&amp;(M15+$B$10),$F$15:$F$64,"&lt;"&amp;F15)+0.5*(COUNTIFS($Q$15:$Q$64,1,$C$15:$C$64,C15,$D$15:$D$64,D15,$E$15:$E$64,E15,$M$15:$M$64,"&gt;="&amp;(M15-$B$10),$M$15:$M$64,"&lt;="&amp;(M15+$B$10),$F$15:$F$64,F15)-1))/(K15-1)))</f>
        <v>n.a.</v>
      </c>
      <c r="I15" s="101" t="str">
        <f t="shared" ref="I15:I64" si="2">IF(A15="","",IF(OR(Q15&lt;&gt;1,$B$9&lt;&gt;"Ready",K15&lt;$B$5),"n.a.",100*(COUNTIFS($Q$15:$Q$64,1,$C$15:$C$64,C15,$D$15:$D$64,D15,$E$15:$E$64,E15,$M$15:$M$64,"&gt;="&amp;(M15-$B$10),$M$15:$M$64,"&lt;="&amp;(M15+$B$10),$G$15:$G$64,"&lt;"&amp;G15)+0.5*(COUNTIFS($Q$15:$Q$64,1,$C$15:$C$64,C15,$D$15:$D$64,D15,$E$15:$E$64,E15,$M$15:$M$64,"&gt;="&amp;(M15-$B$10),$M$15:$M$64,"&lt;="&amp;(M15+$B$10),$G$15:$G$64,G15)-1))/(K15-1)))</f>
        <v>n.a.</v>
      </c>
      <c r="J15" s="101" t="str">
        <f t="shared" ref="J15:J64" si="3">IF(A15="","",IF(COUNT(H15:I15)&lt;&gt;2,"n.a.",$G$5*H15+$G$6*I15))</f>
        <v>n.a.</v>
      </c>
      <c r="K15" s="93">
        <f t="shared" ref="K15:K64" si="4">IF(A15="","",IF(Q15&lt;&gt;1,0,COUNTIFS($Q$15:$Q$64,1,$C$15:$C$64,C15,$D$15:$D$64,D15,$E$15:$E$64,E15,$M$15:$M$64,"&gt;="&amp;(M15-$B$10),$M$15:$M$64,"&lt;="&amp;(M15+$B$10))))</f>
        <v>0</v>
      </c>
      <c r="L15" s="93" t="str">
        <f t="array" ref="L15">IF(A15="","",IF(Q15&lt;&gt;1,IFNA(INDEX('Growth inputs'!$X$6:$X$55,MATCH(A15,'Growth inputs'!$A$6:$A$55,0)),"n.a."),IF($B$9&lt;&gt;"Ready",$B$9,IF(K15&lt;$B$5,"Too few comparable growth records","Ready"))))</f>
        <v>Outside selected/approved universe</v>
      </c>
      <c r="M15" s="104" t="str">
        <f t="array" ref="M15">IF(A15="","",IFNA(INDEX('Growth inputs'!$J$6:$J$55,MATCH(A15,'Growth inputs'!$A$6:$A$55,0)),"n.a."))</f>
        <v/>
      </c>
      <c r="N15" s="93" t="str">
        <f t="array" ref="N15">IF(A15="","",IF(ISNUMBER(G15),100*(IFNA(INDEX('Growth inputs'!$L$6:$L$55,MATCH(A15,'Growth inputs'!$A$6:$A$55,0)),"n.a.")-IFNA(INDEX('Growth inputs'!$K$6:$K$55,MATCH(A15,'Growth inputs'!$A$6:$A$55,0)),"n.a."))/IFNA(INDEX('Growth inputs'!$F$6:$F$55,MATCH(A15,'Growth inputs'!$A$6:$A$55,0)),"n.a."),"n.a."))</f>
        <v>n.a.</v>
      </c>
      <c r="O15" s="100" t="str">
        <f t="array" ref="O15">IF(A15="","",IF(AND(ISNUMBER(G15),ISNUMBER(IFNA(INDEX('Growth inputs'!$T$6:$T$55,MATCH(A15,'Growth inputs'!$A$6:$A$55,0)),"n.a.")),IFNA(INDEX('Growth inputs'!$U$6:$U$55,MATCH(A15,'Growth inputs'!$A$6:$A$55,0)),"n.a.")&lt;&gt;""),G15-IFNA(INDEX('Growth inputs'!$T$6:$T$55,MATCH(A15,'Growth inputs'!$A$6:$A$55,0)),"n.a."),"n.a."))</f>
        <v>n.a.</v>
      </c>
      <c r="P15" s="93" t="str">
        <f t="shared" ref="P15:P64" si="5">IF(A15="","",IF(ISNUMBER(O15),"Diagnostic only; not scored","No sourced bias estimate"))</f>
        <v>No sourced bias estimate</v>
      </c>
      <c r="Q15" s="93">
        <f t="array" ref="Q15">IF(A15="",0,IFERROR(IF(AND(COUNTIF('Growth inputs'!$A$6:$A$55,A15)=1,IFNA(INDEX('Growth inputs'!$W$6:$W$55,MATCH(A15,'Growth inputs'!$A$6:$A$55,0)),"n.a.")=1,COUNT(F15:G15)=2),1,0),0))</f>
        <v>0</v>
      </c>
      <c r="R15" s="104">
        <f t="array" ref="R15">IF(A15="","",IFNA(INDEX('Growth inputs'!$E$6:$E$55,MATCH(A15,'Growth inputs'!$A$6:$A$55,0)),"n.a."))</f>
        <v>46022</v>
      </c>
    </row>
    <row r="16">
      <c r="A16" s="93" t="str">
        <f>IF(Companies!A7="","",Companies!A7)</f>
        <v>US-JNJ</v>
      </c>
      <c r="B16" s="93" t="str">
        <f>IF(A16="","",Companies!C7)</f>
        <v>Johnson &amp; Johnson</v>
      </c>
      <c r="C16" s="93" t="str">
        <f t="array" ref="C16">IF(A16="","",IFNA(INDEX('Growth inputs'!$C$6:$C$55,MATCH(A16,'Growth inputs'!$A$6:$A$55,0)),"n.a."))</f>
        <v>Pharma/MedTech mix; MRK and ABT cover different segments</v>
      </c>
      <c r="D16" s="93" t="str">
        <f t="array" ref="D16">IF(A16="","",IFNA(INDEX('Growth inputs'!$R$6:$R$55,MATCH(A16,'Growth inputs'!$A$6:$A$55,0)),"n.a."))</f>
        <v>US GAAP</v>
      </c>
      <c r="E16" s="93" t="str">
        <f t="array" ref="E16">IF(A16="","",IFNA(INDEX('Growth inputs'!$D$6:$D$55,MATCH(A16,'Growth inputs'!$A$6:$A$55,0)),"n.a."))</f>
        <v>Adjusted</v>
      </c>
      <c r="F16" s="100" t="str">
        <f t="array" ref="F16">IF(A16="","",IF(COUNTIF('Growth inputs'!$A$6:$A$55,A16)&lt;&gt;1,"n.a.",IF(AND(COUNT(IFNA(INDEX('Growth inputs'!$F$6:$F$55,MATCH(A16,'Growth inputs'!$A$6:$A$55,0)),"n.a."),IFNA(INDEX('Growth inputs'!$H$6:$H$55,MATCH(A16,'Growth inputs'!$A$6:$A$55,0)),"n.a."))=2,IFNA(INDEX('Growth inputs'!$F$6:$F$55,MATCH(A16,'Growth inputs'!$A$6:$A$55,0)),"n.a.")&gt;0,IFNA(INDEX('Growth inputs'!$H$6:$H$55,MATCH(A16,'Growth inputs'!$A$6:$A$55,0)),"n.a.")&gt;0,IFNA(INDEX('Growth inputs'!$D$6:$D$55,MATCH(A16,'Growth inputs'!$A$6:$A$55,0)),"n.a.")=IFNA(INDEX('Growth inputs'!$Z$6:$Z$55,MATCH(A16,'Growth inputs'!$A$6:$A$55,0)),"n.a."),IFNA(INDEX('Growth inputs'!$AB$6:$AB$55,MATCH(A16,'Growth inputs'!$A$6:$A$55,0)),"n.a.")="Yes"),(IFNA(INDEX('Growth inputs'!$F$6:$F$55,MATCH(A16,'Growth inputs'!$A$6:$A$55,0)),"n.a.")/IFNA(INDEX('Growth inputs'!$H$6:$H$55,MATCH(A16,'Growth inputs'!$A$6:$A$55,0)),"n.a."))^(1/3)-1,"n.a.")))</f>
        <v>n.a.</v>
      </c>
      <c r="G16" s="100">
        <f t="array" ref="G16">IF(A16="","",IF(COUNTIF('Growth inputs'!$A$6:$A$55,A16)&lt;&gt;1,"n.a.",IF(AND(COUNT(IFNA(INDEX('Growth inputs'!$K$6:$K$55,MATCH(A16,'Growth inputs'!$A$6:$A$55,0)),"n.a."),IFNA(INDEX('Growth inputs'!$L$6:$L$55,MATCH(A16,'Growth inputs'!$A$6:$A$55,0)),"n.a."),IFNA(INDEX('Growth inputs'!$F$6:$F$55,MATCH(A16,'Growth inputs'!$A$6:$A$55,0)),"n.a."))=3,IFNA(INDEX('Growth inputs'!$F$6:$F$55,MATCH(A16,'Growth inputs'!$A$6:$A$55,0)),"n.a.")&gt;0,IFNA(INDEX('Growth inputs'!$K$6:$K$55,MATCH(A16,'Growth inputs'!$A$6:$A$55,0)),"n.a.")&lt;=IFNA(INDEX('Growth inputs'!$L$6:$L$55,MATCH(A16,'Growth inputs'!$A$6:$A$55,0)),"n.a."),IFNA(INDEX('Growth inputs'!$D$6:$D$55,MATCH(A16,'Growth inputs'!$A$6:$A$55,0)),"n.a.")=IFNA(INDEX('Growth inputs'!$Y$6:$Y$55,MATCH(A16,'Growth inputs'!$A$6:$A$55,0)),"n.a."),IFNA(INDEX('Growth inputs'!$N$6:$N$55,MATCH(A16,'Growth inputs'!$A$6:$A$55,0)),"n.a.")&lt;&gt;"",IFNA(INDEX('Growth inputs'!$P$6:$P$55,MATCH(A16,'Growth inputs'!$A$6:$A$55,0)),"n.a.")&lt;&gt;"",ISNUMBER(IFNA(INDEX('Growth inputs'!$M$6:$M$55,MATCH(A16,'Growth inputs'!$A$6:$A$55,0)),"n.a.")),IFNA(INDEX('Growth inputs'!$M$6:$M$55,MATCH(A16,'Growth inputs'!$A$6:$A$55,0)),"n.a.")&lt;=Rules!$B$6,ISNUMBER(IFNA(INDEX('Growth inputs'!$I$6:$I$55,MATCH(A16,'Growth inputs'!$A$6:$A$55,0)),"n.a.")),IFNA(INDEX('Growth inputs'!$I$6:$I$55,MATCH(A16,'Growth inputs'!$A$6:$A$55,0)),"n.a.")&lt;=Rules!$B$6),AVERAGE(IFNA(INDEX('Growth inputs'!$K$6:$K$55,MATCH(A16,'Growth inputs'!$A$6:$A$55,0)),"n.a."),IFNA(INDEX('Growth inputs'!$L$6:$L$55,MATCH(A16,'Growth inputs'!$A$6:$A$55,0)),"n.a."))/IFNA(INDEX('Growth inputs'!$F$6:$F$55,MATCH(A16,'Growth inputs'!$A$6:$A$55,0)),"n.a.")-1,"n.a.")))</f>
        <v>0.08202038925</v>
      </c>
      <c r="H16" s="101" t="str">
        <f t="shared" si="1"/>
        <v>n.a.</v>
      </c>
      <c r="I16" s="101" t="str">
        <f t="shared" si="2"/>
        <v>n.a.</v>
      </c>
      <c r="J16" s="101" t="str">
        <f t="shared" si="3"/>
        <v>n.a.</v>
      </c>
      <c r="K16" s="93">
        <f t="shared" si="4"/>
        <v>0</v>
      </c>
      <c r="L16" s="93" t="str">
        <f t="array" ref="L16">IF(A16="","",IF(Q16&lt;&gt;1,IFNA(INDEX('Growth inputs'!$X$6:$X$55,MATCH(A16,'Growth inputs'!$A$6:$A$55,0)),"n.a."),IF($B$9&lt;&gt;"Ready",$B$9,IF(K16&lt;$B$5,"Too few comparable growth records","Ready"))))</f>
        <v>Outside selected/approved universe</v>
      </c>
      <c r="M16" s="104" t="str">
        <f t="array" ref="M16">IF(A16="","",IFNA(INDEX('Growth inputs'!$J$6:$J$55,MATCH(A16,'Growth inputs'!$A$6:$A$55,0)),"n.a."))</f>
        <v/>
      </c>
      <c r="N16" s="93">
        <f t="array" ref="N16">IF(A16="","",IF(ISNUMBER(G16),100*(IFNA(INDEX('Growth inputs'!$L$6:$L$55,MATCH(A16,'Growth inputs'!$A$6:$A$55,0)),"n.a.")-IFNA(INDEX('Growth inputs'!$K$6:$K$55,MATCH(A16,'Growth inputs'!$A$6:$A$55,0)),"n.a."))/IFNA(INDEX('Growth inputs'!$F$6:$F$55,MATCH(A16,'Growth inputs'!$A$6:$A$55,0)),"n.a."),"n.a."))</f>
        <v>1.390176089</v>
      </c>
      <c r="O16" s="100" t="str">
        <f t="array" ref="O16">IF(A16="","",IF(AND(ISNUMBER(G16),ISNUMBER(IFNA(INDEX('Growth inputs'!$T$6:$T$55,MATCH(A16,'Growth inputs'!$A$6:$A$55,0)),"n.a.")),IFNA(INDEX('Growth inputs'!$U$6:$U$55,MATCH(A16,'Growth inputs'!$A$6:$A$55,0)),"n.a.")&lt;&gt;""),G16-IFNA(INDEX('Growth inputs'!$T$6:$T$55,MATCH(A16,'Growth inputs'!$A$6:$A$55,0)),"n.a."),"n.a."))</f>
        <v>n.a.</v>
      </c>
      <c r="P16" s="93" t="str">
        <f t="shared" si="5"/>
        <v>No sourced bias estimate</v>
      </c>
      <c r="Q16" s="93">
        <f t="array" ref="Q16">IF(A16="",0,IFERROR(IF(AND(COUNTIF('Growth inputs'!$A$6:$A$55,A16)=1,IFNA(INDEX('Growth inputs'!$W$6:$W$55,MATCH(A16,'Growth inputs'!$A$6:$A$55,0)),"n.a.")=1,COUNT(F16:G16)=2),1,0),0))</f>
        <v>0</v>
      </c>
      <c r="R16" s="104">
        <f t="array" ref="R16">IF(A16="","",IFNA(INDEX('Growth inputs'!$E$6:$E$55,MATCH(A16,'Growth inputs'!$A$6:$A$55,0)),"n.a."))</f>
        <v>46019</v>
      </c>
    </row>
    <row r="17">
      <c r="A17" s="93" t="str">
        <f>IF(Companies!A8="","",Companies!A8)</f>
        <v>US-PG</v>
      </c>
      <c r="B17" s="93" t="str">
        <f>IF(A17="","",Companies!C8)</f>
        <v>Procter &amp; Gamble</v>
      </c>
      <c r="C17" s="93" t="str">
        <f t="array" ref="C17">IF(A17="","",IFNA(INDEX('Growth inputs'!$C$6:$C$55,MATCH(A17,'Growth inputs'!$A$6:$A$55,0)),"n.a."))</f>
        <v>Household/personal products; disposal-scope review pending</v>
      </c>
      <c r="D17" s="93" t="str">
        <f t="array" ref="D17">IF(A17="","",IFNA(INDEX('Growth inputs'!$R$6:$R$55,MATCH(A17,'Growth inputs'!$A$6:$A$55,0)),"n.a."))</f>
        <v>US GAAP</v>
      </c>
      <c r="E17" s="93" t="str">
        <f t="array" ref="E17">IF(A17="","",IFNA(INDEX('Growth inputs'!$D$6:$D$55,MATCH(A17,'Growth inputs'!$A$6:$A$55,0)),"n.a."))</f>
        <v>Core</v>
      </c>
      <c r="F17" s="100" t="str">
        <f t="array" ref="F17">IF(A17="","",IF(COUNTIF('Growth inputs'!$A$6:$A$55,A17)&lt;&gt;1,"n.a.",IF(AND(COUNT(IFNA(INDEX('Growth inputs'!$F$6:$F$55,MATCH(A17,'Growth inputs'!$A$6:$A$55,0)),"n.a."),IFNA(INDEX('Growth inputs'!$H$6:$H$55,MATCH(A17,'Growth inputs'!$A$6:$A$55,0)),"n.a."))=2,IFNA(INDEX('Growth inputs'!$F$6:$F$55,MATCH(A17,'Growth inputs'!$A$6:$A$55,0)),"n.a.")&gt;0,IFNA(INDEX('Growth inputs'!$H$6:$H$55,MATCH(A17,'Growth inputs'!$A$6:$A$55,0)),"n.a.")&gt;0,IFNA(INDEX('Growth inputs'!$D$6:$D$55,MATCH(A17,'Growth inputs'!$A$6:$A$55,0)),"n.a.")=IFNA(INDEX('Growth inputs'!$Z$6:$Z$55,MATCH(A17,'Growth inputs'!$A$6:$A$55,0)),"n.a."),IFNA(INDEX('Growth inputs'!$AB$6:$AB$55,MATCH(A17,'Growth inputs'!$A$6:$A$55,0)),"n.a.")="Yes"),(IFNA(INDEX('Growth inputs'!$F$6:$F$55,MATCH(A17,'Growth inputs'!$A$6:$A$55,0)),"n.a.")/IFNA(INDEX('Growth inputs'!$H$6:$H$55,MATCH(A17,'Growth inputs'!$A$6:$A$55,0)),"n.a."))^(1/3)-1,"n.a.")))</f>
        <v>n.a.</v>
      </c>
      <c r="G17" s="100">
        <f t="array" ref="G17">IF(A17="","",IF(COUNTIF('Growth inputs'!$A$6:$A$55,A17)&lt;&gt;1,"n.a.",IF(AND(COUNT(IFNA(INDEX('Growth inputs'!$K$6:$K$55,MATCH(A17,'Growth inputs'!$A$6:$A$55,0)),"n.a."),IFNA(INDEX('Growth inputs'!$L$6:$L$55,MATCH(A17,'Growth inputs'!$A$6:$A$55,0)),"n.a."),IFNA(INDEX('Growth inputs'!$F$6:$F$55,MATCH(A17,'Growth inputs'!$A$6:$A$55,0)),"n.a."))=3,IFNA(INDEX('Growth inputs'!$F$6:$F$55,MATCH(A17,'Growth inputs'!$A$6:$A$55,0)),"n.a.")&gt;0,IFNA(INDEX('Growth inputs'!$K$6:$K$55,MATCH(A17,'Growth inputs'!$A$6:$A$55,0)),"n.a.")&lt;=IFNA(INDEX('Growth inputs'!$L$6:$L$55,MATCH(A17,'Growth inputs'!$A$6:$A$55,0)),"n.a."),IFNA(INDEX('Growth inputs'!$D$6:$D$55,MATCH(A17,'Growth inputs'!$A$6:$A$55,0)),"n.a.")=IFNA(INDEX('Growth inputs'!$Y$6:$Y$55,MATCH(A17,'Growth inputs'!$A$6:$A$55,0)),"n.a."),IFNA(INDEX('Growth inputs'!$N$6:$N$55,MATCH(A17,'Growth inputs'!$A$6:$A$55,0)),"n.a.")&lt;&gt;"",IFNA(INDEX('Growth inputs'!$P$6:$P$55,MATCH(A17,'Growth inputs'!$A$6:$A$55,0)),"n.a.")&lt;&gt;"",ISNUMBER(IFNA(INDEX('Growth inputs'!$M$6:$M$55,MATCH(A17,'Growth inputs'!$A$6:$A$55,0)),"n.a.")),IFNA(INDEX('Growth inputs'!$M$6:$M$55,MATCH(A17,'Growth inputs'!$A$6:$A$55,0)),"n.a.")&lt;=Rules!$B$6,ISNUMBER(IFNA(INDEX('Growth inputs'!$I$6:$I$55,MATCH(A17,'Growth inputs'!$A$6:$A$55,0)),"n.a.")),IFNA(INDEX('Growth inputs'!$I$6:$I$55,MATCH(A17,'Growth inputs'!$A$6:$A$55,0)),"n.a.")&lt;=Rules!$B$6),AVERAGE(IFNA(INDEX('Growth inputs'!$K$6:$K$55,MATCH(A17,'Growth inputs'!$A$6:$A$55,0)),"n.a."),IFNA(INDEX('Growth inputs'!$L$6:$L$55,MATCH(A17,'Growth inputs'!$A$6:$A$55,0)),"n.a."))/IFNA(INDEX('Growth inputs'!$F$6:$F$55,MATCH(A17,'Growth inputs'!$A$6:$A$55,0)),"n.a.")-1,"n.a.")))</f>
        <v>0.01596516691</v>
      </c>
      <c r="H17" s="101" t="str">
        <f t="shared" si="1"/>
        <v>n.a.</v>
      </c>
      <c r="I17" s="101" t="str">
        <f t="shared" si="2"/>
        <v>n.a.</v>
      </c>
      <c r="J17" s="101" t="str">
        <f t="shared" si="3"/>
        <v>n.a.</v>
      </c>
      <c r="K17" s="93">
        <f t="shared" si="4"/>
        <v>0</v>
      </c>
      <c r="L17" s="93" t="str">
        <f t="array" ref="L17">IF(A17="","",IF(Q17&lt;&gt;1,IFNA(INDEX('Growth inputs'!$X$6:$X$55,MATCH(A17,'Growth inputs'!$A$6:$A$55,0)),"n.a."),IF($B$9&lt;&gt;"Ready",$B$9,IF(K17&lt;$B$5,"Too few comparable growth records","Ready"))))</f>
        <v>Outside selected/approved universe</v>
      </c>
      <c r="M17" s="104" t="str">
        <f t="array" ref="M17">IF(A17="","",IFNA(INDEX('Growth inputs'!$J$6:$J$55,MATCH(A17,'Growth inputs'!$A$6:$A$55,0)),"n.a."))</f>
        <v/>
      </c>
      <c r="N17" s="93">
        <f t="array" ref="N17">IF(A17="","",IF(ISNUMBER(G17),100*(IFNA(INDEX('Growth inputs'!$L$6:$L$55,MATCH(A17,'Growth inputs'!$A$6:$A$55,0)),"n.a.")-IFNA(INDEX('Growth inputs'!$K$6:$K$55,MATCH(A17,'Growth inputs'!$A$6:$A$55,0)),"n.a."))/IFNA(INDEX('Growth inputs'!$F$6:$F$55,MATCH(A17,'Growth inputs'!$A$6:$A$55,0)),"n.a."),"n.a."))</f>
        <v>3.193033382</v>
      </c>
      <c r="O17" s="100" t="str">
        <f t="array" ref="O17">IF(A17="","",IF(AND(ISNUMBER(G17),ISNUMBER(IFNA(INDEX('Growth inputs'!$T$6:$T$55,MATCH(A17,'Growth inputs'!$A$6:$A$55,0)),"n.a.")),IFNA(INDEX('Growth inputs'!$U$6:$U$55,MATCH(A17,'Growth inputs'!$A$6:$A$55,0)),"n.a.")&lt;&gt;""),G17-IFNA(INDEX('Growth inputs'!$T$6:$T$55,MATCH(A17,'Growth inputs'!$A$6:$A$55,0)),"n.a."),"n.a."))</f>
        <v>n.a.</v>
      </c>
      <c r="P17" s="93" t="str">
        <f t="shared" si="5"/>
        <v>No sourced bias estimate</v>
      </c>
      <c r="Q17" s="93">
        <f t="array" ref="Q17">IF(A17="",0,IFERROR(IF(AND(COUNTIF('Growth inputs'!$A$6:$A$55,A17)=1,IFNA(INDEX('Growth inputs'!$W$6:$W$55,MATCH(A17,'Growth inputs'!$A$6:$A$55,0)),"n.a.")=1,COUNT(F17:G17)=2),1,0),0))</f>
        <v>0</v>
      </c>
      <c r="R17" s="104">
        <f t="array" ref="R17">IF(A17="","",IFNA(INDEX('Growth inputs'!$E$6:$E$55,MATCH(A17,'Growth inputs'!$A$6:$A$55,0)),"n.a."))</f>
        <v>46203</v>
      </c>
    </row>
    <row r="18">
      <c r="A18" s="93" t="str">
        <f>IF(Companies!A9="","",Companies!A9)</f>
        <v>US-HD</v>
      </c>
      <c r="B18" s="93" t="str">
        <f>IF(A18="","",Companies!C9)</f>
        <v>Home Depot</v>
      </c>
      <c r="C18" s="93" t="str">
        <f t="array" ref="C18">IF(A18="","",IFNA(INDEX('Growth inputs'!$C$6:$C$55,MATCH(A18,'Growth inputs'!$A$6:$A$55,0)),"n.a."))</f>
        <v>Home improvement; TSCO secondary rural retail comparison</v>
      </c>
      <c r="D18" s="93" t="str">
        <f t="array" ref="D18">IF(A18="","",IFNA(INDEX('Growth inputs'!$R$6:$R$55,MATCH(A18,'Growth inputs'!$A$6:$A$55,0)),"n.a."))</f>
        <v>US GAAP</v>
      </c>
      <c r="E18" s="93" t="str">
        <f t="array" ref="E18">IF(A18="","",IFNA(INDEX('Growth inputs'!$D$6:$D$55,MATCH(A18,'Growth inputs'!$A$6:$A$55,0)),"n.a."))</f>
        <v>Adjusted</v>
      </c>
      <c r="F18" s="100" t="str">
        <f t="array" ref="F18">IF(A18="","",IF(COUNTIF('Growth inputs'!$A$6:$A$55,A18)&lt;&gt;1,"n.a.",IF(AND(COUNT(IFNA(INDEX('Growth inputs'!$F$6:$F$55,MATCH(A18,'Growth inputs'!$A$6:$A$55,0)),"n.a."),IFNA(INDEX('Growth inputs'!$H$6:$H$55,MATCH(A18,'Growth inputs'!$A$6:$A$55,0)),"n.a."))=2,IFNA(INDEX('Growth inputs'!$F$6:$F$55,MATCH(A18,'Growth inputs'!$A$6:$A$55,0)),"n.a.")&gt;0,IFNA(INDEX('Growth inputs'!$H$6:$H$55,MATCH(A18,'Growth inputs'!$A$6:$A$55,0)),"n.a.")&gt;0,IFNA(INDEX('Growth inputs'!$D$6:$D$55,MATCH(A18,'Growth inputs'!$A$6:$A$55,0)),"n.a.")=IFNA(INDEX('Growth inputs'!$Z$6:$Z$55,MATCH(A18,'Growth inputs'!$A$6:$A$55,0)),"n.a."),IFNA(INDEX('Growth inputs'!$AB$6:$AB$55,MATCH(A18,'Growth inputs'!$A$6:$A$55,0)),"n.a.")="Yes"),(IFNA(INDEX('Growth inputs'!$F$6:$F$55,MATCH(A18,'Growth inputs'!$A$6:$A$55,0)),"n.a.")/IFNA(INDEX('Growth inputs'!$H$6:$H$55,MATCH(A18,'Growth inputs'!$A$6:$A$55,0)),"n.a."))^(1/3)-1,"n.a.")))</f>
        <v>n.a.</v>
      </c>
      <c r="G18" s="100">
        <f t="array" ref="G18">IF(A18="","",IF(COUNTIF('Growth inputs'!$A$6:$A$55,A18)&lt;&gt;1,"n.a.",IF(AND(COUNT(IFNA(INDEX('Growth inputs'!$K$6:$K$55,MATCH(A18,'Growth inputs'!$A$6:$A$55,0)),"n.a."),IFNA(INDEX('Growth inputs'!$L$6:$L$55,MATCH(A18,'Growth inputs'!$A$6:$A$55,0)),"n.a."),IFNA(INDEX('Growth inputs'!$F$6:$F$55,MATCH(A18,'Growth inputs'!$A$6:$A$55,0)),"n.a."))=3,IFNA(INDEX('Growth inputs'!$F$6:$F$55,MATCH(A18,'Growth inputs'!$A$6:$A$55,0)),"n.a.")&gt;0,IFNA(INDEX('Growth inputs'!$K$6:$K$55,MATCH(A18,'Growth inputs'!$A$6:$A$55,0)),"n.a.")&lt;=IFNA(INDEX('Growth inputs'!$L$6:$L$55,MATCH(A18,'Growth inputs'!$A$6:$A$55,0)),"n.a."),IFNA(INDEX('Growth inputs'!$D$6:$D$55,MATCH(A18,'Growth inputs'!$A$6:$A$55,0)),"n.a.")=IFNA(INDEX('Growth inputs'!$Y$6:$Y$55,MATCH(A18,'Growth inputs'!$A$6:$A$55,0)),"n.a."),IFNA(INDEX('Growth inputs'!$N$6:$N$55,MATCH(A18,'Growth inputs'!$A$6:$A$55,0)),"n.a.")&lt;&gt;"",IFNA(INDEX('Growth inputs'!$P$6:$P$55,MATCH(A18,'Growth inputs'!$A$6:$A$55,0)),"n.a.")&lt;&gt;"",ISNUMBER(IFNA(INDEX('Growth inputs'!$M$6:$M$55,MATCH(A18,'Growth inputs'!$A$6:$A$55,0)),"n.a.")),IFNA(INDEX('Growth inputs'!$M$6:$M$55,MATCH(A18,'Growth inputs'!$A$6:$A$55,0)),"n.a.")&lt;=Rules!$B$6,ISNUMBER(IFNA(INDEX('Growth inputs'!$I$6:$I$55,MATCH(A18,'Growth inputs'!$A$6:$A$55,0)),"n.a.")),IFNA(INDEX('Growth inputs'!$I$6:$I$55,MATCH(A18,'Growth inputs'!$A$6:$A$55,0)),"n.a.")&lt;=Rules!$B$6),AVERAGE(IFNA(INDEX('Growth inputs'!$K$6:$K$55,MATCH(A18,'Growth inputs'!$A$6:$A$55,0)),"n.a."),IFNA(INDEX('Growth inputs'!$L$6:$L$55,MATCH(A18,'Growth inputs'!$A$6:$A$55,0)),"n.a."))/IFNA(INDEX('Growth inputs'!$F$6:$F$55,MATCH(A18,'Growth inputs'!$A$6:$A$55,0)),"n.a.")-1,"n.a.")))</f>
        <v>0.02</v>
      </c>
      <c r="H18" s="101" t="str">
        <f t="shared" si="1"/>
        <v>n.a.</v>
      </c>
      <c r="I18" s="101" t="str">
        <f t="shared" si="2"/>
        <v>n.a.</v>
      </c>
      <c r="J18" s="101" t="str">
        <f t="shared" si="3"/>
        <v>n.a.</v>
      </c>
      <c r="K18" s="93">
        <f t="shared" si="4"/>
        <v>0</v>
      </c>
      <c r="L18" s="93" t="str">
        <f t="array" ref="L18">IF(A18="","",IF(Q18&lt;&gt;1,IFNA(INDEX('Growth inputs'!$X$6:$X$55,MATCH(A18,'Growth inputs'!$A$6:$A$55,0)),"n.a."),IF($B$9&lt;&gt;"Ready",$B$9,IF(K18&lt;$B$5,"Too few comparable growth records","Ready"))))</f>
        <v>Outside selected/approved universe</v>
      </c>
      <c r="M18" s="104" t="str">
        <f t="array" ref="M18">IF(A18="","",IFNA(INDEX('Growth inputs'!$J$6:$J$55,MATCH(A18,'Growth inputs'!$A$6:$A$55,0)),"n.a."))</f>
        <v/>
      </c>
      <c r="N18" s="93">
        <f t="array" ref="N18">IF(A18="","",IF(ISNUMBER(G18),100*(IFNA(INDEX('Growth inputs'!$L$6:$L$55,MATCH(A18,'Growth inputs'!$A$6:$A$55,0)),"n.a.")-IFNA(INDEX('Growth inputs'!$K$6:$K$55,MATCH(A18,'Growth inputs'!$A$6:$A$55,0)),"n.a."))/IFNA(INDEX('Growth inputs'!$F$6:$F$55,MATCH(A18,'Growth inputs'!$A$6:$A$55,0)),"n.a."),"n.a."))</f>
        <v>4</v>
      </c>
      <c r="O18" s="100" t="str">
        <f t="array" ref="O18">IF(A18="","",IF(AND(ISNUMBER(G18),ISNUMBER(IFNA(INDEX('Growth inputs'!$T$6:$T$55,MATCH(A18,'Growth inputs'!$A$6:$A$55,0)),"n.a.")),IFNA(INDEX('Growth inputs'!$U$6:$U$55,MATCH(A18,'Growth inputs'!$A$6:$A$55,0)),"n.a.")&lt;&gt;""),G18-IFNA(INDEX('Growth inputs'!$T$6:$T$55,MATCH(A18,'Growth inputs'!$A$6:$A$55,0)),"n.a."),"n.a."))</f>
        <v>n.a.</v>
      </c>
      <c r="P18" s="93" t="str">
        <f t="shared" si="5"/>
        <v>No sourced bias estimate</v>
      </c>
      <c r="Q18" s="93">
        <f t="array" ref="Q18">IF(A18="",0,IFERROR(IF(AND(COUNTIF('Growth inputs'!$A$6:$A$55,A18)=1,IFNA(INDEX('Growth inputs'!$W$6:$W$55,MATCH(A18,'Growth inputs'!$A$6:$A$55,0)),"n.a.")=1,COUNT(F18:G18)=2),1,0),0))</f>
        <v>0</v>
      </c>
      <c r="R18" s="104">
        <f t="array" ref="R18">IF(A18="","",IFNA(INDEX('Growth inputs'!$E$6:$E$55,MATCH(A18,'Growth inputs'!$A$6:$A$55,0)),"n.a."))</f>
        <v>46054</v>
      </c>
    </row>
    <row r="19">
      <c r="A19" s="93" t="str">
        <f>IF(Companies!A10="","",Companies!A10)</f>
        <v>US-IBM</v>
      </c>
      <c r="B19" s="93" t="str">
        <f>IF(A19="","",Companies!C10)</f>
        <v>IBM</v>
      </c>
      <c r="C19" s="93" t="str">
        <f t="array" ref="C19">IF(A19="","",IFNA(INDEX('Growth inputs'!$C$6:$C$55,MATCH(A19,'Growth inputs'!$A$6:$A$55,0)),"n.a."))</f>
        <v>Mixed software/consulting/infrastructure; segment comps needed</v>
      </c>
      <c r="D19" s="93" t="str">
        <f t="array" ref="D19">IF(A19="","",IFNA(INDEX('Growth inputs'!$R$6:$R$55,MATCH(A19,'Growth inputs'!$A$6:$A$55,0)),"n.a."))</f>
        <v>US GAAP</v>
      </c>
      <c r="E19" s="93" t="str">
        <f t="array" ref="E19">IF(A19="","",IFNA(INDEX('Growth inputs'!$D$6:$D$55,MATCH(A19,'Growth inputs'!$A$6:$A$55,0)),"n.a."))</f>
        <v>Operating</v>
      </c>
      <c r="F19" s="100" t="str">
        <f t="array" ref="F19">IF(A19="","",IF(COUNTIF('Growth inputs'!$A$6:$A$55,A19)&lt;&gt;1,"n.a.",IF(AND(COUNT(IFNA(INDEX('Growth inputs'!$F$6:$F$55,MATCH(A19,'Growth inputs'!$A$6:$A$55,0)),"n.a."),IFNA(INDEX('Growth inputs'!$H$6:$H$55,MATCH(A19,'Growth inputs'!$A$6:$A$55,0)),"n.a."))=2,IFNA(INDEX('Growth inputs'!$F$6:$F$55,MATCH(A19,'Growth inputs'!$A$6:$A$55,0)),"n.a.")&gt;0,IFNA(INDEX('Growth inputs'!$H$6:$H$55,MATCH(A19,'Growth inputs'!$A$6:$A$55,0)),"n.a.")&gt;0,IFNA(INDEX('Growth inputs'!$D$6:$D$55,MATCH(A19,'Growth inputs'!$A$6:$A$55,0)),"n.a.")=IFNA(INDEX('Growth inputs'!$Z$6:$Z$55,MATCH(A19,'Growth inputs'!$A$6:$A$55,0)),"n.a."),IFNA(INDEX('Growth inputs'!$AB$6:$AB$55,MATCH(A19,'Growth inputs'!$A$6:$A$55,0)),"n.a.")="Yes"),(IFNA(INDEX('Growth inputs'!$F$6:$F$55,MATCH(A19,'Growth inputs'!$A$6:$A$55,0)),"n.a.")/IFNA(INDEX('Growth inputs'!$H$6:$H$55,MATCH(A19,'Growth inputs'!$A$6:$A$55,0)),"n.a."))^(1/3)-1,"n.a.")))</f>
        <v>n.a.</v>
      </c>
      <c r="G19" s="100" t="str">
        <f t="array" ref="G19">IF(A19="","",IF(COUNTIF('Growth inputs'!$A$6:$A$55,A19)&lt;&gt;1,"n.a.",IF(AND(COUNT(IFNA(INDEX('Growth inputs'!$K$6:$K$55,MATCH(A19,'Growth inputs'!$A$6:$A$55,0)),"n.a."),IFNA(INDEX('Growth inputs'!$L$6:$L$55,MATCH(A19,'Growth inputs'!$A$6:$A$55,0)),"n.a."),IFNA(INDEX('Growth inputs'!$F$6:$F$55,MATCH(A19,'Growth inputs'!$A$6:$A$55,0)),"n.a."))=3,IFNA(INDEX('Growth inputs'!$F$6:$F$55,MATCH(A19,'Growth inputs'!$A$6:$A$55,0)),"n.a.")&gt;0,IFNA(INDEX('Growth inputs'!$K$6:$K$55,MATCH(A19,'Growth inputs'!$A$6:$A$55,0)),"n.a.")&lt;=IFNA(INDEX('Growth inputs'!$L$6:$L$55,MATCH(A19,'Growth inputs'!$A$6:$A$55,0)),"n.a."),IFNA(INDEX('Growth inputs'!$D$6:$D$55,MATCH(A19,'Growth inputs'!$A$6:$A$55,0)),"n.a.")=IFNA(INDEX('Growth inputs'!$Y$6:$Y$55,MATCH(A19,'Growth inputs'!$A$6:$A$55,0)),"n.a."),IFNA(INDEX('Growth inputs'!$N$6:$N$55,MATCH(A19,'Growth inputs'!$A$6:$A$55,0)),"n.a.")&lt;&gt;"",IFNA(INDEX('Growth inputs'!$P$6:$P$55,MATCH(A19,'Growth inputs'!$A$6:$A$55,0)),"n.a.")&lt;&gt;"",ISNUMBER(IFNA(INDEX('Growth inputs'!$M$6:$M$55,MATCH(A19,'Growth inputs'!$A$6:$A$55,0)),"n.a.")),IFNA(INDEX('Growth inputs'!$M$6:$M$55,MATCH(A19,'Growth inputs'!$A$6:$A$55,0)),"n.a.")&lt;=Rules!$B$6,ISNUMBER(IFNA(INDEX('Growth inputs'!$I$6:$I$55,MATCH(A19,'Growth inputs'!$A$6:$A$55,0)),"n.a.")),IFNA(INDEX('Growth inputs'!$I$6:$I$55,MATCH(A19,'Growth inputs'!$A$6:$A$55,0)),"n.a.")&lt;=Rules!$B$6),AVERAGE(IFNA(INDEX('Growth inputs'!$K$6:$K$55,MATCH(A19,'Growth inputs'!$A$6:$A$55,0)),"n.a."),IFNA(INDEX('Growth inputs'!$L$6:$L$55,MATCH(A19,'Growth inputs'!$A$6:$A$55,0)),"n.a."))/IFNA(INDEX('Growth inputs'!$F$6:$F$55,MATCH(A19,'Growth inputs'!$A$6:$A$55,0)),"n.a.")-1,"n.a.")))</f>
        <v>n.a.</v>
      </c>
      <c r="H19" s="101" t="str">
        <f t="shared" si="1"/>
        <v>n.a.</v>
      </c>
      <c r="I19" s="101" t="str">
        <f t="shared" si="2"/>
        <v>n.a.</v>
      </c>
      <c r="J19" s="101" t="str">
        <f t="shared" si="3"/>
        <v>n.a.</v>
      </c>
      <c r="K19" s="93">
        <f t="shared" si="4"/>
        <v>0</v>
      </c>
      <c r="L19" s="93" t="str">
        <f t="array" ref="L19">IF(A19="","",IF(Q19&lt;&gt;1,IFNA(INDEX('Growth inputs'!$X$6:$X$55,MATCH(A19,'Growth inputs'!$A$6:$A$55,0)),"n.a."),IF($B$9&lt;&gt;"Ready",$B$9,IF(K19&lt;$B$5,"Too few comparable growth records","Ready"))))</f>
        <v>Outside selected/approved universe</v>
      </c>
      <c r="M19" s="104" t="str">
        <f t="array" ref="M19">IF(A19="","",IFNA(INDEX('Growth inputs'!$J$6:$J$55,MATCH(A19,'Growth inputs'!$A$6:$A$55,0)),"n.a."))</f>
        <v/>
      </c>
      <c r="N19" s="93" t="str">
        <f t="array" ref="N19">IF(A19="","",IF(ISNUMBER(G19),100*(IFNA(INDEX('Growth inputs'!$L$6:$L$55,MATCH(A19,'Growth inputs'!$A$6:$A$55,0)),"n.a.")-IFNA(INDEX('Growth inputs'!$K$6:$K$55,MATCH(A19,'Growth inputs'!$A$6:$A$55,0)),"n.a."))/IFNA(INDEX('Growth inputs'!$F$6:$F$55,MATCH(A19,'Growth inputs'!$A$6:$A$55,0)),"n.a."),"n.a."))</f>
        <v>n.a.</v>
      </c>
      <c r="O19" s="100" t="str">
        <f t="array" ref="O19">IF(A19="","",IF(AND(ISNUMBER(G19),ISNUMBER(IFNA(INDEX('Growth inputs'!$T$6:$T$55,MATCH(A19,'Growth inputs'!$A$6:$A$55,0)),"n.a.")),IFNA(INDEX('Growth inputs'!$U$6:$U$55,MATCH(A19,'Growth inputs'!$A$6:$A$55,0)),"n.a.")&lt;&gt;""),G19-IFNA(INDEX('Growth inputs'!$T$6:$T$55,MATCH(A19,'Growth inputs'!$A$6:$A$55,0)),"n.a."),"n.a."))</f>
        <v>n.a.</v>
      </c>
      <c r="P19" s="93" t="str">
        <f t="shared" si="5"/>
        <v>No sourced bias estimate</v>
      </c>
      <c r="Q19" s="93">
        <f t="array" ref="Q19">IF(A19="",0,IFERROR(IF(AND(COUNTIF('Growth inputs'!$A$6:$A$55,A19)=1,IFNA(INDEX('Growth inputs'!$W$6:$W$55,MATCH(A19,'Growth inputs'!$A$6:$A$55,0)),"n.a.")=1,COUNT(F19:G19)=2),1,0),0))</f>
        <v>0</v>
      </c>
      <c r="R19" s="104">
        <f t="array" ref="R19">IF(A19="","",IFNA(INDEX('Growth inputs'!$E$6:$E$55,MATCH(A19,'Growth inputs'!$A$6:$A$55,0)),"n.a."))</f>
        <v>46022</v>
      </c>
    </row>
    <row r="20">
      <c r="A20" s="93" t="str">
        <f>IF(Companies!A11="","",Companies!A11)</f>
        <v>US-VZ</v>
      </c>
      <c r="B20" s="93" t="str">
        <f>IF(A20="","",Companies!C11)</f>
        <v>Verizon</v>
      </c>
      <c r="C20" s="93" t="str">
        <f t="array" ref="C20">IF(A20="","",IFNA(INDEX('Growth inputs'!$C$6:$C$55,MATCH(A20,'Growth inputs'!$A$6:$A$55,0)),"n.a."))</f>
        <v>US telecom; acquisition/perimeter review pending</v>
      </c>
      <c r="D20" s="93" t="str">
        <f t="array" ref="D20">IF(A20="","",IFNA(INDEX('Growth inputs'!$R$6:$R$55,MATCH(A20,'Growth inputs'!$A$6:$A$55,0)),"n.a."))</f>
        <v>US GAAP</v>
      </c>
      <c r="E20" s="93" t="str">
        <f t="array" ref="E20">IF(A20="","",IFNA(INDEX('Growth inputs'!$D$6:$D$55,MATCH(A20,'Growth inputs'!$A$6:$A$55,0)),"n.a."))</f>
        <v>Adjusted</v>
      </c>
      <c r="F20" s="100" t="str">
        <f t="array" ref="F20">IF(A20="","",IF(COUNTIF('Growth inputs'!$A$6:$A$55,A20)&lt;&gt;1,"n.a.",IF(AND(COUNT(IFNA(INDEX('Growth inputs'!$F$6:$F$55,MATCH(A20,'Growth inputs'!$A$6:$A$55,0)),"n.a."),IFNA(INDEX('Growth inputs'!$H$6:$H$55,MATCH(A20,'Growth inputs'!$A$6:$A$55,0)),"n.a."))=2,IFNA(INDEX('Growth inputs'!$F$6:$F$55,MATCH(A20,'Growth inputs'!$A$6:$A$55,0)),"n.a.")&gt;0,IFNA(INDEX('Growth inputs'!$H$6:$H$55,MATCH(A20,'Growth inputs'!$A$6:$A$55,0)),"n.a.")&gt;0,IFNA(INDEX('Growth inputs'!$D$6:$D$55,MATCH(A20,'Growth inputs'!$A$6:$A$55,0)),"n.a.")=IFNA(INDEX('Growth inputs'!$Z$6:$Z$55,MATCH(A20,'Growth inputs'!$A$6:$A$55,0)),"n.a."),IFNA(INDEX('Growth inputs'!$AB$6:$AB$55,MATCH(A20,'Growth inputs'!$A$6:$A$55,0)),"n.a.")="Yes"),(IFNA(INDEX('Growth inputs'!$F$6:$F$55,MATCH(A20,'Growth inputs'!$A$6:$A$55,0)),"n.a.")/IFNA(INDEX('Growth inputs'!$H$6:$H$55,MATCH(A20,'Growth inputs'!$A$6:$A$55,0)),"n.a."))^(1/3)-1,"n.a.")))</f>
        <v>n.a.</v>
      </c>
      <c r="G20" s="100">
        <f t="array" ref="G20">IF(A20="","",IF(COUNTIF('Growth inputs'!$A$6:$A$55,A20)&lt;&gt;1,"n.a.",IF(AND(COUNT(IFNA(INDEX('Growth inputs'!$K$6:$K$55,MATCH(A20,'Growth inputs'!$A$6:$A$55,0)),"n.a."),IFNA(INDEX('Growth inputs'!$L$6:$L$55,MATCH(A20,'Growth inputs'!$A$6:$A$55,0)),"n.a."),IFNA(INDEX('Growth inputs'!$F$6:$F$55,MATCH(A20,'Growth inputs'!$A$6:$A$55,0)),"n.a."))=3,IFNA(INDEX('Growth inputs'!$F$6:$F$55,MATCH(A20,'Growth inputs'!$A$6:$A$55,0)),"n.a.")&gt;0,IFNA(INDEX('Growth inputs'!$K$6:$K$55,MATCH(A20,'Growth inputs'!$A$6:$A$55,0)),"n.a.")&lt;=IFNA(INDEX('Growth inputs'!$L$6:$L$55,MATCH(A20,'Growth inputs'!$A$6:$A$55,0)),"n.a."),IFNA(INDEX('Growth inputs'!$D$6:$D$55,MATCH(A20,'Growth inputs'!$A$6:$A$55,0)),"n.a.")=IFNA(INDEX('Growth inputs'!$Y$6:$Y$55,MATCH(A20,'Growth inputs'!$A$6:$A$55,0)),"n.a."),IFNA(INDEX('Growth inputs'!$N$6:$N$55,MATCH(A20,'Growth inputs'!$A$6:$A$55,0)),"n.a.")&lt;&gt;"",IFNA(INDEX('Growth inputs'!$P$6:$P$55,MATCH(A20,'Growth inputs'!$A$6:$A$55,0)),"n.a.")&lt;&gt;"",ISNUMBER(IFNA(INDEX('Growth inputs'!$M$6:$M$55,MATCH(A20,'Growth inputs'!$A$6:$A$55,0)),"n.a.")),IFNA(INDEX('Growth inputs'!$M$6:$M$55,MATCH(A20,'Growth inputs'!$A$6:$A$55,0)),"n.a.")&lt;=Rules!$B$6,ISNUMBER(IFNA(INDEX('Growth inputs'!$I$6:$I$55,MATCH(A20,'Growth inputs'!$A$6:$A$55,0)),"n.a.")),IFNA(INDEX('Growth inputs'!$I$6:$I$55,MATCH(A20,'Growth inputs'!$A$6:$A$55,0)),"n.a.")&lt;=Rules!$B$6),AVERAGE(IFNA(INDEX('Growth inputs'!$K$6:$K$55,MATCH(A20,'Growth inputs'!$A$6:$A$55,0)),"n.a."),IFNA(INDEX('Growth inputs'!$L$6:$L$55,MATCH(A20,'Growth inputs'!$A$6:$A$55,0)),"n.a."))/IFNA(INDEX('Growth inputs'!$F$6:$F$55,MATCH(A20,'Growth inputs'!$A$6:$A$55,0)),"n.a.")-1,"n.a.")))</f>
        <v>0.06475583864</v>
      </c>
      <c r="H20" s="101" t="str">
        <f t="shared" si="1"/>
        <v>n.a.</v>
      </c>
      <c r="I20" s="101" t="str">
        <f t="shared" si="2"/>
        <v>n.a.</v>
      </c>
      <c r="J20" s="101" t="str">
        <f t="shared" si="3"/>
        <v>n.a.</v>
      </c>
      <c r="K20" s="93">
        <f t="shared" si="4"/>
        <v>0</v>
      </c>
      <c r="L20" s="93" t="str">
        <f t="array" ref="L20">IF(A20="","",IF(Q20&lt;&gt;1,IFNA(INDEX('Growth inputs'!$X$6:$X$55,MATCH(A20,'Growth inputs'!$A$6:$A$55,0)),"n.a."),IF($B$9&lt;&gt;"Ready",$B$9,IF(K20&lt;$B$5,"Too few comparable growth records","Ready"))))</f>
        <v>Outside selected/approved universe</v>
      </c>
      <c r="M20" s="104" t="str">
        <f t="array" ref="M20">IF(A20="","",IFNA(INDEX('Growth inputs'!$J$6:$J$55,MATCH(A20,'Growth inputs'!$A$6:$A$55,0)),"n.a."))</f>
        <v/>
      </c>
      <c r="N20" s="93">
        <f t="array" ref="N20">IF(A20="","",IF(ISNUMBER(G20),100*(IFNA(INDEX('Growth inputs'!$L$6:$L$55,MATCH(A20,'Growth inputs'!$A$6:$A$55,0)),"n.a.")-IFNA(INDEX('Growth inputs'!$K$6:$K$55,MATCH(A20,'Growth inputs'!$A$6:$A$55,0)),"n.a."))/IFNA(INDEX('Growth inputs'!$F$6:$F$55,MATCH(A20,'Growth inputs'!$A$6:$A$55,0)),"n.a."),"n.a."))</f>
        <v>1.061571125</v>
      </c>
      <c r="O20" s="100" t="str">
        <f t="array" ref="O20">IF(A20="","",IF(AND(ISNUMBER(G20),ISNUMBER(IFNA(INDEX('Growth inputs'!$T$6:$T$55,MATCH(A20,'Growth inputs'!$A$6:$A$55,0)),"n.a.")),IFNA(INDEX('Growth inputs'!$U$6:$U$55,MATCH(A20,'Growth inputs'!$A$6:$A$55,0)),"n.a.")&lt;&gt;""),G20-IFNA(INDEX('Growth inputs'!$T$6:$T$55,MATCH(A20,'Growth inputs'!$A$6:$A$55,0)),"n.a."),"n.a."))</f>
        <v>n.a.</v>
      </c>
      <c r="P20" s="93" t="str">
        <f t="shared" si="5"/>
        <v>No sourced bias estimate</v>
      </c>
      <c r="Q20" s="93">
        <f t="array" ref="Q20">IF(A20="",0,IFERROR(IF(AND(COUNTIF('Growth inputs'!$A$6:$A$55,A20)=1,IFNA(INDEX('Growth inputs'!$W$6:$W$55,MATCH(A20,'Growth inputs'!$A$6:$A$55,0)),"n.a.")=1,COUNT(F20:G20)=2),1,0),0))</f>
        <v>0</v>
      </c>
      <c r="R20" s="104">
        <f t="array" ref="R20">IF(A20="","",IFNA(INDEX('Growth inputs'!$E$6:$E$55,MATCH(A20,'Growth inputs'!$A$6:$A$55,0)),"n.a."))</f>
        <v>46022</v>
      </c>
    </row>
    <row r="21">
      <c r="A21" s="93" t="str">
        <f>IF(Companies!A12="","",Companies!A12)</f>
        <v>US-HON</v>
      </c>
      <c r="B21" s="93" t="str">
        <f>IF(A21="","",Companies!C12)</f>
        <v>Honeywell Technologies</v>
      </c>
      <c r="C21" s="93" t="str">
        <f t="array" ref="C21">IF(A21="","",IFNA(INDEX('Growth inputs'!$C$6:$C$55,MATCH(A21,'Growth inputs'!$A$6:$A$55,0)),"n.a."))</f>
        <v>Post-separation industrial automation; continuing-scope comps</v>
      </c>
      <c r="D21" s="93" t="str">
        <f t="array" ref="D21">IF(A21="","",IFNA(INDEX('Growth inputs'!$R$6:$R$55,MATCH(A21,'Growth inputs'!$A$6:$A$55,0)),"n.a."))</f>
        <v>US GAAP</v>
      </c>
      <c r="E21" s="93" t="str">
        <f t="array" ref="E21">IF(A21="","",IFNA(INDEX('Growth inputs'!$D$6:$D$55,MATCH(A21,'Growth inputs'!$A$6:$A$55,0)),"n.a."))</f>
        <v>Adjusted</v>
      </c>
      <c r="F21" s="100" t="str">
        <f t="array" ref="F21">IF(A21="","",IF(COUNTIF('Growth inputs'!$A$6:$A$55,A21)&lt;&gt;1,"n.a.",IF(AND(COUNT(IFNA(INDEX('Growth inputs'!$F$6:$F$55,MATCH(A21,'Growth inputs'!$A$6:$A$55,0)),"n.a."),IFNA(INDEX('Growth inputs'!$H$6:$H$55,MATCH(A21,'Growth inputs'!$A$6:$A$55,0)),"n.a."))=2,IFNA(INDEX('Growth inputs'!$F$6:$F$55,MATCH(A21,'Growth inputs'!$A$6:$A$55,0)),"n.a.")&gt;0,IFNA(INDEX('Growth inputs'!$H$6:$H$55,MATCH(A21,'Growth inputs'!$A$6:$A$55,0)),"n.a.")&gt;0,IFNA(INDEX('Growth inputs'!$D$6:$D$55,MATCH(A21,'Growth inputs'!$A$6:$A$55,0)),"n.a.")=IFNA(INDEX('Growth inputs'!$Z$6:$Z$55,MATCH(A21,'Growth inputs'!$A$6:$A$55,0)),"n.a."),IFNA(INDEX('Growth inputs'!$AB$6:$AB$55,MATCH(A21,'Growth inputs'!$A$6:$A$55,0)),"n.a.")="Yes"),(IFNA(INDEX('Growth inputs'!$F$6:$F$55,MATCH(A21,'Growth inputs'!$A$6:$A$55,0)),"n.a.")/IFNA(INDEX('Growth inputs'!$H$6:$H$55,MATCH(A21,'Growth inputs'!$A$6:$A$55,0)),"n.a."))^(1/3)-1,"n.a.")))</f>
        <v>n.a.</v>
      </c>
      <c r="G21" s="100">
        <f t="array" ref="G21">IF(A21="","",IF(COUNTIF('Growth inputs'!$A$6:$A$55,A21)&lt;&gt;1,"n.a.",IF(AND(COUNT(IFNA(INDEX('Growth inputs'!$K$6:$K$55,MATCH(A21,'Growth inputs'!$A$6:$A$55,0)),"n.a."),IFNA(INDEX('Growth inputs'!$L$6:$L$55,MATCH(A21,'Growth inputs'!$A$6:$A$55,0)),"n.a."),IFNA(INDEX('Growth inputs'!$F$6:$F$55,MATCH(A21,'Growth inputs'!$A$6:$A$55,0)),"n.a."))=3,IFNA(INDEX('Growth inputs'!$F$6:$F$55,MATCH(A21,'Growth inputs'!$A$6:$A$55,0)),"n.a.")&gt;0,IFNA(INDEX('Growth inputs'!$K$6:$K$55,MATCH(A21,'Growth inputs'!$A$6:$A$55,0)),"n.a.")&lt;=IFNA(INDEX('Growth inputs'!$L$6:$L$55,MATCH(A21,'Growth inputs'!$A$6:$A$55,0)),"n.a."),IFNA(INDEX('Growth inputs'!$D$6:$D$55,MATCH(A21,'Growth inputs'!$A$6:$A$55,0)),"n.a.")=IFNA(INDEX('Growth inputs'!$Y$6:$Y$55,MATCH(A21,'Growth inputs'!$A$6:$A$55,0)),"n.a."),IFNA(INDEX('Growth inputs'!$N$6:$N$55,MATCH(A21,'Growth inputs'!$A$6:$A$55,0)),"n.a.")&lt;&gt;"",IFNA(INDEX('Growth inputs'!$P$6:$P$55,MATCH(A21,'Growth inputs'!$A$6:$A$55,0)),"n.a.")&lt;&gt;"",ISNUMBER(IFNA(INDEX('Growth inputs'!$M$6:$M$55,MATCH(A21,'Growth inputs'!$A$6:$A$55,0)),"n.a.")),IFNA(INDEX('Growth inputs'!$M$6:$M$55,MATCH(A21,'Growth inputs'!$A$6:$A$55,0)),"n.a.")&lt;=Rules!$B$6,ISNUMBER(IFNA(INDEX('Growth inputs'!$I$6:$I$55,MATCH(A21,'Growth inputs'!$A$6:$A$55,0)),"n.a.")),IFNA(INDEX('Growth inputs'!$I$6:$I$55,MATCH(A21,'Growth inputs'!$A$6:$A$55,0)),"n.a.")&lt;=Rules!$B$6),AVERAGE(IFNA(INDEX('Growth inputs'!$K$6:$K$55,MATCH(A21,'Growth inputs'!$A$6:$A$55,0)),"n.a."),IFNA(INDEX('Growth inputs'!$L$6:$L$55,MATCH(A21,'Growth inputs'!$A$6:$A$55,0)),"n.a."))/IFNA(INDEX('Growth inputs'!$F$6:$F$55,MATCH(A21,'Growth inputs'!$A$6:$A$55,0)),"n.a.")-1,"n.a.")))</f>
        <v>0.2693498452</v>
      </c>
      <c r="H21" s="101" t="str">
        <f t="shared" si="1"/>
        <v>n.a.</v>
      </c>
      <c r="I21" s="101" t="str">
        <f t="shared" si="2"/>
        <v>n.a.</v>
      </c>
      <c r="J21" s="101" t="str">
        <f t="shared" si="3"/>
        <v>n.a.</v>
      </c>
      <c r="K21" s="93">
        <f t="shared" si="4"/>
        <v>0</v>
      </c>
      <c r="L21" s="93" t="str">
        <f t="array" ref="L21">IF(A21="","",IF(Q21&lt;&gt;1,IFNA(INDEX('Growth inputs'!$X$6:$X$55,MATCH(A21,'Growth inputs'!$A$6:$A$55,0)),"n.a."),IF($B$9&lt;&gt;"Ready",$B$9,IF(K21&lt;$B$5,"Too few comparable growth records","Ready"))))</f>
        <v>Outside selected/approved universe</v>
      </c>
      <c r="M21" s="104" t="str">
        <f t="array" ref="M21">IF(A21="","",IFNA(INDEX('Growth inputs'!$J$6:$J$55,MATCH(A21,'Growth inputs'!$A$6:$A$55,0)),"n.a."))</f>
        <v/>
      </c>
      <c r="N21" s="93">
        <f t="array" ref="N21">IF(A21="","",IF(ISNUMBER(G21),100*(IFNA(INDEX('Growth inputs'!$L$6:$L$55,MATCH(A21,'Growth inputs'!$A$6:$A$55,0)),"n.a.")-IFNA(INDEX('Growth inputs'!$K$6:$K$55,MATCH(A21,'Growth inputs'!$A$6:$A$55,0)),"n.a."))/IFNA(INDEX('Growth inputs'!$F$6:$F$55,MATCH(A21,'Growth inputs'!$A$6:$A$55,0)),"n.a."),"n.a."))</f>
        <v>4.643962848</v>
      </c>
      <c r="O21" s="100" t="str">
        <f t="array" ref="O21">IF(A21="","",IF(AND(ISNUMBER(G21),ISNUMBER(IFNA(INDEX('Growth inputs'!$T$6:$T$55,MATCH(A21,'Growth inputs'!$A$6:$A$55,0)),"n.a.")),IFNA(INDEX('Growth inputs'!$U$6:$U$55,MATCH(A21,'Growth inputs'!$A$6:$A$55,0)),"n.a.")&lt;&gt;""),G21-IFNA(INDEX('Growth inputs'!$T$6:$T$55,MATCH(A21,'Growth inputs'!$A$6:$A$55,0)),"n.a."),"n.a."))</f>
        <v>n.a.</v>
      </c>
      <c r="P21" s="93" t="str">
        <f t="shared" si="5"/>
        <v>No sourced bias estimate</v>
      </c>
      <c r="Q21" s="93">
        <f t="array" ref="Q21">IF(A21="",0,IFERROR(IF(AND(COUNTIF('Growth inputs'!$A$6:$A$55,A21)=1,IFNA(INDEX('Growth inputs'!$W$6:$W$55,MATCH(A21,'Growth inputs'!$A$6:$A$55,0)),"n.a.")=1,COUNT(F21:G21)=2),1,0),0))</f>
        <v>0</v>
      </c>
      <c r="R21" s="104">
        <f t="array" ref="R21">IF(A21="","",IFNA(INDEX('Growth inputs'!$E$6:$E$55,MATCH(A21,'Growth inputs'!$A$6:$A$55,0)),"n.a."))</f>
        <v>46022</v>
      </c>
    </row>
    <row r="22">
      <c r="A22" s="93" t="str">
        <f>IF(Companies!A13="","",Companies!A13)</f>
        <v>US-SHW</v>
      </c>
      <c r="B22" s="93" t="str">
        <f>IF(A22="","",Companies!C13)</f>
        <v>Sherwin-Williams</v>
      </c>
      <c r="C22" s="93" t="str">
        <f t="array" ref="C22">IF(A22="","",IFNA(INDEX('Growth inputs'!$C$6:$C$55,MATCH(A22,'Growth inputs'!$A$6:$A$55,0)),"n.a."))</f>
        <v>Paints/coatings; geographic/business-mix review pending</v>
      </c>
      <c r="D22" s="93" t="str">
        <f t="array" ref="D22">IF(A22="","",IFNA(INDEX('Growth inputs'!$R$6:$R$55,MATCH(A22,'Growth inputs'!$A$6:$A$55,0)),"n.a."))</f>
        <v>US GAAP</v>
      </c>
      <c r="E22" s="93" t="str">
        <f t="array" ref="E22">IF(A22="","",IFNA(INDEX('Growth inputs'!$D$6:$D$55,MATCH(A22,'Growth inputs'!$A$6:$A$55,0)),"n.a."))</f>
        <v>Adjusted</v>
      </c>
      <c r="F22" s="100" t="str">
        <f t="array" ref="F22">IF(A22="","",IF(COUNTIF('Growth inputs'!$A$6:$A$55,A22)&lt;&gt;1,"n.a.",IF(AND(COUNT(IFNA(INDEX('Growth inputs'!$F$6:$F$55,MATCH(A22,'Growth inputs'!$A$6:$A$55,0)),"n.a."),IFNA(INDEX('Growth inputs'!$H$6:$H$55,MATCH(A22,'Growth inputs'!$A$6:$A$55,0)),"n.a."))=2,IFNA(INDEX('Growth inputs'!$F$6:$F$55,MATCH(A22,'Growth inputs'!$A$6:$A$55,0)),"n.a.")&gt;0,IFNA(INDEX('Growth inputs'!$H$6:$H$55,MATCH(A22,'Growth inputs'!$A$6:$A$55,0)),"n.a.")&gt;0,IFNA(INDEX('Growth inputs'!$D$6:$D$55,MATCH(A22,'Growth inputs'!$A$6:$A$55,0)),"n.a.")=IFNA(INDEX('Growth inputs'!$Z$6:$Z$55,MATCH(A22,'Growth inputs'!$A$6:$A$55,0)),"n.a."),IFNA(INDEX('Growth inputs'!$AB$6:$AB$55,MATCH(A22,'Growth inputs'!$A$6:$A$55,0)),"n.a.")="Yes"),(IFNA(INDEX('Growth inputs'!$F$6:$F$55,MATCH(A22,'Growth inputs'!$A$6:$A$55,0)),"n.a.")/IFNA(INDEX('Growth inputs'!$H$6:$H$55,MATCH(A22,'Growth inputs'!$A$6:$A$55,0)),"n.a."))^(1/3)-1,"n.a.")))</f>
        <v>n.a.</v>
      </c>
      <c r="G22" s="100">
        <f t="array" ref="G22">IF(A22="","",IF(COUNTIF('Growth inputs'!$A$6:$A$55,A22)&lt;&gt;1,"n.a.",IF(AND(COUNT(IFNA(INDEX('Growth inputs'!$K$6:$K$55,MATCH(A22,'Growth inputs'!$A$6:$A$55,0)),"n.a."),IFNA(INDEX('Growth inputs'!$L$6:$L$55,MATCH(A22,'Growth inputs'!$A$6:$A$55,0)),"n.a."),IFNA(INDEX('Growth inputs'!$F$6:$F$55,MATCH(A22,'Growth inputs'!$A$6:$A$55,0)),"n.a."))=3,IFNA(INDEX('Growth inputs'!$F$6:$F$55,MATCH(A22,'Growth inputs'!$A$6:$A$55,0)),"n.a.")&gt;0,IFNA(INDEX('Growth inputs'!$K$6:$K$55,MATCH(A22,'Growth inputs'!$A$6:$A$55,0)),"n.a.")&lt;=IFNA(INDEX('Growth inputs'!$L$6:$L$55,MATCH(A22,'Growth inputs'!$A$6:$A$55,0)),"n.a."),IFNA(INDEX('Growth inputs'!$D$6:$D$55,MATCH(A22,'Growth inputs'!$A$6:$A$55,0)),"n.a.")=IFNA(INDEX('Growth inputs'!$Y$6:$Y$55,MATCH(A22,'Growth inputs'!$A$6:$A$55,0)),"n.a."),IFNA(INDEX('Growth inputs'!$N$6:$N$55,MATCH(A22,'Growth inputs'!$A$6:$A$55,0)),"n.a.")&lt;&gt;"",IFNA(INDEX('Growth inputs'!$P$6:$P$55,MATCH(A22,'Growth inputs'!$A$6:$A$55,0)),"n.a.")&lt;&gt;"",ISNUMBER(IFNA(INDEX('Growth inputs'!$M$6:$M$55,MATCH(A22,'Growth inputs'!$A$6:$A$55,0)),"n.a.")),IFNA(INDEX('Growth inputs'!$M$6:$M$55,MATCH(A22,'Growth inputs'!$A$6:$A$55,0)),"n.a.")&lt;=Rules!$B$6,ISNUMBER(IFNA(INDEX('Growth inputs'!$I$6:$I$55,MATCH(A22,'Growth inputs'!$A$6:$A$55,0)),"n.a.")),IFNA(INDEX('Growth inputs'!$I$6:$I$55,MATCH(A22,'Growth inputs'!$A$6:$A$55,0)),"n.a.")&lt;=Rules!$B$6),AVERAGE(IFNA(INDEX('Growth inputs'!$K$6:$K$55,MATCH(A22,'Growth inputs'!$A$6:$A$55,0)),"n.a."),IFNA(INDEX('Growth inputs'!$L$6:$L$55,MATCH(A22,'Growth inputs'!$A$6:$A$55,0)),"n.a."))/IFNA(INDEX('Growth inputs'!$F$6:$F$55,MATCH(A22,'Growth inputs'!$A$6:$A$55,0)),"n.a.")-1,"n.a.")))</f>
        <v>0.0498687664</v>
      </c>
      <c r="H22" s="101" t="str">
        <f t="shared" si="1"/>
        <v>n.a.</v>
      </c>
      <c r="I22" s="101" t="str">
        <f t="shared" si="2"/>
        <v>n.a.</v>
      </c>
      <c r="J22" s="101" t="str">
        <f t="shared" si="3"/>
        <v>n.a.</v>
      </c>
      <c r="K22" s="93">
        <f t="shared" si="4"/>
        <v>0</v>
      </c>
      <c r="L22" s="93" t="str">
        <f t="array" ref="L22">IF(A22="","",IF(Q22&lt;&gt;1,IFNA(INDEX('Growth inputs'!$X$6:$X$55,MATCH(A22,'Growth inputs'!$A$6:$A$55,0)),"n.a."),IF($B$9&lt;&gt;"Ready",$B$9,IF(K22&lt;$B$5,"Too few comparable growth records","Ready"))))</f>
        <v>Outside selected/approved universe</v>
      </c>
      <c r="M22" s="104" t="str">
        <f t="array" ref="M22">IF(A22="","",IFNA(INDEX('Growth inputs'!$J$6:$J$55,MATCH(A22,'Growth inputs'!$A$6:$A$55,0)),"n.a."))</f>
        <v/>
      </c>
      <c r="N22" s="93">
        <f t="array" ref="N22">IF(A22="","",IF(ISNUMBER(G22),100*(IFNA(INDEX('Growth inputs'!$L$6:$L$55,MATCH(A22,'Growth inputs'!$A$6:$A$55,0)),"n.a.")-IFNA(INDEX('Growth inputs'!$K$6:$K$55,MATCH(A22,'Growth inputs'!$A$6:$A$55,0)),"n.a."))/IFNA(INDEX('Growth inputs'!$F$6:$F$55,MATCH(A22,'Growth inputs'!$A$6:$A$55,0)),"n.a."),"n.a."))</f>
        <v>3.499562555</v>
      </c>
      <c r="O22" s="100" t="str">
        <f t="array" ref="O22">IF(A22="","",IF(AND(ISNUMBER(G22),ISNUMBER(IFNA(INDEX('Growth inputs'!$T$6:$T$55,MATCH(A22,'Growth inputs'!$A$6:$A$55,0)),"n.a.")),IFNA(INDEX('Growth inputs'!$U$6:$U$55,MATCH(A22,'Growth inputs'!$A$6:$A$55,0)),"n.a.")&lt;&gt;""),G22-IFNA(INDEX('Growth inputs'!$T$6:$T$55,MATCH(A22,'Growth inputs'!$A$6:$A$55,0)),"n.a."),"n.a."))</f>
        <v>n.a.</v>
      </c>
      <c r="P22" s="93" t="str">
        <f t="shared" si="5"/>
        <v>No sourced bias estimate</v>
      </c>
      <c r="Q22" s="93">
        <f t="array" ref="Q22">IF(A22="",0,IFERROR(IF(AND(COUNTIF('Growth inputs'!$A$6:$A$55,A22)=1,IFNA(INDEX('Growth inputs'!$W$6:$W$55,MATCH(A22,'Growth inputs'!$A$6:$A$55,0)),"n.a.")=1,COUNT(F22:G22)=2),1,0),0))</f>
        <v>0</v>
      </c>
      <c r="R22" s="104">
        <f t="array" ref="R22">IF(A22="","",IFNA(INDEX('Growth inputs'!$E$6:$E$55,MATCH(A22,'Growth inputs'!$A$6:$A$55,0)),"n.a."))</f>
        <v>46022</v>
      </c>
    </row>
    <row r="23">
      <c r="A23" s="93" t="str">
        <f>IF(Companies!A14="","",Companies!A14)</f>
        <v>US-AEP</v>
      </c>
      <c r="B23" s="93" t="str">
        <f>IF(A23="","",Companies!C14)</f>
        <v>American Electric Power</v>
      </c>
      <c r="C23" s="93" t="str">
        <f t="array" ref="C23">IF(A23="","",IFNA(INDEX('Growth inputs'!$C$6:$C$55,MATCH(A23,'Growth inputs'!$A$6:$A$55,0)),"n.a."))</f>
        <v>Regulated electric utilities; fuel pass-through comparability</v>
      </c>
      <c r="D23" s="93" t="str">
        <f t="array" ref="D23">IF(A23="","",IFNA(INDEX('Growth inputs'!$R$6:$R$55,MATCH(A23,'Growth inputs'!$A$6:$A$55,0)),"n.a."))</f>
        <v>US GAAP</v>
      </c>
      <c r="E23" s="93" t="str">
        <f t="array" ref="E23">IF(A23="","",IFNA(INDEX('Growth inputs'!$D$6:$D$55,MATCH(A23,'Growth inputs'!$A$6:$A$55,0)),"n.a."))</f>
        <v>Operating</v>
      </c>
      <c r="F23" s="100" t="str">
        <f t="array" ref="F23">IF(A23="","",IF(COUNTIF('Growth inputs'!$A$6:$A$55,A23)&lt;&gt;1,"n.a.",IF(AND(COUNT(IFNA(INDEX('Growth inputs'!$F$6:$F$55,MATCH(A23,'Growth inputs'!$A$6:$A$55,0)),"n.a."),IFNA(INDEX('Growth inputs'!$H$6:$H$55,MATCH(A23,'Growth inputs'!$A$6:$A$55,0)),"n.a."))=2,IFNA(INDEX('Growth inputs'!$F$6:$F$55,MATCH(A23,'Growth inputs'!$A$6:$A$55,0)),"n.a.")&gt;0,IFNA(INDEX('Growth inputs'!$H$6:$H$55,MATCH(A23,'Growth inputs'!$A$6:$A$55,0)),"n.a.")&gt;0,IFNA(INDEX('Growth inputs'!$D$6:$D$55,MATCH(A23,'Growth inputs'!$A$6:$A$55,0)),"n.a.")=IFNA(INDEX('Growth inputs'!$Z$6:$Z$55,MATCH(A23,'Growth inputs'!$A$6:$A$55,0)),"n.a."),IFNA(INDEX('Growth inputs'!$AB$6:$AB$55,MATCH(A23,'Growth inputs'!$A$6:$A$55,0)),"n.a.")="Yes"),(IFNA(INDEX('Growth inputs'!$F$6:$F$55,MATCH(A23,'Growth inputs'!$A$6:$A$55,0)),"n.a.")/IFNA(INDEX('Growth inputs'!$H$6:$H$55,MATCH(A23,'Growth inputs'!$A$6:$A$55,0)),"n.a."))^(1/3)-1,"n.a.")))</f>
        <v>n.a.</v>
      </c>
      <c r="G23" s="100">
        <f t="array" ref="G23">IF(A23="","",IF(COUNTIF('Growth inputs'!$A$6:$A$55,A23)&lt;&gt;1,"n.a.",IF(AND(COUNT(IFNA(INDEX('Growth inputs'!$K$6:$K$55,MATCH(A23,'Growth inputs'!$A$6:$A$55,0)),"n.a."),IFNA(INDEX('Growth inputs'!$L$6:$L$55,MATCH(A23,'Growth inputs'!$A$6:$A$55,0)),"n.a."),IFNA(INDEX('Growth inputs'!$F$6:$F$55,MATCH(A23,'Growth inputs'!$A$6:$A$55,0)),"n.a."))=3,IFNA(INDEX('Growth inputs'!$F$6:$F$55,MATCH(A23,'Growth inputs'!$A$6:$A$55,0)),"n.a.")&gt;0,IFNA(INDEX('Growth inputs'!$K$6:$K$55,MATCH(A23,'Growth inputs'!$A$6:$A$55,0)),"n.a.")&lt;=IFNA(INDEX('Growth inputs'!$L$6:$L$55,MATCH(A23,'Growth inputs'!$A$6:$A$55,0)),"n.a."),IFNA(INDEX('Growth inputs'!$D$6:$D$55,MATCH(A23,'Growth inputs'!$A$6:$A$55,0)),"n.a.")=IFNA(INDEX('Growth inputs'!$Y$6:$Y$55,MATCH(A23,'Growth inputs'!$A$6:$A$55,0)),"n.a."),IFNA(INDEX('Growth inputs'!$N$6:$N$55,MATCH(A23,'Growth inputs'!$A$6:$A$55,0)),"n.a.")&lt;&gt;"",IFNA(INDEX('Growth inputs'!$P$6:$P$55,MATCH(A23,'Growth inputs'!$A$6:$A$55,0)),"n.a.")&lt;&gt;"",ISNUMBER(IFNA(INDEX('Growth inputs'!$M$6:$M$55,MATCH(A23,'Growth inputs'!$A$6:$A$55,0)),"n.a.")),IFNA(INDEX('Growth inputs'!$M$6:$M$55,MATCH(A23,'Growth inputs'!$A$6:$A$55,0)),"n.a.")&lt;=Rules!$B$6,ISNUMBER(IFNA(INDEX('Growth inputs'!$I$6:$I$55,MATCH(A23,'Growth inputs'!$A$6:$A$55,0)),"n.a.")),IFNA(INDEX('Growth inputs'!$I$6:$I$55,MATCH(A23,'Growth inputs'!$A$6:$A$55,0)),"n.a.")&lt;=Rules!$B$6),AVERAGE(IFNA(INDEX('Growth inputs'!$K$6:$K$55,MATCH(A23,'Growth inputs'!$A$6:$A$55,0)),"n.a."),IFNA(INDEX('Growth inputs'!$L$6:$L$55,MATCH(A23,'Growth inputs'!$A$6:$A$55,0)),"n.a."))/IFNA(INDEX('Growth inputs'!$F$6:$F$55,MATCH(A23,'Growth inputs'!$A$6:$A$55,0)),"n.a.")-1,"n.a.")))</f>
        <v>0.07202680067</v>
      </c>
      <c r="H23" s="101" t="str">
        <f t="shared" si="1"/>
        <v>n.a.</v>
      </c>
      <c r="I23" s="101" t="str">
        <f t="shared" si="2"/>
        <v>n.a.</v>
      </c>
      <c r="J23" s="101" t="str">
        <f t="shared" si="3"/>
        <v>n.a.</v>
      </c>
      <c r="K23" s="93">
        <f t="shared" si="4"/>
        <v>0</v>
      </c>
      <c r="L23" s="93" t="str">
        <f t="array" ref="L23">IF(A23="","",IF(Q23&lt;&gt;1,IFNA(INDEX('Growth inputs'!$X$6:$X$55,MATCH(A23,'Growth inputs'!$A$6:$A$55,0)),"n.a."),IF($B$9&lt;&gt;"Ready",$B$9,IF(K23&lt;$B$5,"Too few comparable growth records","Ready"))))</f>
        <v>Outside selected/approved universe</v>
      </c>
      <c r="M23" s="104" t="str">
        <f t="array" ref="M23">IF(A23="","",IFNA(INDEX('Growth inputs'!$J$6:$J$55,MATCH(A23,'Growth inputs'!$A$6:$A$55,0)),"n.a."))</f>
        <v/>
      </c>
      <c r="N23" s="93">
        <f t="array" ref="N23">IF(A23="","",IF(ISNUMBER(G23),100*(IFNA(INDEX('Growth inputs'!$L$6:$L$55,MATCH(A23,'Growth inputs'!$A$6:$A$55,0)),"n.a.")-IFNA(INDEX('Growth inputs'!$K$6:$K$55,MATCH(A23,'Growth inputs'!$A$6:$A$55,0)),"n.a."))/IFNA(INDEX('Growth inputs'!$F$6:$F$55,MATCH(A23,'Growth inputs'!$A$6:$A$55,0)),"n.a."),"n.a."))</f>
        <v>5.025125628</v>
      </c>
      <c r="O23" s="100" t="str">
        <f t="array" ref="O23">IF(A23="","",IF(AND(ISNUMBER(G23),ISNUMBER(IFNA(INDEX('Growth inputs'!$T$6:$T$55,MATCH(A23,'Growth inputs'!$A$6:$A$55,0)),"n.a.")),IFNA(INDEX('Growth inputs'!$U$6:$U$55,MATCH(A23,'Growth inputs'!$A$6:$A$55,0)),"n.a.")&lt;&gt;""),G23-IFNA(INDEX('Growth inputs'!$T$6:$T$55,MATCH(A23,'Growth inputs'!$A$6:$A$55,0)),"n.a."),"n.a."))</f>
        <v>n.a.</v>
      </c>
      <c r="P23" s="93" t="str">
        <f t="shared" si="5"/>
        <v>No sourced bias estimate</v>
      </c>
      <c r="Q23" s="93">
        <f t="array" ref="Q23">IF(A23="",0,IFERROR(IF(AND(COUNTIF('Growth inputs'!$A$6:$A$55,A23)=1,IFNA(INDEX('Growth inputs'!$W$6:$W$55,MATCH(A23,'Growth inputs'!$A$6:$A$55,0)),"n.a.")=1,COUNT(F23:G23)=2),1,0),0))</f>
        <v>0</v>
      </c>
      <c r="R23" s="104">
        <f t="array" ref="R23">IF(A23="","",IFNA(INDEX('Growth inputs'!$E$6:$E$55,MATCH(A23,'Growth inputs'!$A$6:$A$55,0)),"n.a."))</f>
        <v>46022</v>
      </c>
    </row>
    <row r="24">
      <c r="A24" s="93" t="str">
        <f>IF(Companies!A15="","",Companies!A15)</f>
        <v>US-JPM</v>
      </c>
      <c r="B24" s="93" t="str">
        <f>IF(A24="","",Companies!C15)</f>
        <v>JPMorgan Chase</v>
      </c>
      <c r="C24" s="93" t="str">
        <f t="array" ref="C24">IF(A24="","",IFNA(INDEX('Growth inputs'!$C$6:$C$55,MATCH(A24,'Growth inputs'!$A$6:$A$55,0)),"n.a."))</f>
        <v>US diversified banks; bank-specific profile required</v>
      </c>
      <c r="D24" s="93" t="str">
        <f t="array" ref="D24">IF(A24="","",IFNA(INDEX('Growth inputs'!$R$6:$R$55,MATCH(A24,'Growth inputs'!$A$6:$A$55,0)),"n.a."))</f>
        <v>US GAAP</v>
      </c>
      <c r="E24" s="93" t="str">
        <f t="array" ref="E24">IF(A24="","",IFNA(INDEX('Growth inputs'!$D$6:$D$55,MATCH(A24,'Growth inputs'!$A$6:$A$55,0)),"n.a."))</f>
        <v>Reported</v>
      </c>
      <c r="F24" s="100" t="str">
        <f t="array" ref="F24">IF(A24="","",IF(COUNTIF('Growth inputs'!$A$6:$A$55,A24)&lt;&gt;1,"n.a.",IF(AND(COUNT(IFNA(INDEX('Growth inputs'!$F$6:$F$55,MATCH(A24,'Growth inputs'!$A$6:$A$55,0)),"n.a."),IFNA(INDEX('Growth inputs'!$H$6:$H$55,MATCH(A24,'Growth inputs'!$A$6:$A$55,0)),"n.a."))=2,IFNA(INDEX('Growth inputs'!$F$6:$F$55,MATCH(A24,'Growth inputs'!$A$6:$A$55,0)),"n.a.")&gt;0,IFNA(INDEX('Growth inputs'!$H$6:$H$55,MATCH(A24,'Growth inputs'!$A$6:$A$55,0)),"n.a.")&gt;0,IFNA(INDEX('Growth inputs'!$D$6:$D$55,MATCH(A24,'Growth inputs'!$A$6:$A$55,0)),"n.a.")=IFNA(INDEX('Growth inputs'!$Z$6:$Z$55,MATCH(A24,'Growth inputs'!$A$6:$A$55,0)),"n.a."),IFNA(INDEX('Growth inputs'!$AB$6:$AB$55,MATCH(A24,'Growth inputs'!$A$6:$A$55,0)),"n.a.")="Yes"),(IFNA(INDEX('Growth inputs'!$F$6:$F$55,MATCH(A24,'Growth inputs'!$A$6:$A$55,0)),"n.a.")/IFNA(INDEX('Growth inputs'!$H$6:$H$55,MATCH(A24,'Growth inputs'!$A$6:$A$55,0)),"n.a."))^(1/3)-1,"n.a.")))</f>
        <v>n.a.</v>
      </c>
      <c r="G24" s="100" t="str">
        <f t="array" ref="G24">IF(A24="","",IF(COUNTIF('Growth inputs'!$A$6:$A$55,A24)&lt;&gt;1,"n.a.",IF(AND(COUNT(IFNA(INDEX('Growth inputs'!$K$6:$K$55,MATCH(A24,'Growth inputs'!$A$6:$A$55,0)),"n.a."),IFNA(INDEX('Growth inputs'!$L$6:$L$55,MATCH(A24,'Growth inputs'!$A$6:$A$55,0)),"n.a."),IFNA(INDEX('Growth inputs'!$F$6:$F$55,MATCH(A24,'Growth inputs'!$A$6:$A$55,0)),"n.a."))=3,IFNA(INDEX('Growth inputs'!$F$6:$F$55,MATCH(A24,'Growth inputs'!$A$6:$A$55,0)),"n.a.")&gt;0,IFNA(INDEX('Growth inputs'!$K$6:$K$55,MATCH(A24,'Growth inputs'!$A$6:$A$55,0)),"n.a.")&lt;=IFNA(INDEX('Growth inputs'!$L$6:$L$55,MATCH(A24,'Growth inputs'!$A$6:$A$55,0)),"n.a."),IFNA(INDEX('Growth inputs'!$D$6:$D$55,MATCH(A24,'Growth inputs'!$A$6:$A$55,0)),"n.a.")=IFNA(INDEX('Growth inputs'!$Y$6:$Y$55,MATCH(A24,'Growth inputs'!$A$6:$A$55,0)),"n.a."),IFNA(INDEX('Growth inputs'!$N$6:$N$55,MATCH(A24,'Growth inputs'!$A$6:$A$55,0)),"n.a.")&lt;&gt;"",IFNA(INDEX('Growth inputs'!$P$6:$P$55,MATCH(A24,'Growth inputs'!$A$6:$A$55,0)),"n.a.")&lt;&gt;"",ISNUMBER(IFNA(INDEX('Growth inputs'!$M$6:$M$55,MATCH(A24,'Growth inputs'!$A$6:$A$55,0)),"n.a.")),IFNA(INDEX('Growth inputs'!$M$6:$M$55,MATCH(A24,'Growth inputs'!$A$6:$A$55,0)),"n.a.")&lt;=Rules!$B$6,ISNUMBER(IFNA(INDEX('Growth inputs'!$I$6:$I$55,MATCH(A24,'Growth inputs'!$A$6:$A$55,0)),"n.a.")),IFNA(INDEX('Growth inputs'!$I$6:$I$55,MATCH(A24,'Growth inputs'!$A$6:$A$55,0)),"n.a.")&lt;=Rules!$B$6),AVERAGE(IFNA(INDEX('Growth inputs'!$K$6:$K$55,MATCH(A24,'Growth inputs'!$A$6:$A$55,0)),"n.a."),IFNA(INDEX('Growth inputs'!$L$6:$L$55,MATCH(A24,'Growth inputs'!$A$6:$A$55,0)),"n.a."))/IFNA(INDEX('Growth inputs'!$F$6:$F$55,MATCH(A24,'Growth inputs'!$A$6:$A$55,0)),"n.a.")-1,"n.a.")))</f>
        <v>n.a.</v>
      </c>
      <c r="H24" s="101" t="str">
        <f t="shared" si="1"/>
        <v>n.a.</v>
      </c>
      <c r="I24" s="101" t="str">
        <f t="shared" si="2"/>
        <v>n.a.</v>
      </c>
      <c r="J24" s="101" t="str">
        <f t="shared" si="3"/>
        <v>n.a.</v>
      </c>
      <c r="K24" s="93">
        <f t="shared" si="4"/>
        <v>0</v>
      </c>
      <c r="L24" s="93" t="str">
        <f t="array" ref="L24">IF(A24="","",IF(Q24&lt;&gt;1,IFNA(INDEX('Growth inputs'!$X$6:$X$55,MATCH(A24,'Growth inputs'!$A$6:$A$55,0)),"n.a."),IF($B$9&lt;&gt;"Ready",$B$9,IF(K24&lt;$B$5,"Too few comparable growth records","Ready"))))</f>
        <v>Outside selected/approved universe</v>
      </c>
      <c r="M24" s="104" t="str">
        <f t="array" ref="M24">IF(A24="","",IFNA(INDEX('Growth inputs'!$J$6:$J$55,MATCH(A24,'Growth inputs'!$A$6:$A$55,0)),"n.a."))</f>
        <v/>
      </c>
      <c r="N24" s="93" t="str">
        <f t="array" ref="N24">IF(A24="","",IF(ISNUMBER(G24),100*(IFNA(INDEX('Growth inputs'!$L$6:$L$55,MATCH(A24,'Growth inputs'!$A$6:$A$55,0)),"n.a.")-IFNA(INDEX('Growth inputs'!$K$6:$K$55,MATCH(A24,'Growth inputs'!$A$6:$A$55,0)),"n.a."))/IFNA(INDEX('Growth inputs'!$F$6:$F$55,MATCH(A24,'Growth inputs'!$A$6:$A$55,0)),"n.a."),"n.a."))</f>
        <v>n.a.</v>
      </c>
      <c r="O24" s="100" t="str">
        <f t="array" ref="O24">IF(A24="","",IF(AND(ISNUMBER(G24),ISNUMBER(IFNA(INDEX('Growth inputs'!$T$6:$T$55,MATCH(A24,'Growth inputs'!$A$6:$A$55,0)),"n.a.")),IFNA(INDEX('Growth inputs'!$U$6:$U$55,MATCH(A24,'Growth inputs'!$A$6:$A$55,0)),"n.a.")&lt;&gt;""),G24-IFNA(INDEX('Growth inputs'!$T$6:$T$55,MATCH(A24,'Growth inputs'!$A$6:$A$55,0)),"n.a."),"n.a."))</f>
        <v>n.a.</v>
      </c>
      <c r="P24" s="93" t="str">
        <f t="shared" si="5"/>
        <v>No sourced bias estimate</v>
      </c>
      <c r="Q24" s="93">
        <f t="array" ref="Q24">IF(A24="",0,IFERROR(IF(AND(COUNTIF('Growth inputs'!$A$6:$A$55,A24)=1,IFNA(INDEX('Growth inputs'!$W$6:$W$55,MATCH(A24,'Growth inputs'!$A$6:$A$55,0)),"n.a.")=1,COUNT(F24:G24)=2),1,0),0))</f>
        <v>0</v>
      </c>
      <c r="R24" s="104">
        <f t="array" ref="R24">IF(A24="","",IFNA(INDEX('Growth inputs'!$E$6:$E$55,MATCH(A24,'Growth inputs'!$A$6:$A$55,0)),"n.a."))</f>
        <v>46022</v>
      </c>
    </row>
    <row r="25">
      <c r="A25" s="93" t="str">
        <f>IF(Companies!A16="","",Companies!A16)</f>
        <v/>
      </c>
      <c r="B25" s="93" t="str">
        <f>IF(A25="","",Companies!C16)</f>
        <v/>
      </c>
      <c r="C25" s="93" t="str">
        <f t="array" ref="C25">IF(A25="","",IFNA(INDEX('Growth inputs'!$C$6:$C$55,MATCH(A25,'Growth inputs'!$A$6:$A$55,0)),"n.a."))</f>
        <v/>
      </c>
      <c r="D25" s="93" t="str">
        <f t="array" ref="D25">IF(A25="","",IFNA(INDEX('Growth inputs'!$R$6:$R$55,MATCH(A25,'Growth inputs'!$A$6:$A$55,0)),"n.a."))</f>
        <v/>
      </c>
      <c r="E25" s="93" t="str">
        <f t="array" ref="E25">IF(A25="","",IFNA(INDEX('Growth inputs'!$D$6:$D$55,MATCH(A25,'Growth inputs'!$A$6:$A$55,0)),"n.a."))</f>
        <v/>
      </c>
      <c r="F25" s="100" t="str">
        <f t="array" ref="F25">IF(A25="","",IF(COUNTIF('Growth inputs'!$A$6:$A$55,A25)&lt;&gt;1,"n.a.",IF(AND(COUNT(IFNA(INDEX('Growth inputs'!$F$6:$F$55,MATCH(A25,'Growth inputs'!$A$6:$A$55,0)),"n.a."),IFNA(INDEX('Growth inputs'!$H$6:$H$55,MATCH(A25,'Growth inputs'!$A$6:$A$55,0)),"n.a."))=2,IFNA(INDEX('Growth inputs'!$F$6:$F$55,MATCH(A25,'Growth inputs'!$A$6:$A$55,0)),"n.a.")&gt;0,IFNA(INDEX('Growth inputs'!$H$6:$H$55,MATCH(A25,'Growth inputs'!$A$6:$A$55,0)),"n.a.")&gt;0,IFNA(INDEX('Growth inputs'!$D$6:$D$55,MATCH(A25,'Growth inputs'!$A$6:$A$55,0)),"n.a.")=IFNA(INDEX('Growth inputs'!$Z$6:$Z$55,MATCH(A25,'Growth inputs'!$A$6:$A$55,0)),"n.a."),IFNA(INDEX('Growth inputs'!$AB$6:$AB$55,MATCH(A25,'Growth inputs'!$A$6:$A$55,0)),"n.a.")="Yes"),(IFNA(INDEX('Growth inputs'!$F$6:$F$55,MATCH(A25,'Growth inputs'!$A$6:$A$55,0)),"n.a.")/IFNA(INDEX('Growth inputs'!$H$6:$H$55,MATCH(A25,'Growth inputs'!$A$6:$A$55,0)),"n.a."))^(1/3)-1,"n.a.")))</f>
        <v/>
      </c>
      <c r="G25" s="100" t="str">
        <f t="array" ref="G25">IF(A25="","",IF(COUNTIF('Growth inputs'!$A$6:$A$55,A25)&lt;&gt;1,"n.a.",IF(AND(COUNT(IFNA(INDEX('Growth inputs'!$K$6:$K$55,MATCH(A25,'Growth inputs'!$A$6:$A$55,0)),"n.a."),IFNA(INDEX('Growth inputs'!$L$6:$L$55,MATCH(A25,'Growth inputs'!$A$6:$A$55,0)),"n.a."),IFNA(INDEX('Growth inputs'!$F$6:$F$55,MATCH(A25,'Growth inputs'!$A$6:$A$55,0)),"n.a."))=3,IFNA(INDEX('Growth inputs'!$F$6:$F$55,MATCH(A25,'Growth inputs'!$A$6:$A$55,0)),"n.a.")&gt;0,IFNA(INDEX('Growth inputs'!$K$6:$K$55,MATCH(A25,'Growth inputs'!$A$6:$A$55,0)),"n.a.")&lt;=IFNA(INDEX('Growth inputs'!$L$6:$L$55,MATCH(A25,'Growth inputs'!$A$6:$A$55,0)),"n.a."),IFNA(INDEX('Growth inputs'!$D$6:$D$55,MATCH(A25,'Growth inputs'!$A$6:$A$55,0)),"n.a.")=IFNA(INDEX('Growth inputs'!$Y$6:$Y$55,MATCH(A25,'Growth inputs'!$A$6:$A$55,0)),"n.a."),IFNA(INDEX('Growth inputs'!$N$6:$N$55,MATCH(A25,'Growth inputs'!$A$6:$A$55,0)),"n.a.")&lt;&gt;"",IFNA(INDEX('Growth inputs'!$P$6:$P$55,MATCH(A25,'Growth inputs'!$A$6:$A$55,0)),"n.a.")&lt;&gt;"",ISNUMBER(IFNA(INDEX('Growth inputs'!$M$6:$M$55,MATCH(A25,'Growth inputs'!$A$6:$A$55,0)),"n.a.")),IFNA(INDEX('Growth inputs'!$M$6:$M$55,MATCH(A25,'Growth inputs'!$A$6:$A$55,0)),"n.a.")&lt;=Rules!$B$6,ISNUMBER(IFNA(INDEX('Growth inputs'!$I$6:$I$55,MATCH(A25,'Growth inputs'!$A$6:$A$55,0)),"n.a.")),IFNA(INDEX('Growth inputs'!$I$6:$I$55,MATCH(A25,'Growth inputs'!$A$6:$A$55,0)),"n.a.")&lt;=Rules!$B$6),AVERAGE(IFNA(INDEX('Growth inputs'!$K$6:$K$55,MATCH(A25,'Growth inputs'!$A$6:$A$55,0)),"n.a."),IFNA(INDEX('Growth inputs'!$L$6:$L$55,MATCH(A25,'Growth inputs'!$A$6:$A$55,0)),"n.a."))/IFNA(INDEX('Growth inputs'!$F$6:$F$55,MATCH(A25,'Growth inputs'!$A$6:$A$55,0)),"n.a.")-1,"n.a.")))</f>
        <v/>
      </c>
      <c r="H25" s="101" t="str">
        <f t="shared" si="1"/>
        <v/>
      </c>
      <c r="I25" s="101" t="str">
        <f t="shared" si="2"/>
        <v/>
      </c>
      <c r="J25" s="101" t="str">
        <f t="shared" si="3"/>
        <v/>
      </c>
      <c r="K25" s="93" t="str">
        <f t="shared" si="4"/>
        <v/>
      </c>
      <c r="L25" s="93" t="str">
        <f t="array" ref="L25">IF(A25="","",IF(Q25&lt;&gt;1,IFNA(INDEX('Growth inputs'!$X$6:$X$55,MATCH(A25,'Growth inputs'!$A$6:$A$55,0)),"n.a."),IF($B$9&lt;&gt;"Ready",$B$9,IF(K25&lt;$B$5,"Too few comparable growth records","Ready"))))</f>
        <v/>
      </c>
      <c r="M25" s="104" t="str">
        <f t="array" ref="M25">IF(A25="","",IFNA(INDEX('Growth inputs'!$J$6:$J$55,MATCH(A25,'Growth inputs'!$A$6:$A$55,0)),"n.a."))</f>
        <v/>
      </c>
      <c r="N25" s="93" t="str">
        <f t="array" ref="N25">IF(A25="","",IF(ISNUMBER(G25),100*(IFNA(INDEX('Growth inputs'!$L$6:$L$55,MATCH(A25,'Growth inputs'!$A$6:$A$55,0)),"n.a.")-IFNA(INDEX('Growth inputs'!$K$6:$K$55,MATCH(A25,'Growth inputs'!$A$6:$A$55,0)),"n.a."))/IFNA(INDEX('Growth inputs'!$F$6:$F$55,MATCH(A25,'Growth inputs'!$A$6:$A$55,0)),"n.a."),"n.a."))</f>
        <v/>
      </c>
      <c r="O25" s="100" t="str">
        <f t="array" ref="O25">IF(A25="","",IF(AND(ISNUMBER(G25),ISNUMBER(IFNA(INDEX('Growth inputs'!$T$6:$T$55,MATCH(A25,'Growth inputs'!$A$6:$A$55,0)),"n.a.")),IFNA(INDEX('Growth inputs'!$U$6:$U$55,MATCH(A25,'Growth inputs'!$A$6:$A$55,0)),"n.a.")&lt;&gt;""),G25-IFNA(INDEX('Growth inputs'!$T$6:$T$55,MATCH(A25,'Growth inputs'!$A$6:$A$55,0)),"n.a."),"n.a."))</f>
        <v/>
      </c>
      <c r="P25" s="93" t="str">
        <f t="shared" si="5"/>
        <v/>
      </c>
      <c r="Q25" s="93">
        <f t="array" ref="Q25">IF(A25="",0,IFERROR(IF(AND(COUNTIF('Growth inputs'!$A$6:$A$55,A25)=1,IFNA(INDEX('Growth inputs'!$W$6:$W$55,MATCH(A25,'Growth inputs'!$A$6:$A$55,0)),"n.a.")=1,COUNT(F25:G25)=2),1,0),0))</f>
        <v>0</v>
      </c>
      <c r="R25" s="104" t="str">
        <f t="array" ref="R25">IF(A25="","",IFNA(INDEX('Growth inputs'!$E$6:$E$55,MATCH(A25,'Growth inputs'!$A$6:$A$55,0)),"n.a."))</f>
        <v/>
      </c>
    </row>
    <row r="26">
      <c r="A26" s="93" t="str">
        <f>IF(Companies!A17="","",Companies!A17)</f>
        <v/>
      </c>
      <c r="B26" s="93" t="str">
        <f>IF(A26="","",Companies!C17)</f>
        <v/>
      </c>
      <c r="C26" s="93" t="str">
        <f t="array" ref="C26">IF(A26="","",IFNA(INDEX('Growth inputs'!$C$6:$C$55,MATCH(A26,'Growth inputs'!$A$6:$A$55,0)),"n.a."))</f>
        <v/>
      </c>
      <c r="D26" s="93" t="str">
        <f t="array" ref="D26">IF(A26="","",IFNA(INDEX('Growth inputs'!$R$6:$R$55,MATCH(A26,'Growth inputs'!$A$6:$A$55,0)),"n.a."))</f>
        <v/>
      </c>
      <c r="E26" s="93" t="str">
        <f t="array" ref="E26">IF(A26="","",IFNA(INDEX('Growth inputs'!$D$6:$D$55,MATCH(A26,'Growth inputs'!$A$6:$A$55,0)),"n.a."))</f>
        <v/>
      </c>
      <c r="F26" s="100" t="str">
        <f t="array" ref="F26">IF(A26="","",IF(COUNTIF('Growth inputs'!$A$6:$A$55,A26)&lt;&gt;1,"n.a.",IF(AND(COUNT(IFNA(INDEX('Growth inputs'!$F$6:$F$55,MATCH(A26,'Growth inputs'!$A$6:$A$55,0)),"n.a."),IFNA(INDEX('Growth inputs'!$H$6:$H$55,MATCH(A26,'Growth inputs'!$A$6:$A$55,0)),"n.a."))=2,IFNA(INDEX('Growth inputs'!$F$6:$F$55,MATCH(A26,'Growth inputs'!$A$6:$A$55,0)),"n.a.")&gt;0,IFNA(INDEX('Growth inputs'!$H$6:$H$55,MATCH(A26,'Growth inputs'!$A$6:$A$55,0)),"n.a.")&gt;0,IFNA(INDEX('Growth inputs'!$D$6:$D$55,MATCH(A26,'Growth inputs'!$A$6:$A$55,0)),"n.a.")=IFNA(INDEX('Growth inputs'!$Z$6:$Z$55,MATCH(A26,'Growth inputs'!$A$6:$A$55,0)),"n.a."),IFNA(INDEX('Growth inputs'!$AB$6:$AB$55,MATCH(A26,'Growth inputs'!$A$6:$A$55,0)),"n.a.")="Yes"),(IFNA(INDEX('Growth inputs'!$F$6:$F$55,MATCH(A26,'Growth inputs'!$A$6:$A$55,0)),"n.a.")/IFNA(INDEX('Growth inputs'!$H$6:$H$55,MATCH(A26,'Growth inputs'!$A$6:$A$55,0)),"n.a."))^(1/3)-1,"n.a.")))</f>
        <v/>
      </c>
      <c r="G26" s="100" t="str">
        <f t="array" ref="G26">IF(A26="","",IF(COUNTIF('Growth inputs'!$A$6:$A$55,A26)&lt;&gt;1,"n.a.",IF(AND(COUNT(IFNA(INDEX('Growth inputs'!$K$6:$K$55,MATCH(A26,'Growth inputs'!$A$6:$A$55,0)),"n.a."),IFNA(INDEX('Growth inputs'!$L$6:$L$55,MATCH(A26,'Growth inputs'!$A$6:$A$55,0)),"n.a."),IFNA(INDEX('Growth inputs'!$F$6:$F$55,MATCH(A26,'Growth inputs'!$A$6:$A$55,0)),"n.a."))=3,IFNA(INDEX('Growth inputs'!$F$6:$F$55,MATCH(A26,'Growth inputs'!$A$6:$A$55,0)),"n.a.")&gt;0,IFNA(INDEX('Growth inputs'!$K$6:$K$55,MATCH(A26,'Growth inputs'!$A$6:$A$55,0)),"n.a.")&lt;=IFNA(INDEX('Growth inputs'!$L$6:$L$55,MATCH(A26,'Growth inputs'!$A$6:$A$55,0)),"n.a."),IFNA(INDEX('Growth inputs'!$D$6:$D$55,MATCH(A26,'Growth inputs'!$A$6:$A$55,0)),"n.a.")=IFNA(INDEX('Growth inputs'!$Y$6:$Y$55,MATCH(A26,'Growth inputs'!$A$6:$A$55,0)),"n.a."),IFNA(INDEX('Growth inputs'!$N$6:$N$55,MATCH(A26,'Growth inputs'!$A$6:$A$55,0)),"n.a.")&lt;&gt;"",IFNA(INDEX('Growth inputs'!$P$6:$P$55,MATCH(A26,'Growth inputs'!$A$6:$A$55,0)),"n.a.")&lt;&gt;"",ISNUMBER(IFNA(INDEX('Growth inputs'!$M$6:$M$55,MATCH(A26,'Growth inputs'!$A$6:$A$55,0)),"n.a.")),IFNA(INDEX('Growth inputs'!$M$6:$M$55,MATCH(A26,'Growth inputs'!$A$6:$A$55,0)),"n.a.")&lt;=Rules!$B$6,ISNUMBER(IFNA(INDEX('Growth inputs'!$I$6:$I$55,MATCH(A26,'Growth inputs'!$A$6:$A$55,0)),"n.a.")),IFNA(INDEX('Growth inputs'!$I$6:$I$55,MATCH(A26,'Growth inputs'!$A$6:$A$55,0)),"n.a.")&lt;=Rules!$B$6),AVERAGE(IFNA(INDEX('Growth inputs'!$K$6:$K$55,MATCH(A26,'Growth inputs'!$A$6:$A$55,0)),"n.a."),IFNA(INDEX('Growth inputs'!$L$6:$L$55,MATCH(A26,'Growth inputs'!$A$6:$A$55,0)),"n.a."))/IFNA(INDEX('Growth inputs'!$F$6:$F$55,MATCH(A26,'Growth inputs'!$A$6:$A$55,0)),"n.a.")-1,"n.a.")))</f>
        <v/>
      </c>
      <c r="H26" s="101" t="str">
        <f t="shared" si="1"/>
        <v/>
      </c>
      <c r="I26" s="101" t="str">
        <f t="shared" si="2"/>
        <v/>
      </c>
      <c r="J26" s="101" t="str">
        <f t="shared" si="3"/>
        <v/>
      </c>
      <c r="K26" s="93" t="str">
        <f t="shared" si="4"/>
        <v/>
      </c>
      <c r="L26" s="93" t="str">
        <f t="array" ref="L26">IF(A26="","",IF(Q26&lt;&gt;1,IFNA(INDEX('Growth inputs'!$X$6:$X$55,MATCH(A26,'Growth inputs'!$A$6:$A$55,0)),"n.a."),IF($B$9&lt;&gt;"Ready",$B$9,IF(K26&lt;$B$5,"Too few comparable growth records","Ready"))))</f>
        <v/>
      </c>
      <c r="M26" s="104" t="str">
        <f t="array" ref="M26">IF(A26="","",IFNA(INDEX('Growth inputs'!$J$6:$J$55,MATCH(A26,'Growth inputs'!$A$6:$A$55,0)),"n.a."))</f>
        <v/>
      </c>
      <c r="N26" s="93" t="str">
        <f t="array" ref="N26">IF(A26="","",IF(ISNUMBER(G26),100*(IFNA(INDEX('Growth inputs'!$L$6:$L$55,MATCH(A26,'Growth inputs'!$A$6:$A$55,0)),"n.a.")-IFNA(INDEX('Growth inputs'!$K$6:$K$55,MATCH(A26,'Growth inputs'!$A$6:$A$55,0)),"n.a."))/IFNA(INDEX('Growth inputs'!$F$6:$F$55,MATCH(A26,'Growth inputs'!$A$6:$A$55,0)),"n.a."),"n.a."))</f>
        <v/>
      </c>
      <c r="O26" s="100" t="str">
        <f t="array" ref="O26">IF(A26="","",IF(AND(ISNUMBER(G26),ISNUMBER(IFNA(INDEX('Growth inputs'!$T$6:$T$55,MATCH(A26,'Growth inputs'!$A$6:$A$55,0)),"n.a.")),IFNA(INDEX('Growth inputs'!$U$6:$U$55,MATCH(A26,'Growth inputs'!$A$6:$A$55,0)),"n.a.")&lt;&gt;""),G26-IFNA(INDEX('Growth inputs'!$T$6:$T$55,MATCH(A26,'Growth inputs'!$A$6:$A$55,0)),"n.a."),"n.a."))</f>
        <v/>
      </c>
      <c r="P26" s="93" t="str">
        <f t="shared" si="5"/>
        <v/>
      </c>
      <c r="Q26" s="93">
        <f t="array" ref="Q26">IF(A26="",0,IFERROR(IF(AND(COUNTIF('Growth inputs'!$A$6:$A$55,A26)=1,IFNA(INDEX('Growth inputs'!$W$6:$W$55,MATCH(A26,'Growth inputs'!$A$6:$A$55,0)),"n.a.")=1,COUNT(F26:G26)=2),1,0),0))</f>
        <v>0</v>
      </c>
      <c r="R26" s="104" t="str">
        <f t="array" ref="R26">IF(A26="","",IFNA(INDEX('Growth inputs'!$E$6:$E$55,MATCH(A26,'Growth inputs'!$A$6:$A$55,0)),"n.a."))</f>
        <v/>
      </c>
    </row>
    <row r="27">
      <c r="A27" s="93" t="str">
        <f>IF(Companies!A18="","",Companies!A18)</f>
        <v/>
      </c>
      <c r="B27" s="93" t="str">
        <f>IF(A27="","",Companies!C18)</f>
        <v/>
      </c>
      <c r="C27" s="93" t="str">
        <f t="array" ref="C27">IF(A27="","",IFNA(INDEX('Growth inputs'!$C$6:$C$55,MATCH(A27,'Growth inputs'!$A$6:$A$55,0)),"n.a."))</f>
        <v/>
      </c>
      <c r="D27" s="93" t="str">
        <f t="array" ref="D27">IF(A27="","",IFNA(INDEX('Growth inputs'!$R$6:$R$55,MATCH(A27,'Growth inputs'!$A$6:$A$55,0)),"n.a."))</f>
        <v/>
      </c>
      <c r="E27" s="93" t="str">
        <f t="array" ref="E27">IF(A27="","",IFNA(INDEX('Growth inputs'!$D$6:$D$55,MATCH(A27,'Growth inputs'!$A$6:$A$55,0)),"n.a."))</f>
        <v/>
      </c>
      <c r="F27" s="100" t="str">
        <f t="array" ref="F27">IF(A27="","",IF(COUNTIF('Growth inputs'!$A$6:$A$55,A27)&lt;&gt;1,"n.a.",IF(AND(COUNT(IFNA(INDEX('Growth inputs'!$F$6:$F$55,MATCH(A27,'Growth inputs'!$A$6:$A$55,0)),"n.a."),IFNA(INDEX('Growth inputs'!$H$6:$H$55,MATCH(A27,'Growth inputs'!$A$6:$A$55,0)),"n.a."))=2,IFNA(INDEX('Growth inputs'!$F$6:$F$55,MATCH(A27,'Growth inputs'!$A$6:$A$55,0)),"n.a.")&gt;0,IFNA(INDEX('Growth inputs'!$H$6:$H$55,MATCH(A27,'Growth inputs'!$A$6:$A$55,0)),"n.a.")&gt;0,IFNA(INDEX('Growth inputs'!$D$6:$D$55,MATCH(A27,'Growth inputs'!$A$6:$A$55,0)),"n.a.")=IFNA(INDEX('Growth inputs'!$Z$6:$Z$55,MATCH(A27,'Growth inputs'!$A$6:$A$55,0)),"n.a."),IFNA(INDEX('Growth inputs'!$AB$6:$AB$55,MATCH(A27,'Growth inputs'!$A$6:$A$55,0)),"n.a.")="Yes"),(IFNA(INDEX('Growth inputs'!$F$6:$F$55,MATCH(A27,'Growth inputs'!$A$6:$A$55,0)),"n.a.")/IFNA(INDEX('Growth inputs'!$H$6:$H$55,MATCH(A27,'Growth inputs'!$A$6:$A$55,0)),"n.a."))^(1/3)-1,"n.a.")))</f>
        <v/>
      </c>
      <c r="G27" s="100" t="str">
        <f t="array" ref="G27">IF(A27="","",IF(COUNTIF('Growth inputs'!$A$6:$A$55,A27)&lt;&gt;1,"n.a.",IF(AND(COUNT(IFNA(INDEX('Growth inputs'!$K$6:$K$55,MATCH(A27,'Growth inputs'!$A$6:$A$55,0)),"n.a."),IFNA(INDEX('Growth inputs'!$L$6:$L$55,MATCH(A27,'Growth inputs'!$A$6:$A$55,0)),"n.a."),IFNA(INDEX('Growth inputs'!$F$6:$F$55,MATCH(A27,'Growth inputs'!$A$6:$A$55,0)),"n.a."))=3,IFNA(INDEX('Growth inputs'!$F$6:$F$55,MATCH(A27,'Growth inputs'!$A$6:$A$55,0)),"n.a.")&gt;0,IFNA(INDEX('Growth inputs'!$K$6:$K$55,MATCH(A27,'Growth inputs'!$A$6:$A$55,0)),"n.a.")&lt;=IFNA(INDEX('Growth inputs'!$L$6:$L$55,MATCH(A27,'Growth inputs'!$A$6:$A$55,0)),"n.a."),IFNA(INDEX('Growth inputs'!$D$6:$D$55,MATCH(A27,'Growth inputs'!$A$6:$A$55,0)),"n.a.")=IFNA(INDEX('Growth inputs'!$Y$6:$Y$55,MATCH(A27,'Growth inputs'!$A$6:$A$55,0)),"n.a."),IFNA(INDEX('Growth inputs'!$N$6:$N$55,MATCH(A27,'Growth inputs'!$A$6:$A$55,0)),"n.a.")&lt;&gt;"",IFNA(INDEX('Growth inputs'!$P$6:$P$55,MATCH(A27,'Growth inputs'!$A$6:$A$55,0)),"n.a.")&lt;&gt;"",ISNUMBER(IFNA(INDEX('Growth inputs'!$M$6:$M$55,MATCH(A27,'Growth inputs'!$A$6:$A$55,0)),"n.a.")),IFNA(INDEX('Growth inputs'!$M$6:$M$55,MATCH(A27,'Growth inputs'!$A$6:$A$55,0)),"n.a.")&lt;=Rules!$B$6,ISNUMBER(IFNA(INDEX('Growth inputs'!$I$6:$I$55,MATCH(A27,'Growth inputs'!$A$6:$A$55,0)),"n.a.")),IFNA(INDEX('Growth inputs'!$I$6:$I$55,MATCH(A27,'Growth inputs'!$A$6:$A$55,0)),"n.a.")&lt;=Rules!$B$6),AVERAGE(IFNA(INDEX('Growth inputs'!$K$6:$K$55,MATCH(A27,'Growth inputs'!$A$6:$A$55,0)),"n.a."),IFNA(INDEX('Growth inputs'!$L$6:$L$55,MATCH(A27,'Growth inputs'!$A$6:$A$55,0)),"n.a."))/IFNA(INDEX('Growth inputs'!$F$6:$F$55,MATCH(A27,'Growth inputs'!$A$6:$A$55,0)),"n.a.")-1,"n.a.")))</f>
        <v/>
      </c>
      <c r="H27" s="101" t="str">
        <f t="shared" si="1"/>
        <v/>
      </c>
      <c r="I27" s="101" t="str">
        <f t="shared" si="2"/>
        <v/>
      </c>
      <c r="J27" s="101" t="str">
        <f t="shared" si="3"/>
        <v/>
      </c>
      <c r="K27" s="93" t="str">
        <f t="shared" si="4"/>
        <v/>
      </c>
      <c r="L27" s="93" t="str">
        <f t="array" ref="L27">IF(A27="","",IF(Q27&lt;&gt;1,IFNA(INDEX('Growth inputs'!$X$6:$X$55,MATCH(A27,'Growth inputs'!$A$6:$A$55,0)),"n.a."),IF($B$9&lt;&gt;"Ready",$B$9,IF(K27&lt;$B$5,"Too few comparable growth records","Ready"))))</f>
        <v/>
      </c>
      <c r="M27" s="104" t="str">
        <f t="array" ref="M27">IF(A27="","",IFNA(INDEX('Growth inputs'!$J$6:$J$55,MATCH(A27,'Growth inputs'!$A$6:$A$55,0)),"n.a."))</f>
        <v/>
      </c>
      <c r="N27" s="93" t="str">
        <f t="array" ref="N27">IF(A27="","",IF(ISNUMBER(G27),100*(IFNA(INDEX('Growth inputs'!$L$6:$L$55,MATCH(A27,'Growth inputs'!$A$6:$A$55,0)),"n.a.")-IFNA(INDEX('Growth inputs'!$K$6:$K$55,MATCH(A27,'Growth inputs'!$A$6:$A$55,0)),"n.a."))/IFNA(INDEX('Growth inputs'!$F$6:$F$55,MATCH(A27,'Growth inputs'!$A$6:$A$55,0)),"n.a."),"n.a."))</f>
        <v/>
      </c>
      <c r="O27" s="100" t="str">
        <f t="array" ref="O27">IF(A27="","",IF(AND(ISNUMBER(G27),ISNUMBER(IFNA(INDEX('Growth inputs'!$T$6:$T$55,MATCH(A27,'Growth inputs'!$A$6:$A$55,0)),"n.a.")),IFNA(INDEX('Growth inputs'!$U$6:$U$55,MATCH(A27,'Growth inputs'!$A$6:$A$55,0)),"n.a.")&lt;&gt;""),G27-IFNA(INDEX('Growth inputs'!$T$6:$T$55,MATCH(A27,'Growth inputs'!$A$6:$A$55,0)),"n.a."),"n.a."))</f>
        <v/>
      </c>
      <c r="P27" s="93" t="str">
        <f t="shared" si="5"/>
        <v/>
      </c>
      <c r="Q27" s="93">
        <f t="array" ref="Q27">IF(A27="",0,IFERROR(IF(AND(COUNTIF('Growth inputs'!$A$6:$A$55,A27)=1,IFNA(INDEX('Growth inputs'!$W$6:$W$55,MATCH(A27,'Growth inputs'!$A$6:$A$55,0)),"n.a.")=1,COUNT(F27:G27)=2),1,0),0))</f>
        <v>0</v>
      </c>
      <c r="R27" s="104" t="str">
        <f t="array" ref="R27">IF(A27="","",IFNA(INDEX('Growth inputs'!$E$6:$E$55,MATCH(A27,'Growth inputs'!$A$6:$A$55,0)),"n.a."))</f>
        <v/>
      </c>
    </row>
    <row r="28">
      <c r="A28" s="93" t="str">
        <f>IF(Companies!A19="","",Companies!A19)</f>
        <v/>
      </c>
      <c r="B28" s="93" t="str">
        <f>IF(A28="","",Companies!C19)</f>
        <v/>
      </c>
      <c r="C28" s="93" t="str">
        <f t="array" ref="C28">IF(A28="","",IFNA(INDEX('Growth inputs'!$C$6:$C$55,MATCH(A28,'Growth inputs'!$A$6:$A$55,0)),"n.a."))</f>
        <v/>
      </c>
      <c r="D28" s="93" t="str">
        <f t="array" ref="D28">IF(A28="","",IFNA(INDEX('Growth inputs'!$R$6:$R$55,MATCH(A28,'Growth inputs'!$A$6:$A$55,0)),"n.a."))</f>
        <v/>
      </c>
      <c r="E28" s="93" t="str">
        <f t="array" ref="E28">IF(A28="","",IFNA(INDEX('Growth inputs'!$D$6:$D$55,MATCH(A28,'Growth inputs'!$A$6:$A$55,0)),"n.a."))</f>
        <v/>
      </c>
      <c r="F28" s="100" t="str">
        <f t="array" ref="F28">IF(A28="","",IF(COUNTIF('Growth inputs'!$A$6:$A$55,A28)&lt;&gt;1,"n.a.",IF(AND(COUNT(IFNA(INDEX('Growth inputs'!$F$6:$F$55,MATCH(A28,'Growth inputs'!$A$6:$A$55,0)),"n.a."),IFNA(INDEX('Growth inputs'!$H$6:$H$55,MATCH(A28,'Growth inputs'!$A$6:$A$55,0)),"n.a."))=2,IFNA(INDEX('Growth inputs'!$F$6:$F$55,MATCH(A28,'Growth inputs'!$A$6:$A$55,0)),"n.a.")&gt;0,IFNA(INDEX('Growth inputs'!$H$6:$H$55,MATCH(A28,'Growth inputs'!$A$6:$A$55,0)),"n.a.")&gt;0,IFNA(INDEX('Growth inputs'!$D$6:$D$55,MATCH(A28,'Growth inputs'!$A$6:$A$55,0)),"n.a.")=IFNA(INDEX('Growth inputs'!$Z$6:$Z$55,MATCH(A28,'Growth inputs'!$A$6:$A$55,0)),"n.a."),IFNA(INDEX('Growth inputs'!$AB$6:$AB$55,MATCH(A28,'Growth inputs'!$A$6:$A$55,0)),"n.a.")="Yes"),(IFNA(INDEX('Growth inputs'!$F$6:$F$55,MATCH(A28,'Growth inputs'!$A$6:$A$55,0)),"n.a.")/IFNA(INDEX('Growth inputs'!$H$6:$H$55,MATCH(A28,'Growth inputs'!$A$6:$A$55,0)),"n.a."))^(1/3)-1,"n.a.")))</f>
        <v/>
      </c>
      <c r="G28" s="100" t="str">
        <f t="array" ref="G28">IF(A28="","",IF(COUNTIF('Growth inputs'!$A$6:$A$55,A28)&lt;&gt;1,"n.a.",IF(AND(COUNT(IFNA(INDEX('Growth inputs'!$K$6:$K$55,MATCH(A28,'Growth inputs'!$A$6:$A$55,0)),"n.a."),IFNA(INDEX('Growth inputs'!$L$6:$L$55,MATCH(A28,'Growth inputs'!$A$6:$A$55,0)),"n.a."),IFNA(INDEX('Growth inputs'!$F$6:$F$55,MATCH(A28,'Growth inputs'!$A$6:$A$55,0)),"n.a."))=3,IFNA(INDEX('Growth inputs'!$F$6:$F$55,MATCH(A28,'Growth inputs'!$A$6:$A$55,0)),"n.a.")&gt;0,IFNA(INDEX('Growth inputs'!$K$6:$K$55,MATCH(A28,'Growth inputs'!$A$6:$A$55,0)),"n.a.")&lt;=IFNA(INDEX('Growth inputs'!$L$6:$L$55,MATCH(A28,'Growth inputs'!$A$6:$A$55,0)),"n.a."),IFNA(INDEX('Growth inputs'!$D$6:$D$55,MATCH(A28,'Growth inputs'!$A$6:$A$55,0)),"n.a.")=IFNA(INDEX('Growth inputs'!$Y$6:$Y$55,MATCH(A28,'Growth inputs'!$A$6:$A$55,0)),"n.a."),IFNA(INDEX('Growth inputs'!$N$6:$N$55,MATCH(A28,'Growth inputs'!$A$6:$A$55,0)),"n.a.")&lt;&gt;"",IFNA(INDEX('Growth inputs'!$P$6:$P$55,MATCH(A28,'Growth inputs'!$A$6:$A$55,0)),"n.a.")&lt;&gt;"",ISNUMBER(IFNA(INDEX('Growth inputs'!$M$6:$M$55,MATCH(A28,'Growth inputs'!$A$6:$A$55,0)),"n.a.")),IFNA(INDEX('Growth inputs'!$M$6:$M$55,MATCH(A28,'Growth inputs'!$A$6:$A$55,0)),"n.a.")&lt;=Rules!$B$6,ISNUMBER(IFNA(INDEX('Growth inputs'!$I$6:$I$55,MATCH(A28,'Growth inputs'!$A$6:$A$55,0)),"n.a.")),IFNA(INDEX('Growth inputs'!$I$6:$I$55,MATCH(A28,'Growth inputs'!$A$6:$A$55,0)),"n.a.")&lt;=Rules!$B$6),AVERAGE(IFNA(INDEX('Growth inputs'!$K$6:$K$55,MATCH(A28,'Growth inputs'!$A$6:$A$55,0)),"n.a."),IFNA(INDEX('Growth inputs'!$L$6:$L$55,MATCH(A28,'Growth inputs'!$A$6:$A$55,0)),"n.a."))/IFNA(INDEX('Growth inputs'!$F$6:$F$55,MATCH(A28,'Growth inputs'!$A$6:$A$55,0)),"n.a.")-1,"n.a.")))</f>
        <v/>
      </c>
      <c r="H28" s="101" t="str">
        <f t="shared" si="1"/>
        <v/>
      </c>
      <c r="I28" s="101" t="str">
        <f t="shared" si="2"/>
        <v/>
      </c>
      <c r="J28" s="101" t="str">
        <f t="shared" si="3"/>
        <v/>
      </c>
      <c r="K28" s="93" t="str">
        <f t="shared" si="4"/>
        <v/>
      </c>
      <c r="L28" s="93" t="str">
        <f t="array" ref="L28">IF(A28="","",IF(Q28&lt;&gt;1,IFNA(INDEX('Growth inputs'!$X$6:$X$55,MATCH(A28,'Growth inputs'!$A$6:$A$55,0)),"n.a."),IF($B$9&lt;&gt;"Ready",$B$9,IF(K28&lt;$B$5,"Too few comparable growth records","Ready"))))</f>
        <v/>
      </c>
      <c r="M28" s="104" t="str">
        <f t="array" ref="M28">IF(A28="","",IFNA(INDEX('Growth inputs'!$J$6:$J$55,MATCH(A28,'Growth inputs'!$A$6:$A$55,0)),"n.a."))</f>
        <v/>
      </c>
      <c r="N28" s="93" t="str">
        <f t="array" ref="N28">IF(A28="","",IF(ISNUMBER(G28),100*(IFNA(INDEX('Growth inputs'!$L$6:$L$55,MATCH(A28,'Growth inputs'!$A$6:$A$55,0)),"n.a.")-IFNA(INDEX('Growth inputs'!$K$6:$K$55,MATCH(A28,'Growth inputs'!$A$6:$A$55,0)),"n.a."))/IFNA(INDEX('Growth inputs'!$F$6:$F$55,MATCH(A28,'Growth inputs'!$A$6:$A$55,0)),"n.a."),"n.a."))</f>
        <v/>
      </c>
      <c r="O28" s="100" t="str">
        <f t="array" ref="O28">IF(A28="","",IF(AND(ISNUMBER(G28),ISNUMBER(IFNA(INDEX('Growth inputs'!$T$6:$T$55,MATCH(A28,'Growth inputs'!$A$6:$A$55,0)),"n.a.")),IFNA(INDEX('Growth inputs'!$U$6:$U$55,MATCH(A28,'Growth inputs'!$A$6:$A$55,0)),"n.a.")&lt;&gt;""),G28-IFNA(INDEX('Growth inputs'!$T$6:$T$55,MATCH(A28,'Growth inputs'!$A$6:$A$55,0)),"n.a."),"n.a."))</f>
        <v/>
      </c>
      <c r="P28" s="93" t="str">
        <f t="shared" si="5"/>
        <v/>
      </c>
      <c r="Q28" s="93">
        <f t="array" ref="Q28">IF(A28="",0,IFERROR(IF(AND(COUNTIF('Growth inputs'!$A$6:$A$55,A28)=1,IFNA(INDEX('Growth inputs'!$W$6:$W$55,MATCH(A28,'Growth inputs'!$A$6:$A$55,0)),"n.a.")=1,COUNT(F28:G28)=2),1,0),0))</f>
        <v>0</v>
      </c>
      <c r="R28" s="104" t="str">
        <f t="array" ref="R28">IF(A28="","",IFNA(INDEX('Growth inputs'!$E$6:$E$55,MATCH(A28,'Growth inputs'!$A$6:$A$55,0)),"n.a."))</f>
        <v/>
      </c>
    </row>
    <row r="29">
      <c r="A29" s="93" t="str">
        <f>IF(Companies!A20="","",Companies!A20)</f>
        <v/>
      </c>
      <c r="B29" s="93" t="str">
        <f>IF(A29="","",Companies!C20)</f>
        <v/>
      </c>
      <c r="C29" s="93" t="str">
        <f t="array" ref="C29">IF(A29="","",IFNA(INDEX('Growth inputs'!$C$6:$C$55,MATCH(A29,'Growth inputs'!$A$6:$A$55,0)),"n.a."))</f>
        <v/>
      </c>
      <c r="D29" s="93" t="str">
        <f t="array" ref="D29">IF(A29="","",IFNA(INDEX('Growth inputs'!$R$6:$R$55,MATCH(A29,'Growth inputs'!$A$6:$A$55,0)),"n.a."))</f>
        <v/>
      </c>
      <c r="E29" s="93" t="str">
        <f t="array" ref="E29">IF(A29="","",IFNA(INDEX('Growth inputs'!$D$6:$D$55,MATCH(A29,'Growth inputs'!$A$6:$A$55,0)),"n.a."))</f>
        <v/>
      </c>
      <c r="F29" s="100" t="str">
        <f t="array" ref="F29">IF(A29="","",IF(COUNTIF('Growth inputs'!$A$6:$A$55,A29)&lt;&gt;1,"n.a.",IF(AND(COUNT(IFNA(INDEX('Growth inputs'!$F$6:$F$55,MATCH(A29,'Growth inputs'!$A$6:$A$55,0)),"n.a."),IFNA(INDEX('Growth inputs'!$H$6:$H$55,MATCH(A29,'Growth inputs'!$A$6:$A$55,0)),"n.a."))=2,IFNA(INDEX('Growth inputs'!$F$6:$F$55,MATCH(A29,'Growth inputs'!$A$6:$A$55,0)),"n.a.")&gt;0,IFNA(INDEX('Growth inputs'!$H$6:$H$55,MATCH(A29,'Growth inputs'!$A$6:$A$55,0)),"n.a.")&gt;0,IFNA(INDEX('Growth inputs'!$D$6:$D$55,MATCH(A29,'Growth inputs'!$A$6:$A$55,0)),"n.a.")=IFNA(INDEX('Growth inputs'!$Z$6:$Z$55,MATCH(A29,'Growth inputs'!$A$6:$A$55,0)),"n.a."),IFNA(INDEX('Growth inputs'!$AB$6:$AB$55,MATCH(A29,'Growth inputs'!$A$6:$A$55,0)),"n.a.")="Yes"),(IFNA(INDEX('Growth inputs'!$F$6:$F$55,MATCH(A29,'Growth inputs'!$A$6:$A$55,0)),"n.a.")/IFNA(INDEX('Growth inputs'!$H$6:$H$55,MATCH(A29,'Growth inputs'!$A$6:$A$55,0)),"n.a."))^(1/3)-1,"n.a.")))</f>
        <v/>
      </c>
      <c r="G29" s="100" t="str">
        <f t="array" ref="G29">IF(A29="","",IF(COUNTIF('Growth inputs'!$A$6:$A$55,A29)&lt;&gt;1,"n.a.",IF(AND(COUNT(IFNA(INDEX('Growth inputs'!$K$6:$K$55,MATCH(A29,'Growth inputs'!$A$6:$A$55,0)),"n.a."),IFNA(INDEX('Growth inputs'!$L$6:$L$55,MATCH(A29,'Growth inputs'!$A$6:$A$55,0)),"n.a."),IFNA(INDEX('Growth inputs'!$F$6:$F$55,MATCH(A29,'Growth inputs'!$A$6:$A$55,0)),"n.a."))=3,IFNA(INDEX('Growth inputs'!$F$6:$F$55,MATCH(A29,'Growth inputs'!$A$6:$A$55,0)),"n.a.")&gt;0,IFNA(INDEX('Growth inputs'!$K$6:$K$55,MATCH(A29,'Growth inputs'!$A$6:$A$55,0)),"n.a.")&lt;=IFNA(INDEX('Growth inputs'!$L$6:$L$55,MATCH(A29,'Growth inputs'!$A$6:$A$55,0)),"n.a."),IFNA(INDEX('Growth inputs'!$D$6:$D$55,MATCH(A29,'Growth inputs'!$A$6:$A$55,0)),"n.a.")=IFNA(INDEX('Growth inputs'!$Y$6:$Y$55,MATCH(A29,'Growth inputs'!$A$6:$A$55,0)),"n.a."),IFNA(INDEX('Growth inputs'!$N$6:$N$55,MATCH(A29,'Growth inputs'!$A$6:$A$55,0)),"n.a.")&lt;&gt;"",IFNA(INDEX('Growth inputs'!$P$6:$P$55,MATCH(A29,'Growth inputs'!$A$6:$A$55,0)),"n.a.")&lt;&gt;"",ISNUMBER(IFNA(INDEX('Growth inputs'!$M$6:$M$55,MATCH(A29,'Growth inputs'!$A$6:$A$55,0)),"n.a.")),IFNA(INDEX('Growth inputs'!$M$6:$M$55,MATCH(A29,'Growth inputs'!$A$6:$A$55,0)),"n.a.")&lt;=Rules!$B$6,ISNUMBER(IFNA(INDEX('Growth inputs'!$I$6:$I$55,MATCH(A29,'Growth inputs'!$A$6:$A$55,0)),"n.a.")),IFNA(INDEX('Growth inputs'!$I$6:$I$55,MATCH(A29,'Growth inputs'!$A$6:$A$55,0)),"n.a.")&lt;=Rules!$B$6),AVERAGE(IFNA(INDEX('Growth inputs'!$K$6:$K$55,MATCH(A29,'Growth inputs'!$A$6:$A$55,0)),"n.a."),IFNA(INDEX('Growth inputs'!$L$6:$L$55,MATCH(A29,'Growth inputs'!$A$6:$A$55,0)),"n.a."))/IFNA(INDEX('Growth inputs'!$F$6:$F$55,MATCH(A29,'Growth inputs'!$A$6:$A$55,0)),"n.a.")-1,"n.a.")))</f>
        <v/>
      </c>
      <c r="H29" s="101" t="str">
        <f t="shared" si="1"/>
        <v/>
      </c>
      <c r="I29" s="101" t="str">
        <f t="shared" si="2"/>
        <v/>
      </c>
      <c r="J29" s="101" t="str">
        <f t="shared" si="3"/>
        <v/>
      </c>
      <c r="K29" s="93" t="str">
        <f t="shared" si="4"/>
        <v/>
      </c>
      <c r="L29" s="93" t="str">
        <f t="array" ref="L29">IF(A29="","",IF(Q29&lt;&gt;1,IFNA(INDEX('Growth inputs'!$X$6:$X$55,MATCH(A29,'Growth inputs'!$A$6:$A$55,0)),"n.a."),IF($B$9&lt;&gt;"Ready",$B$9,IF(K29&lt;$B$5,"Too few comparable growth records","Ready"))))</f>
        <v/>
      </c>
      <c r="M29" s="104" t="str">
        <f t="array" ref="M29">IF(A29="","",IFNA(INDEX('Growth inputs'!$J$6:$J$55,MATCH(A29,'Growth inputs'!$A$6:$A$55,0)),"n.a."))</f>
        <v/>
      </c>
      <c r="N29" s="93" t="str">
        <f t="array" ref="N29">IF(A29="","",IF(ISNUMBER(G29),100*(IFNA(INDEX('Growth inputs'!$L$6:$L$55,MATCH(A29,'Growth inputs'!$A$6:$A$55,0)),"n.a.")-IFNA(INDEX('Growth inputs'!$K$6:$K$55,MATCH(A29,'Growth inputs'!$A$6:$A$55,0)),"n.a."))/IFNA(INDEX('Growth inputs'!$F$6:$F$55,MATCH(A29,'Growth inputs'!$A$6:$A$55,0)),"n.a."),"n.a."))</f>
        <v/>
      </c>
      <c r="O29" s="100" t="str">
        <f t="array" ref="O29">IF(A29="","",IF(AND(ISNUMBER(G29),ISNUMBER(IFNA(INDEX('Growth inputs'!$T$6:$T$55,MATCH(A29,'Growth inputs'!$A$6:$A$55,0)),"n.a.")),IFNA(INDEX('Growth inputs'!$U$6:$U$55,MATCH(A29,'Growth inputs'!$A$6:$A$55,0)),"n.a.")&lt;&gt;""),G29-IFNA(INDEX('Growth inputs'!$T$6:$T$55,MATCH(A29,'Growth inputs'!$A$6:$A$55,0)),"n.a."),"n.a."))</f>
        <v/>
      </c>
      <c r="P29" s="93" t="str">
        <f t="shared" si="5"/>
        <v/>
      </c>
      <c r="Q29" s="93">
        <f t="array" ref="Q29">IF(A29="",0,IFERROR(IF(AND(COUNTIF('Growth inputs'!$A$6:$A$55,A29)=1,IFNA(INDEX('Growth inputs'!$W$6:$W$55,MATCH(A29,'Growth inputs'!$A$6:$A$55,0)),"n.a.")=1,COUNT(F29:G29)=2),1,0),0))</f>
        <v>0</v>
      </c>
      <c r="R29" s="104" t="str">
        <f t="array" ref="R29">IF(A29="","",IFNA(INDEX('Growth inputs'!$E$6:$E$55,MATCH(A29,'Growth inputs'!$A$6:$A$55,0)),"n.a."))</f>
        <v/>
      </c>
    </row>
    <row r="30">
      <c r="A30" s="93" t="str">
        <f>IF(Companies!A21="","",Companies!A21)</f>
        <v/>
      </c>
      <c r="B30" s="93" t="str">
        <f>IF(A30="","",Companies!C21)</f>
        <v/>
      </c>
      <c r="C30" s="93" t="str">
        <f t="array" ref="C30">IF(A30="","",IFNA(INDEX('Growth inputs'!$C$6:$C$55,MATCH(A30,'Growth inputs'!$A$6:$A$55,0)),"n.a."))</f>
        <v/>
      </c>
      <c r="D30" s="93" t="str">
        <f t="array" ref="D30">IF(A30="","",IFNA(INDEX('Growth inputs'!$R$6:$R$55,MATCH(A30,'Growth inputs'!$A$6:$A$55,0)),"n.a."))</f>
        <v/>
      </c>
      <c r="E30" s="93" t="str">
        <f t="array" ref="E30">IF(A30="","",IFNA(INDEX('Growth inputs'!$D$6:$D$55,MATCH(A30,'Growth inputs'!$A$6:$A$55,0)),"n.a."))</f>
        <v/>
      </c>
      <c r="F30" s="100" t="str">
        <f t="array" ref="F30">IF(A30="","",IF(COUNTIF('Growth inputs'!$A$6:$A$55,A30)&lt;&gt;1,"n.a.",IF(AND(COUNT(IFNA(INDEX('Growth inputs'!$F$6:$F$55,MATCH(A30,'Growth inputs'!$A$6:$A$55,0)),"n.a."),IFNA(INDEX('Growth inputs'!$H$6:$H$55,MATCH(A30,'Growth inputs'!$A$6:$A$55,0)),"n.a."))=2,IFNA(INDEX('Growth inputs'!$F$6:$F$55,MATCH(A30,'Growth inputs'!$A$6:$A$55,0)),"n.a.")&gt;0,IFNA(INDEX('Growth inputs'!$H$6:$H$55,MATCH(A30,'Growth inputs'!$A$6:$A$55,0)),"n.a.")&gt;0,IFNA(INDEX('Growth inputs'!$D$6:$D$55,MATCH(A30,'Growth inputs'!$A$6:$A$55,0)),"n.a.")=IFNA(INDEX('Growth inputs'!$Z$6:$Z$55,MATCH(A30,'Growth inputs'!$A$6:$A$55,0)),"n.a."),IFNA(INDEX('Growth inputs'!$AB$6:$AB$55,MATCH(A30,'Growth inputs'!$A$6:$A$55,0)),"n.a.")="Yes"),(IFNA(INDEX('Growth inputs'!$F$6:$F$55,MATCH(A30,'Growth inputs'!$A$6:$A$55,0)),"n.a.")/IFNA(INDEX('Growth inputs'!$H$6:$H$55,MATCH(A30,'Growth inputs'!$A$6:$A$55,0)),"n.a."))^(1/3)-1,"n.a.")))</f>
        <v/>
      </c>
      <c r="G30" s="100" t="str">
        <f t="array" ref="G30">IF(A30="","",IF(COUNTIF('Growth inputs'!$A$6:$A$55,A30)&lt;&gt;1,"n.a.",IF(AND(COUNT(IFNA(INDEX('Growth inputs'!$K$6:$K$55,MATCH(A30,'Growth inputs'!$A$6:$A$55,0)),"n.a."),IFNA(INDEX('Growth inputs'!$L$6:$L$55,MATCH(A30,'Growth inputs'!$A$6:$A$55,0)),"n.a."),IFNA(INDEX('Growth inputs'!$F$6:$F$55,MATCH(A30,'Growth inputs'!$A$6:$A$55,0)),"n.a."))=3,IFNA(INDEX('Growth inputs'!$F$6:$F$55,MATCH(A30,'Growth inputs'!$A$6:$A$55,0)),"n.a.")&gt;0,IFNA(INDEX('Growth inputs'!$K$6:$K$55,MATCH(A30,'Growth inputs'!$A$6:$A$55,0)),"n.a.")&lt;=IFNA(INDEX('Growth inputs'!$L$6:$L$55,MATCH(A30,'Growth inputs'!$A$6:$A$55,0)),"n.a."),IFNA(INDEX('Growth inputs'!$D$6:$D$55,MATCH(A30,'Growth inputs'!$A$6:$A$55,0)),"n.a.")=IFNA(INDEX('Growth inputs'!$Y$6:$Y$55,MATCH(A30,'Growth inputs'!$A$6:$A$55,0)),"n.a."),IFNA(INDEX('Growth inputs'!$N$6:$N$55,MATCH(A30,'Growth inputs'!$A$6:$A$55,0)),"n.a.")&lt;&gt;"",IFNA(INDEX('Growth inputs'!$P$6:$P$55,MATCH(A30,'Growth inputs'!$A$6:$A$55,0)),"n.a.")&lt;&gt;"",ISNUMBER(IFNA(INDEX('Growth inputs'!$M$6:$M$55,MATCH(A30,'Growth inputs'!$A$6:$A$55,0)),"n.a.")),IFNA(INDEX('Growth inputs'!$M$6:$M$55,MATCH(A30,'Growth inputs'!$A$6:$A$55,0)),"n.a.")&lt;=Rules!$B$6,ISNUMBER(IFNA(INDEX('Growth inputs'!$I$6:$I$55,MATCH(A30,'Growth inputs'!$A$6:$A$55,0)),"n.a.")),IFNA(INDEX('Growth inputs'!$I$6:$I$55,MATCH(A30,'Growth inputs'!$A$6:$A$55,0)),"n.a.")&lt;=Rules!$B$6),AVERAGE(IFNA(INDEX('Growth inputs'!$K$6:$K$55,MATCH(A30,'Growth inputs'!$A$6:$A$55,0)),"n.a."),IFNA(INDEX('Growth inputs'!$L$6:$L$55,MATCH(A30,'Growth inputs'!$A$6:$A$55,0)),"n.a."))/IFNA(INDEX('Growth inputs'!$F$6:$F$55,MATCH(A30,'Growth inputs'!$A$6:$A$55,0)),"n.a.")-1,"n.a.")))</f>
        <v/>
      </c>
      <c r="H30" s="101" t="str">
        <f t="shared" si="1"/>
        <v/>
      </c>
      <c r="I30" s="101" t="str">
        <f t="shared" si="2"/>
        <v/>
      </c>
      <c r="J30" s="101" t="str">
        <f t="shared" si="3"/>
        <v/>
      </c>
      <c r="K30" s="93" t="str">
        <f t="shared" si="4"/>
        <v/>
      </c>
      <c r="L30" s="93" t="str">
        <f t="array" ref="L30">IF(A30="","",IF(Q30&lt;&gt;1,IFNA(INDEX('Growth inputs'!$X$6:$X$55,MATCH(A30,'Growth inputs'!$A$6:$A$55,0)),"n.a."),IF($B$9&lt;&gt;"Ready",$B$9,IF(K30&lt;$B$5,"Too few comparable growth records","Ready"))))</f>
        <v/>
      </c>
      <c r="M30" s="104" t="str">
        <f t="array" ref="M30">IF(A30="","",IFNA(INDEX('Growth inputs'!$J$6:$J$55,MATCH(A30,'Growth inputs'!$A$6:$A$55,0)),"n.a."))</f>
        <v/>
      </c>
      <c r="N30" s="93" t="str">
        <f t="array" ref="N30">IF(A30="","",IF(ISNUMBER(G30),100*(IFNA(INDEX('Growth inputs'!$L$6:$L$55,MATCH(A30,'Growth inputs'!$A$6:$A$55,0)),"n.a.")-IFNA(INDEX('Growth inputs'!$K$6:$K$55,MATCH(A30,'Growth inputs'!$A$6:$A$55,0)),"n.a."))/IFNA(INDEX('Growth inputs'!$F$6:$F$55,MATCH(A30,'Growth inputs'!$A$6:$A$55,0)),"n.a."),"n.a."))</f>
        <v/>
      </c>
      <c r="O30" s="100" t="str">
        <f t="array" ref="O30">IF(A30="","",IF(AND(ISNUMBER(G30),ISNUMBER(IFNA(INDEX('Growth inputs'!$T$6:$T$55,MATCH(A30,'Growth inputs'!$A$6:$A$55,0)),"n.a.")),IFNA(INDEX('Growth inputs'!$U$6:$U$55,MATCH(A30,'Growth inputs'!$A$6:$A$55,0)),"n.a.")&lt;&gt;""),G30-IFNA(INDEX('Growth inputs'!$T$6:$T$55,MATCH(A30,'Growth inputs'!$A$6:$A$55,0)),"n.a."),"n.a."))</f>
        <v/>
      </c>
      <c r="P30" s="93" t="str">
        <f t="shared" si="5"/>
        <v/>
      </c>
      <c r="Q30" s="93">
        <f t="array" ref="Q30">IF(A30="",0,IFERROR(IF(AND(COUNTIF('Growth inputs'!$A$6:$A$55,A30)=1,IFNA(INDEX('Growth inputs'!$W$6:$W$55,MATCH(A30,'Growth inputs'!$A$6:$A$55,0)),"n.a.")=1,COUNT(F30:G30)=2),1,0),0))</f>
        <v>0</v>
      </c>
      <c r="R30" s="104" t="str">
        <f t="array" ref="R30">IF(A30="","",IFNA(INDEX('Growth inputs'!$E$6:$E$55,MATCH(A30,'Growth inputs'!$A$6:$A$55,0)),"n.a."))</f>
        <v/>
      </c>
    </row>
    <row r="31">
      <c r="A31" s="93" t="str">
        <f>IF(Companies!A22="","",Companies!A22)</f>
        <v/>
      </c>
      <c r="B31" s="93" t="str">
        <f>IF(A31="","",Companies!C22)</f>
        <v/>
      </c>
      <c r="C31" s="93" t="str">
        <f t="array" ref="C31">IF(A31="","",IFNA(INDEX('Growth inputs'!$C$6:$C$55,MATCH(A31,'Growth inputs'!$A$6:$A$55,0)),"n.a."))</f>
        <v/>
      </c>
      <c r="D31" s="93" t="str">
        <f t="array" ref="D31">IF(A31="","",IFNA(INDEX('Growth inputs'!$R$6:$R$55,MATCH(A31,'Growth inputs'!$A$6:$A$55,0)),"n.a."))</f>
        <v/>
      </c>
      <c r="E31" s="93" t="str">
        <f t="array" ref="E31">IF(A31="","",IFNA(INDEX('Growth inputs'!$D$6:$D$55,MATCH(A31,'Growth inputs'!$A$6:$A$55,0)),"n.a."))</f>
        <v/>
      </c>
      <c r="F31" s="100" t="str">
        <f t="array" ref="F31">IF(A31="","",IF(COUNTIF('Growth inputs'!$A$6:$A$55,A31)&lt;&gt;1,"n.a.",IF(AND(COUNT(IFNA(INDEX('Growth inputs'!$F$6:$F$55,MATCH(A31,'Growth inputs'!$A$6:$A$55,0)),"n.a."),IFNA(INDEX('Growth inputs'!$H$6:$H$55,MATCH(A31,'Growth inputs'!$A$6:$A$55,0)),"n.a."))=2,IFNA(INDEX('Growth inputs'!$F$6:$F$55,MATCH(A31,'Growth inputs'!$A$6:$A$55,0)),"n.a.")&gt;0,IFNA(INDEX('Growth inputs'!$H$6:$H$55,MATCH(A31,'Growth inputs'!$A$6:$A$55,0)),"n.a.")&gt;0,IFNA(INDEX('Growth inputs'!$D$6:$D$55,MATCH(A31,'Growth inputs'!$A$6:$A$55,0)),"n.a.")=IFNA(INDEX('Growth inputs'!$Z$6:$Z$55,MATCH(A31,'Growth inputs'!$A$6:$A$55,0)),"n.a."),IFNA(INDEX('Growth inputs'!$AB$6:$AB$55,MATCH(A31,'Growth inputs'!$A$6:$A$55,0)),"n.a.")="Yes"),(IFNA(INDEX('Growth inputs'!$F$6:$F$55,MATCH(A31,'Growth inputs'!$A$6:$A$55,0)),"n.a.")/IFNA(INDEX('Growth inputs'!$H$6:$H$55,MATCH(A31,'Growth inputs'!$A$6:$A$55,0)),"n.a."))^(1/3)-1,"n.a.")))</f>
        <v/>
      </c>
      <c r="G31" s="100" t="str">
        <f t="array" ref="G31">IF(A31="","",IF(COUNTIF('Growth inputs'!$A$6:$A$55,A31)&lt;&gt;1,"n.a.",IF(AND(COUNT(IFNA(INDEX('Growth inputs'!$K$6:$K$55,MATCH(A31,'Growth inputs'!$A$6:$A$55,0)),"n.a."),IFNA(INDEX('Growth inputs'!$L$6:$L$55,MATCH(A31,'Growth inputs'!$A$6:$A$55,0)),"n.a."),IFNA(INDEX('Growth inputs'!$F$6:$F$55,MATCH(A31,'Growth inputs'!$A$6:$A$55,0)),"n.a."))=3,IFNA(INDEX('Growth inputs'!$F$6:$F$55,MATCH(A31,'Growth inputs'!$A$6:$A$55,0)),"n.a.")&gt;0,IFNA(INDEX('Growth inputs'!$K$6:$K$55,MATCH(A31,'Growth inputs'!$A$6:$A$55,0)),"n.a.")&lt;=IFNA(INDEX('Growth inputs'!$L$6:$L$55,MATCH(A31,'Growth inputs'!$A$6:$A$55,0)),"n.a."),IFNA(INDEX('Growth inputs'!$D$6:$D$55,MATCH(A31,'Growth inputs'!$A$6:$A$55,0)),"n.a.")=IFNA(INDEX('Growth inputs'!$Y$6:$Y$55,MATCH(A31,'Growth inputs'!$A$6:$A$55,0)),"n.a."),IFNA(INDEX('Growth inputs'!$N$6:$N$55,MATCH(A31,'Growth inputs'!$A$6:$A$55,0)),"n.a.")&lt;&gt;"",IFNA(INDEX('Growth inputs'!$P$6:$P$55,MATCH(A31,'Growth inputs'!$A$6:$A$55,0)),"n.a.")&lt;&gt;"",ISNUMBER(IFNA(INDEX('Growth inputs'!$M$6:$M$55,MATCH(A31,'Growth inputs'!$A$6:$A$55,0)),"n.a.")),IFNA(INDEX('Growth inputs'!$M$6:$M$55,MATCH(A31,'Growth inputs'!$A$6:$A$55,0)),"n.a.")&lt;=Rules!$B$6,ISNUMBER(IFNA(INDEX('Growth inputs'!$I$6:$I$55,MATCH(A31,'Growth inputs'!$A$6:$A$55,0)),"n.a.")),IFNA(INDEX('Growth inputs'!$I$6:$I$55,MATCH(A31,'Growth inputs'!$A$6:$A$55,0)),"n.a.")&lt;=Rules!$B$6),AVERAGE(IFNA(INDEX('Growth inputs'!$K$6:$K$55,MATCH(A31,'Growth inputs'!$A$6:$A$55,0)),"n.a."),IFNA(INDEX('Growth inputs'!$L$6:$L$55,MATCH(A31,'Growth inputs'!$A$6:$A$55,0)),"n.a."))/IFNA(INDEX('Growth inputs'!$F$6:$F$55,MATCH(A31,'Growth inputs'!$A$6:$A$55,0)),"n.a.")-1,"n.a.")))</f>
        <v/>
      </c>
      <c r="H31" s="101" t="str">
        <f t="shared" si="1"/>
        <v/>
      </c>
      <c r="I31" s="101" t="str">
        <f t="shared" si="2"/>
        <v/>
      </c>
      <c r="J31" s="101" t="str">
        <f t="shared" si="3"/>
        <v/>
      </c>
      <c r="K31" s="93" t="str">
        <f t="shared" si="4"/>
        <v/>
      </c>
      <c r="L31" s="93" t="str">
        <f t="array" ref="L31">IF(A31="","",IF(Q31&lt;&gt;1,IFNA(INDEX('Growth inputs'!$X$6:$X$55,MATCH(A31,'Growth inputs'!$A$6:$A$55,0)),"n.a."),IF($B$9&lt;&gt;"Ready",$B$9,IF(K31&lt;$B$5,"Too few comparable growth records","Ready"))))</f>
        <v/>
      </c>
      <c r="M31" s="104" t="str">
        <f t="array" ref="M31">IF(A31="","",IFNA(INDEX('Growth inputs'!$J$6:$J$55,MATCH(A31,'Growth inputs'!$A$6:$A$55,0)),"n.a."))</f>
        <v/>
      </c>
      <c r="N31" s="93" t="str">
        <f t="array" ref="N31">IF(A31="","",IF(ISNUMBER(G31),100*(IFNA(INDEX('Growth inputs'!$L$6:$L$55,MATCH(A31,'Growth inputs'!$A$6:$A$55,0)),"n.a.")-IFNA(INDEX('Growth inputs'!$K$6:$K$55,MATCH(A31,'Growth inputs'!$A$6:$A$55,0)),"n.a."))/IFNA(INDEX('Growth inputs'!$F$6:$F$55,MATCH(A31,'Growth inputs'!$A$6:$A$55,0)),"n.a."),"n.a."))</f>
        <v/>
      </c>
      <c r="O31" s="100" t="str">
        <f t="array" ref="O31">IF(A31="","",IF(AND(ISNUMBER(G31),ISNUMBER(IFNA(INDEX('Growth inputs'!$T$6:$T$55,MATCH(A31,'Growth inputs'!$A$6:$A$55,0)),"n.a.")),IFNA(INDEX('Growth inputs'!$U$6:$U$55,MATCH(A31,'Growth inputs'!$A$6:$A$55,0)),"n.a.")&lt;&gt;""),G31-IFNA(INDEX('Growth inputs'!$T$6:$T$55,MATCH(A31,'Growth inputs'!$A$6:$A$55,0)),"n.a."),"n.a."))</f>
        <v/>
      </c>
      <c r="P31" s="93" t="str">
        <f t="shared" si="5"/>
        <v/>
      </c>
      <c r="Q31" s="93">
        <f t="array" ref="Q31">IF(A31="",0,IFERROR(IF(AND(COUNTIF('Growth inputs'!$A$6:$A$55,A31)=1,IFNA(INDEX('Growth inputs'!$W$6:$W$55,MATCH(A31,'Growth inputs'!$A$6:$A$55,0)),"n.a.")=1,COUNT(F31:G31)=2),1,0),0))</f>
        <v>0</v>
      </c>
      <c r="R31" s="104" t="str">
        <f t="array" ref="R31">IF(A31="","",IFNA(INDEX('Growth inputs'!$E$6:$E$55,MATCH(A31,'Growth inputs'!$A$6:$A$55,0)),"n.a."))</f>
        <v/>
      </c>
    </row>
    <row r="32">
      <c r="A32" s="93" t="str">
        <f>IF(Companies!A23="","",Companies!A23)</f>
        <v/>
      </c>
      <c r="B32" s="93" t="str">
        <f>IF(A32="","",Companies!C23)</f>
        <v/>
      </c>
      <c r="C32" s="93" t="str">
        <f t="array" ref="C32">IF(A32="","",IFNA(INDEX('Growth inputs'!$C$6:$C$55,MATCH(A32,'Growth inputs'!$A$6:$A$55,0)),"n.a."))</f>
        <v/>
      </c>
      <c r="D32" s="93" t="str">
        <f t="array" ref="D32">IF(A32="","",IFNA(INDEX('Growth inputs'!$R$6:$R$55,MATCH(A32,'Growth inputs'!$A$6:$A$55,0)),"n.a."))</f>
        <v/>
      </c>
      <c r="E32" s="93" t="str">
        <f t="array" ref="E32">IF(A32="","",IFNA(INDEX('Growth inputs'!$D$6:$D$55,MATCH(A32,'Growth inputs'!$A$6:$A$55,0)),"n.a."))</f>
        <v/>
      </c>
      <c r="F32" s="100" t="str">
        <f t="array" ref="F32">IF(A32="","",IF(COUNTIF('Growth inputs'!$A$6:$A$55,A32)&lt;&gt;1,"n.a.",IF(AND(COUNT(IFNA(INDEX('Growth inputs'!$F$6:$F$55,MATCH(A32,'Growth inputs'!$A$6:$A$55,0)),"n.a."),IFNA(INDEX('Growth inputs'!$H$6:$H$55,MATCH(A32,'Growth inputs'!$A$6:$A$55,0)),"n.a."))=2,IFNA(INDEX('Growth inputs'!$F$6:$F$55,MATCH(A32,'Growth inputs'!$A$6:$A$55,0)),"n.a.")&gt;0,IFNA(INDEX('Growth inputs'!$H$6:$H$55,MATCH(A32,'Growth inputs'!$A$6:$A$55,0)),"n.a.")&gt;0,IFNA(INDEX('Growth inputs'!$D$6:$D$55,MATCH(A32,'Growth inputs'!$A$6:$A$55,0)),"n.a.")=IFNA(INDEX('Growth inputs'!$Z$6:$Z$55,MATCH(A32,'Growth inputs'!$A$6:$A$55,0)),"n.a."),IFNA(INDEX('Growth inputs'!$AB$6:$AB$55,MATCH(A32,'Growth inputs'!$A$6:$A$55,0)),"n.a.")="Yes"),(IFNA(INDEX('Growth inputs'!$F$6:$F$55,MATCH(A32,'Growth inputs'!$A$6:$A$55,0)),"n.a.")/IFNA(INDEX('Growth inputs'!$H$6:$H$55,MATCH(A32,'Growth inputs'!$A$6:$A$55,0)),"n.a."))^(1/3)-1,"n.a.")))</f>
        <v/>
      </c>
      <c r="G32" s="100" t="str">
        <f t="array" ref="G32">IF(A32="","",IF(COUNTIF('Growth inputs'!$A$6:$A$55,A32)&lt;&gt;1,"n.a.",IF(AND(COUNT(IFNA(INDEX('Growth inputs'!$K$6:$K$55,MATCH(A32,'Growth inputs'!$A$6:$A$55,0)),"n.a."),IFNA(INDEX('Growth inputs'!$L$6:$L$55,MATCH(A32,'Growth inputs'!$A$6:$A$55,0)),"n.a."),IFNA(INDEX('Growth inputs'!$F$6:$F$55,MATCH(A32,'Growth inputs'!$A$6:$A$55,0)),"n.a."))=3,IFNA(INDEX('Growth inputs'!$F$6:$F$55,MATCH(A32,'Growth inputs'!$A$6:$A$55,0)),"n.a.")&gt;0,IFNA(INDEX('Growth inputs'!$K$6:$K$55,MATCH(A32,'Growth inputs'!$A$6:$A$55,0)),"n.a.")&lt;=IFNA(INDEX('Growth inputs'!$L$6:$L$55,MATCH(A32,'Growth inputs'!$A$6:$A$55,0)),"n.a."),IFNA(INDEX('Growth inputs'!$D$6:$D$55,MATCH(A32,'Growth inputs'!$A$6:$A$55,0)),"n.a.")=IFNA(INDEX('Growth inputs'!$Y$6:$Y$55,MATCH(A32,'Growth inputs'!$A$6:$A$55,0)),"n.a."),IFNA(INDEX('Growth inputs'!$N$6:$N$55,MATCH(A32,'Growth inputs'!$A$6:$A$55,0)),"n.a.")&lt;&gt;"",IFNA(INDEX('Growth inputs'!$P$6:$P$55,MATCH(A32,'Growth inputs'!$A$6:$A$55,0)),"n.a.")&lt;&gt;"",ISNUMBER(IFNA(INDEX('Growth inputs'!$M$6:$M$55,MATCH(A32,'Growth inputs'!$A$6:$A$55,0)),"n.a.")),IFNA(INDEX('Growth inputs'!$M$6:$M$55,MATCH(A32,'Growth inputs'!$A$6:$A$55,0)),"n.a.")&lt;=Rules!$B$6,ISNUMBER(IFNA(INDEX('Growth inputs'!$I$6:$I$55,MATCH(A32,'Growth inputs'!$A$6:$A$55,0)),"n.a.")),IFNA(INDEX('Growth inputs'!$I$6:$I$55,MATCH(A32,'Growth inputs'!$A$6:$A$55,0)),"n.a.")&lt;=Rules!$B$6),AVERAGE(IFNA(INDEX('Growth inputs'!$K$6:$K$55,MATCH(A32,'Growth inputs'!$A$6:$A$55,0)),"n.a."),IFNA(INDEX('Growth inputs'!$L$6:$L$55,MATCH(A32,'Growth inputs'!$A$6:$A$55,0)),"n.a."))/IFNA(INDEX('Growth inputs'!$F$6:$F$55,MATCH(A32,'Growth inputs'!$A$6:$A$55,0)),"n.a.")-1,"n.a.")))</f>
        <v/>
      </c>
      <c r="H32" s="101" t="str">
        <f t="shared" si="1"/>
        <v/>
      </c>
      <c r="I32" s="101" t="str">
        <f t="shared" si="2"/>
        <v/>
      </c>
      <c r="J32" s="101" t="str">
        <f t="shared" si="3"/>
        <v/>
      </c>
      <c r="K32" s="93" t="str">
        <f t="shared" si="4"/>
        <v/>
      </c>
      <c r="L32" s="93" t="str">
        <f t="array" ref="L32">IF(A32="","",IF(Q32&lt;&gt;1,IFNA(INDEX('Growth inputs'!$X$6:$X$55,MATCH(A32,'Growth inputs'!$A$6:$A$55,0)),"n.a."),IF($B$9&lt;&gt;"Ready",$B$9,IF(K32&lt;$B$5,"Too few comparable growth records","Ready"))))</f>
        <v/>
      </c>
      <c r="M32" s="104" t="str">
        <f t="array" ref="M32">IF(A32="","",IFNA(INDEX('Growth inputs'!$J$6:$J$55,MATCH(A32,'Growth inputs'!$A$6:$A$55,0)),"n.a."))</f>
        <v/>
      </c>
      <c r="N32" s="93" t="str">
        <f t="array" ref="N32">IF(A32="","",IF(ISNUMBER(G32),100*(IFNA(INDEX('Growth inputs'!$L$6:$L$55,MATCH(A32,'Growth inputs'!$A$6:$A$55,0)),"n.a.")-IFNA(INDEX('Growth inputs'!$K$6:$K$55,MATCH(A32,'Growth inputs'!$A$6:$A$55,0)),"n.a."))/IFNA(INDEX('Growth inputs'!$F$6:$F$55,MATCH(A32,'Growth inputs'!$A$6:$A$55,0)),"n.a."),"n.a."))</f>
        <v/>
      </c>
      <c r="O32" s="100" t="str">
        <f t="array" ref="O32">IF(A32="","",IF(AND(ISNUMBER(G32),ISNUMBER(IFNA(INDEX('Growth inputs'!$T$6:$T$55,MATCH(A32,'Growth inputs'!$A$6:$A$55,0)),"n.a.")),IFNA(INDEX('Growth inputs'!$U$6:$U$55,MATCH(A32,'Growth inputs'!$A$6:$A$55,0)),"n.a.")&lt;&gt;""),G32-IFNA(INDEX('Growth inputs'!$T$6:$T$55,MATCH(A32,'Growth inputs'!$A$6:$A$55,0)),"n.a."),"n.a."))</f>
        <v/>
      </c>
      <c r="P32" s="93" t="str">
        <f t="shared" si="5"/>
        <v/>
      </c>
      <c r="Q32" s="93">
        <f t="array" ref="Q32">IF(A32="",0,IFERROR(IF(AND(COUNTIF('Growth inputs'!$A$6:$A$55,A32)=1,IFNA(INDEX('Growth inputs'!$W$6:$W$55,MATCH(A32,'Growth inputs'!$A$6:$A$55,0)),"n.a.")=1,COUNT(F32:G32)=2),1,0),0))</f>
        <v>0</v>
      </c>
      <c r="R32" s="104" t="str">
        <f t="array" ref="R32">IF(A32="","",IFNA(INDEX('Growth inputs'!$E$6:$E$55,MATCH(A32,'Growth inputs'!$A$6:$A$55,0)),"n.a."))</f>
        <v/>
      </c>
    </row>
    <row r="33">
      <c r="A33" s="93" t="str">
        <f>IF(Companies!A24="","",Companies!A24)</f>
        <v/>
      </c>
      <c r="B33" s="93" t="str">
        <f>IF(A33="","",Companies!C24)</f>
        <v/>
      </c>
      <c r="C33" s="93" t="str">
        <f t="array" ref="C33">IF(A33="","",IFNA(INDEX('Growth inputs'!$C$6:$C$55,MATCH(A33,'Growth inputs'!$A$6:$A$55,0)),"n.a."))</f>
        <v/>
      </c>
      <c r="D33" s="93" t="str">
        <f t="array" ref="D33">IF(A33="","",IFNA(INDEX('Growth inputs'!$R$6:$R$55,MATCH(A33,'Growth inputs'!$A$6:$A$55,0)),"n.a."))</f>
        <v/>
      </c>
      <c r="E33" s="93" t="str">
        <f t="array" ref="E33">IF(A33="","",IFNA(INDEX('Growth inputs'!$D$6:$D$55,MATCH(A33,'Growth inputs'!$A$6:$A$55,0)),"n.a."))</f>
        <v/>
      </c>
      <c r="F33" s="100" t="str">
        <f t="array" ref="F33">IF(A33="","",IF(COUNTIF('Growth inputs'!$A$6:$A$55,A33)&lt;&gt;1,"n.a.",IF(AND(COUNT(IFNA(INDEX('Growth inputs'!$F$6:$F$55,MATCH(A33,'Growth inputs'!$A$6:$A$55,0)),"n.a."),IFNA(INDEX('Growth inputs'!$H$6:$H$55,MATCH(A33,'Growth inputs'!$A$6:$A$55,0)),"n.a."))=2,IFNA(INDEX('Growth inputs'!$F$6:$F$55,MATCH(A33,'Growth inputs'!$A$6:$A$55,0)),"n.a.")&gt;0,IFNA(INDEX('Growth inputs'!$H$6:$H$55,MATCH(A33,'Growth inputs'!$A$6:$A$55,0)),"n.a.")&gt;0,IFNA(INDEX('Growth inputs'!$D$6:$D$55,MATCH(A33,'Growth inputs'!$A$6:$A$55,0)),"n.a.")=IFNA(INDEX('Growth inputs'!$Z$6:$Z$55,MATCH(A33,'Growth inputs'!$A$6:$A$55,0)),"n.a."),IFNA(INDEX('Growth inputs'!$AB$6:$AB$55,MATCH(A33,'Growth inputs'!$A$6:$A$55,0)),"n.a.")="Yes"),(IFNA(INDEX('Growth inputs'!$F$6:$F$55,MATCH(A33,'Growth inputs'!$A$6:$A$55,0)),"n.a.")/IFNA(INDEX('Growth inputs'!$H$6:$H$55,MATCH(A33,'Growth inputs'!$A$6:$A$55,0)),"n.a."))^(1/3)-1,"n.a.")))</f>
        <v/>
      </c>
      <c r="G33" s="100" t="str">
        <f t="array" ref="G33">IF(A33="","",IF(COUNTIF('Growth inputs'!$A$6:$A$55,A33)&lt;&gt;1,"n.a.",IF(AND(COUNT(IFNA(INDEX('Growth inputs'!$K$6:$K$55,MATCH(A33,'Growth inputs'!$A$6:$A$55,0)),"n.a."),IFNA(INDEX('Growth inputs'!$L$6:$L$55,MATCH(A33,'Growth inputs'!$A$6:$A$55,0)),"n.a."),IFNA(INDEX('Growth inputs'!$F$6:$F$55,MATCH(A33,'Growth inputs'!$A$6:$A$55,0)),"n.a."))=3,IFNA(INDEX('Growth inputs'!$F$6:$F$55,MATCH(A33,'Growth inputs'!$A$6:$A$55,0)),"n.a.")&gt;0,IFNA(INDEX('Growth inputs'!$K$6:$K$55,MATCH(A33,'Growth inputs'!$A$6:$A$55,0)),"n.a.")&lt;=IFNA(INDEX('Growth inputs'!$L$6:$L$55,MATCH(A33,'Growth inputs'!$A$6:$A$55,0)),"n.a."),IFNA(INDEX('Growth inputs'!$D$6:$D$55,MATCH(A33,'Growth inputs'!$A$6:$A$55,0)),"n.a.")=IFNA(INDEX('Growth inputs'!$Y$6:$Y$55,MATCH(A33,'Growth inputs'!$A$6:$A$55,0)),"n.a."),IFNA(INDEX('Growth inputs'!$N$6:$N$55,MATCH(A33,'Growth inputs'!$A$6:$A$55,0)),"n.a.")&lt;&gt;"",IFNA(INDEX('Growth inputs'!$P$6:$P$55,MATCH(A33,'Growth inputs'!$A$6:$A$55,0)),"n.a.")&lt;&gt;"",ISNUMBER(IFNA(INDEX('Growth inputs'!$M$6:$M$55,MATCH(A33,'Growth inputs'!$A$6:$A$55,0)),"n.a.")),IFNA(INDEX('Growth inputs'!$M$6:$M$55,MATCH(A33,'Growth inputs'!$A$6:$A$55,0)),"n.a.")&lt;=Rules!$B$6,ISNUMBER(IFNA(INDEX('Growth inputs'!$I$6:$I$55,MATCH(A33,'Growth inputs'!$A$6:$A$55,0)),"n.a.")),IFNA(INDEX('Growth inputs'!$I$6:$I$55,MATCH(A33,'Growth inputs'!$A$6:$A$55,0)),"n.a.")&lt;=Rules!$B$6),AVERAGE(IFNA(INDEX('Growth inputs'!$K$6:$K$55,MATCH(A33,'Growth inputs'!$A$6:$A$55,0)),"n.a."),IFNA(INDEX('Growth inputs'!$L$6:$L$55,MATCH(A33,'Growth inputs'!$A$6:$A$55,0)),"n.a."))/IFNA(INDEX('Growth inputs'!$F$6:$F$55,MATCH(A33,'Growth inputs'!$A$6:$A$55,0)),"n.a.")-1,"n.a.")))</f>
        <v/>
      </c>
      <c r="H33" s="101" t="str">
        <f t="shared" si="1"/>
        <v/>
      </c>
      <c r="I33" s="101" t="str">
        <f t="shared" si="2"/>
        <v/>
      </c>
      <c r="J33" s="101" t="str">
        <f t="shared" si="3"/>
        <v/>
      </c>
      <c r="K33" s="93" t="str">
        <f t="shared" si="4"/>
        <v/>
      </c>
      <c r="L33" s="93" t="str">
        <f t="array" ref="L33">IF(A33="","",IF(Q33&lt;&gt;1,IFNA(INDEX('Growth inputs'!$X$6:$X$55,MATCH(A33,'Growth inputs'!$A$6:$A$55,0)),"n.a."),IF($B$9&lt;&gt;"Ready",$B$9,IF(K33&lt;$B$5,"Too few comparable growth records","Ready"))))</f>
        <v/>
      </c>
      <c r="M33" s="104" t="str">
        <f t="array" ref="M33">IF(A33="","",IFNA(INDEX('Growth inputs'!$J$6:$J$55,MATCH(A33,'Growth inputs'!$A$6:$A$55,0)),"n.a."))</f>
        <v/>
      </c>
      <c r="N33" s="93" t="str">
        <f t="array" ref="N33">IF(A33="","",IF(ISNUMBER(G33),100*(IFNA(INDEX('Growth inputs'!$L$6:$L$55,MATCH(A33,'Growth inputs'!$A$6:$A$55,0)),"n.a.")-IFNA(INDEX('Growth inputs'!$K$6:$K$55,MATCH(A33,'Growth inputs'!$A$6:$A$55,0)),"n.a."))/IFNA(INDEX('Growth inputs'!$F$6:$F$55,MATCH(A33,'Growth inputs'!$A$6:$A$55,0)),"n.a."),"n.a."))</f>
        <v/>
      </c>
      <c r="O33" s="100" t="str">
        <f t="array" ref="O33">IF(A33="","",IF(AND(ISNUMBER(G33),ISNUMBER(IFNA(INDEX('Growth inputs'!$T$6:$T$55,MATCH(A33,'Growth inputs'!$A$6:$A$55,0)),"n.a.")),IFNA(INDEX('Growth inputs'!$U$6:$U$55,MATCH(A33,'Growth inputs'!$A$6:$A$55,0)),"n.a.")&lt;&gt;""),G33-IFNA(INDEX('Growth inputs'!$T$6:$T$55,MATCH(A33,'Growth inputs'!$A$6:$A$55,0)),"n.a."),"n.a."))</f>
        <v/>
      </c>
      <c r="P33" s="93" t="str">
        <f t="shared" si="5"/>
        <v/>
      </c>
      <c r="Q33" s="93">
        <f t="array" ref="Q33">IF(A33="",0,IFERROR(IF(AND(COUNTIF('Growth inputs'!$A$6:$A$55,A33)=1,IFNA(INDEX('Growth inputs'!$W$6:$W$55,MATCH(A33,'Growth inputs'!$A$6:$A$55,0)),"n.a.")=1,COUNT(F33:G33)=2),1,0),0))</f>
        <v>0</v>
      </c>
      <c r="R33" s="104" t="str">
        <f t="array" ref="R33">IF(A33="","",IFNA(INDEX('Growth inputs'!$E$6:$E$55,MATCH(A33,'Growth inputs'!$A$6:$A$55,0)),"n.a."))</f>
        <v/>
      </c>
    </row>
    <row r="34">
      <c r="A34" s="93" t="str">
        <f>IF(Companies!A25="","",Companies!A25)</f>
        <v/>
      </c>
      <c r="B34" s="93" t="str">
        <f>IF(A34="","",Companies!C25)</f>
        <v/>
      </c>
      <c r="C34" s="93" t="str">
        <f t="array" ref="C34">IF(A34="","",IFNA(INDEX('Growth inputs'!$C$6:$C$55,MATCH(A34,'Growth inputs'!$A$6:$A$55,0)),"n.a."))</f>
        <v/>
      </c>
      <c r="D34" s="93" t="str">
        <f t="array" ref="D34">IF(A34="","",IFNA(INDEX('Growth inputs'!$R$6:$R$55,MATCH(A34,'Growth inputs'!$A$6:$A$55,0)),"n.a."))</f>
        <v/>
      </c>
      <c r="E34" s="93" t="str">
        <f t="array" ref="E34">IF(A34="","",IFNA(INDEX('Growth inputs'!$D$6:$D$55,MATCH(A34,'Growth inputs'!$A$6:$A$55,0)),"n.a."))</f>
        <v/>
      </c>
      <c r="F34" s="100" t="str">
        <f t="array" ref="F34">IF(A34="","",IF(COUNTIF('Growth inputs'!$A$6:$A$55,A34)&lt;&gt;1,"n.a.",IF(AND(COUNT(IFNA(INDEX('Growth inputs'!$F$6:$F$55,MATCH(A34,'Growth inputs'!$A$6:$A$55,0)),"n.a."),IFNA(INDEX('Growth inputs'!$H$6:$H$55,MATCH(A34,'Growth inputs'!$A$6:$A$55,0)),"n.a."))=2,IFNA(INDEX('Growth inputs'!$F$6:$F$55,MATCH(A34,'Growth inputs'!$A$6:$A$55,0)),"n.a.")&gt;0,IFNA(INDEX('Growth inputs'!$H$6:$H$55,MATCH(A34,'Growth inputs'!$A$6:$A$55,0)),"n.a.")&gt;0,IFNA(INDEX('Growth inputs'!$D$6:$D$55,MATCH(A34,'Growth inputs'!$A$6:$A$55,0)),"n.a.")=IFNA(INDEX('Growth inputs'!$Z$6:$Z$55,MATCH(A34,'Growth inputs'!$A$6:$A$55,0)),"n.a."),IFNA(INDEX('Growth inputs'!$AB$6:$AB$55,MATCH(A34,'Growth inputs'!$A$6:$A$55,0)),"n.a.")="Yes"),(IFNA(INDEX('Growth inputs'!$F$6:$F$55,MATCH(A34,'Growth inputs'!$A$6:$A$55,0)),"n.a.")/IFNA(INDEX('Growth inputs'!$H$6:$H$55,MATCH(A34,'Growth inputs'!$A$6:$A$55,0)),"n.a."))^(1/3)-1,"n.a.")))</f>
        <v/>
      </c>
      <c r="G34" s="100" t="str">
        <f t="array" ref="G34">IF(A34="","",IF(COUNTIF('Growth inputs'!$A$6:$A$55,A34)&lt;&gt;1,"n.a.",IF(AND(COUNT(IFNA(INDEX('Growth inputs'!$K$6:$K$55,MATCH(A34,'Growth inputs'!$A$6:$A$55,0)),"n.a."),IFNA(INDEX('Growth inputs'!$L$6:$L$55,MATCH(A34,'Growth inputs'!$A$6:$A$55,0)),"n.a."),IFNA(INDEX('Growth inputs'!$F$6:$F$55,MATCH(A34,'Growth inputs'!$A$6:$A$55,0)),"n.a."))=3,IFNA(INDEX('Growth inputs'!$F$6:$F$55,MATCH(A34,'Growth inputs'!$A$6:$A$55,0)),"n.a.")&gt;0,IFNA(INDEX('Growth inputs'!$K$6:$K$55,MATCH(A34,'Growth inputs'!$A$6:$A$55,0)),"n.a.")&lt;=IFNA(INDEX('Growth inputs'!$L$6:$L$55,MATCH(A34,'Growth inputs'!$A$6:$A$55,0)),"n.a."),IFNA(INDEX('Growth inputs'!$D$6:$D$55,MATCH(A34,'Growth inputs'!$A$6:$A$55,0)),"n.a.")=IFNA(INDEX('Growth inputs'!$Y$6:$Y$55,MATCH(A34,'Growth inputs'!$A$6:$A$55,0)),"n.a."),IFNA(INDEX('Growth inputs'!$N$6:$N$55,MATCH(A34,'Growth inputs'!$A$6:$A$55,0)),"n.a.")&lt;&gt;"",IFNA(INDEX('Growth inputs'!$P$6:$P$55,MATCH(A34,'Growth inputs'!$A$6:$A$55,0)),"n.a.")&lt;&gt;"",ISNUMBER(IFNA(INDEX('Growth inputs'!$M$6:$M$55,MATCH(A34,'Growth inputs'!$A$6:$A$55,0)),"n.a.")),IFNA(INDEX('Growth inputs'!$M$6:$M$55,MATCH(A34,'Growth inputs'!$A$6:$A$55,0)),"n.a.")&lt;=Rules!$B$6,ISNUMBER(IFNA(INDEX('Growth inputs'!$I$6:$I$55,MATCH(A34,'Growth inputs'!$A$6:$A$55,0)),"n.a.")),IFNA(INDEX('Growth inputs'!$I$6:$I$55,MATCH(A34,'Growth inputs'!$A$6:$A$55,0)),"n.a.")&lt;=Rules!$B$6),AVERAGE(IFNA(INDEX('Growth inputs'!$K$6:$K$55,MATCH(A34,'Growth inputs'!$A$6:$A$55,0)),"n.a."),IFNA(INDEX('Growth inputs'!$L$6:$L$55,MATCH(A34,'Growth inputs'!$A$6:$A$55,0)),"n.a."))/IFNA(INDEX('Growth inputs'!$F$6:$F$55,MATCH(A34,'Growth inputs'!$A$6:$A$55,0)),"n.a.")-1,"n.a.")))</f>
        <v/>
      </c>
      <c r="H34" s="101" t="str">
        <f t="shared" si="1"/>
        <v/>
      </c>
      <c r="I34" s="101" t="str">
        <f t="shared" si="2"/>
        <v/>
      </c>
      <c r="J34" s="101" t="str">
        <f t="shared" si="3"/>
        <v/>
      </c>
      <c r="K34" s="93" t="str">
        <f t="shared" si="4"/>
        <v/>
      </c>
      <c r="L34" s="93" t="str">
        <f t="array" ref="L34">IF(A34="","",IF(Q34&lt;&gt;1,IFNA(INDEX('Growth inputs'!$X$6:$X$55,MATCH(A34,'Growth inputs'!$A$6:$A$55,0)),"n.a."),IF($B$9&lt;&gt;"Ready",$B$9,IF(K34&lt;$B$5,"Too few comparable growth records","Ready"))))</f>
        <v/>
      </c>
      <c r="M34" s="104" t="str">
        <f t="array" ref="M34">IF(A34="","",IFNA(INDEX('Growth inputs'!$J$6:$J$55,MATCH(A34,'Growth inputs'!$A$6:$A$55,0)),"n.a."))</f>
        <v/>
      </c>
      <c r="N34" s="93" t="str">
        <f t="array" ref="N34">IF(A34="","",IF(ISNUMBER(G34),100*(IFNA(INDEX('Growth inputs'!$L$6:$L$55,MATCH(A34,'Growth inputs'!$A$6:$A$55,0)),"n.a.")-IFNA(INDEX('Growth inputs'!$K$6:$K$55,MATCH(A34,'Growth inputs'!$A$6:$A$55,0)),"n.a."))/IFNA(INDEX('Growth inputs'!$F$6:$F$55,MATCH(A34,'Growth inputs'!$A$6:$A$55,0)),"n.a."),"n.a."))</f>
        <v/>
      </c>
      <c r="O34" s="100" t="str">
        <f t="array" ref="O34">IF(A34="","",IF(AND(ISNUMBER(G34),ISNUMBER(IFNA(INDEX('Growth inputs'!$T$6:$T$55,MATCH(A34,'Growth inputs'!$A$6:$A$55,0)),"n.a.")),IFNA(INDEX('Growth inputs'!$U$6:$U$55,MATCH(A34,'Growth inputs'!$A$6:$A$55,0)),"n.a.")&lt;&gt;""),G34-IFNA(INDEX('Growth inputs'!$T$6:$T$55,MATCH(A34,'Growth inputs'!$A$6:$A$55,0)),"n.a."),"n.a."))</f>
        <v/>
      </c>
      <c r="P34" s="93" t="str">
        <f t="shared" si="5"/>
        <v/>
      </c>
      <c r="Q34" s="93">
        <f t="array" ref="Q34">IF(A34="",0,IFERROR(IF(AND(COUNTIF('Growth inputs'!$A$6:$A$55,A34)=1,IFNA(INDEX('Growth inputs'!$W$6:$W$55,MATCH(A34,'Growth inputs'!$A$6:$A$55,0)),"n.a.")=1,COUNT(F34:G34)=2),1,0),0))</f>
        <v>0</v>
      </c>
      <c r="R34" s="104" t="str">
        <f t="array" ref="R34">IF(A34="","",IFNA(INDEX('Growth inputs'!$E$6:$E$55,MATCH(A34,'Growth inputs'!$A$6:$A$55,0)),"n.a."))</f>
        <v/>
      </c>
    </row>
    <row r="35">
      <c r="A35" s="93" t="str">
        <f>IF(Companies!A26="","",Companies!A26)</f>
        <v/>
      </c>
      <c r="B35" s="93" t="str">
        <f>IF(A35="","",Companies!C26)</f>
        <v/>
      </c>
      <c r="C35" s="93" t="str">
        <f t="array" ref="C35">IF(A35="","",IFNA(INDEX('Growth inputs'!$C$6:$C$55,MATCH(A35,'Growth inputs'!$A$6:$A$55,0)),"n.a."))</f>
        <v/>
      </c>
      <c r="D35" s="93" t="str">
        <f t="array" ref="D35">IF(A35="","",IFNA(INDEX('Growth inputs'!$R$6:$R$55,MATCH(A35,'Growth inputs'!$A$6:$A$55,0)),"n.a."))</f>
        <v/>
      </c>
      <c r="E35" s="93" t="str">
        <f t="array" ref="E35">IF(A35="","",IFNA(INDEX('Growth inputs'!$D$6:$D$55,MATCH(A35,'Growth inputs'!$A$6:$A$55,0)),"n.a."))</f>
        <v/>
      </c>
      <c r="F35" s="100" t="str">
        <f t="array" ref="F35">IF(A35="","",IF(COUNTIF('Growth inputs'!$A$6:$A$55,A35)&lt;&gt;1,"n.a.",IF(AND(COUNT(IFNA(INDEX('Growth inputs'!$F$6:$F$55,MATCH(A35,'Growth inputs'!$A$6:$A$55,0)),"n.a."),IFNA(INDEX('Growth inputs'!$H$6:$H$55,MATCH(A35,'Growth inputs'!$A$6:$A$55,0)),"n.a."))=2,IFNA(INDEX('Growth inputs'!$F$6:$F$55,MATCH(A35,'Growth inputs'!$A$6:$A$55,0)),"n.a.")&gt;0,IFNA(INDEX('Growth inputs'!$H$6:$H$55,MATCH(A35,'Growth inputs'!$A$6:$A$55,0)),"n.a.")&gt;0,IFNA(INDEX('Growth inputs'!$D$6:$D$55,MATCH(A35,'Growth inputs'!$A$6:$A$55,0)),"n.a.")=IFNA(INDEX('Growth inputs'!$Z$6:$Z$55,MATCH(A35,'Growth inputs'!$A$6:$A$55,0)),"n.a."),IFNA(INDEX('Growth inputs'!$AB$6:$AB$55,MATCH(A35,'Growth inputs'!$A$6:$A$55,0)),"n.a.")="Yes"),(IFNA(INDEX('Growth inputs'!$F$6:$F$55,MATCH(A35,'Growth inputs'!$A$6:$A$55,0)),"n.a.")/IFNA(INDEX('Growth inputs'!$H$6:$H$55,MATCH(A35,'Growth inputs'!$A$6:$A$55,0)),"n.a."))^(1/3)-1,"n.a.")))</f>
        <v/>
      </c>
      <c r="G35" s="100" t="str">
        <f t="array" ref="G35">IF(A35="","",IF(COUNTIF('Growth inputs'!$A$6:$A$55,A35)&lt;&gt;1,"n.a.",IF(AND(COUNT(IFNA(INDEX('Growth inputs'!$K$6:$K$55,MATCH(A35,'Growth inputs'!$A$6:$A$55,0)),"n.a."),IFNA(INDEX('Growth inputs'!$L$6:$L$55,MATCH(A35,'Growth inputs'!$A$6:$A$55,0)),"n.a."),IFNA(INDEX('Growth inputs'!$F$6:$F$55,MATCH(A35,'Growth inputs'!$A$6:$A$55,0)),"n.a."))=3,IFNA(INDEX('Growth inputs'!$F$6:$F$55,MATCH(A35,'Growth inputs'!$A$6:$A$55,0)),"n.a.")&gt;0,IFNA(INDEX('Growth inputs'!$K$6:$K$55,MATCH(A35,'Growth inputs'!$A$6:$A$55,0)),"n.a.")&lt;=IFNA(INDEX('Growth inputs'!$L$6:$L$55,MATCH(A35,'Growth inputs'!$A$6:$A$55,0)),"n.a."),IFNA(INDEX('Growth inputs'!$D$6:$D$55,MATCH(A35,'Growth inputs'!$A$6:$A$55,0)),"n.a.")=IFNA(INDEX('Growth inputs'!$Y$6:$Y$55,MATCH(A35,'Growth inputs'!$A$6:$A$55,0)),"n.a."),IFNA(INDEX('Growth inputs'!$N$6:$N$55,MATCH(A35,'Growth inputs'!$A$6:$A$55,0)),"n.a.")&lt;&gt;"",IFNA(INDEX('Growth inputs'!$P$6:$P$55,MATCH(A35,'Growth inputs'!$A$6:$A$55,0)),"n.a.")&lt;&gt;"",ISNUMBER(IFNA(INDEX('Growth inputs'!$M$6:$M$55,MATCH(A35,'Growth inputs'!$A$6:$A$55,0)),"n.a.")),IFNA(INDEX('Growth inputs'!$M$6:$M$55,MATCH(A35,'Growth inputs'!$A$6:$A$55,0)),"n.a.")&lt;=Rules!$B$6,ISNUMBER(IFNA(INDEX('Growth inputs'!$I$6:$I$55,MATCH(A35,'Growth inputs'!$A$6:$A$55,0)),"n.a.")),IFNA(INDEX('Growth inputs'!$I$6:$I$55,MATCH(A35,'Growth inputs'!$A$6:$A$55,0)),"n.a.")&lt;=Rules!$B$6),AVERAGE(IFNA(INDEX('Growth inputs'!$K$6:$K$55,MATCH(A35,'Growth inputs'!$A$6:$A$55,0)),"n.a."),IFNA(INDEX('Growth inputs'!$L$6:$L$55,MATCH(A35,'Growth inputs'!$A$6:$A$55,0)),"n.a."))/IFNA(INDEX('Growth inputs'!$F$6:$F$55,MATCH(A35,'Growth inputs'!$A$6:$A$55,0)),"n.a.")-1,"n.a.")))</f>
        <v/>
      </c>
      <c r="H35" s="101" t="str">
        <f t="shared" si="1"/>
        <v/>
      </c>
      <c r="I35" s="101" t="str">
        <f t="shared" si="2"/>
        <v/>
      </c>
      <c r="J35" s="101" t="str">
        <f t="shared" si="3"/>
        <v/>
      </c>
      <c r="K35" s="93" t="str">
        <f t="shared" si="4"/>
        <v/>
      </c>
      <c r="L35" s="93" t="str">
        <f t="array" ref="L35">IF(A35="","",IF(Q35&lt;&gt;1,IFNA(INDEX('Growth inputs'!$X$6:$X$55,MATCH(A35,'Growth inputs'!$A$6:$A$55,0)),"n.a."),IF($B$9&lt;&gt;"Ready",$B$9,IF(K35&lt;$B$5,"Too few comparable growth records","Ready"))))</f>
        <v/>
      </c>
      <c r="M35" s="104" t="str">
        <f t="array" ref="M35">IF(A35="","",IFNA(INDEX('Growth inputs'!$J$6:$J$55,MATCH(A35,'Growth inputs'!$A$6:$A$55,0)),"n.a."))</f>
        <v/>
      </c>
      <c r="N35" s="93" t="str">
        <f t="array" ref="N35">IF(A35="","",IF(ISNUMBER(G35),100*(IFNA(INDEX('Growth inputs'!$L$6:$L$55,MATCH(A35,'Growth inputs'!$A$6:$A$55,0)),"n.a.")-IFNA(INDEX('Growth inputs'!$K$6:$K$55,MATCH(A35,'Growth inputs'!$A$6:$A$55,0)),"n.a."))/IFNA(INDEX('Growth inputs'!$F$6:$F$55,MATCH(A35,'Growth inputs'!$A$6:$A$55,0)),"n.a."),"n.a."))</f>
        <v/>
      </c>
      <c r="O35" s="100" t="str">
        <f t="array" ref="O35">IF(A35="","",IF(AND(ISNUMBER(G35),ISNUMBER(IFNA(INDEX('Growth inputs'!$T$6:$T$55,MATCH(A35,'Growth inputs'!$A$6:$A$55,0)),"n.a.")),IFNA(INDEX('Growth inputs'!$U$6:$U$55,MATCH(A35,'Growth inputs'!$A$6:$A$55,0)),"n.a.")&lt;&gt;""),G35-IFNA(INDEX('Growth inputs'!$T$6:$T$55,MATCH(A35,'Growth inputs'!$A$6:$A$55,0)),"n.a."),"n.a."))</f>
        <v/>
      </c>
      <c r="P35" s="93" t="str">
        <f t="shared" si="5"/>
        <v/>
      </c>
      <c r="Q35" s="93">
        <f t="array" ref="Q35">IF(A35="",0,IFERROR(IF(AND(COUNTIF('Growth inputs'!$A$6:$A$55,A35)=1,IFNA(INDEX('Growth inputs'!$W$6:$W$55,MATCH(A35,'Growth inputs'!$A$6:$A$55,0)),"n.a.")=1,COUNT(F35:G35)=2),1,0),0))</f>
        <v>0</v>
      </c>
      <c r="R35" s="104" t="str">
        <f t="array" ref="R35">IF(A35="","",IFNA(INDEX('Growth inputs'!$E$6:$E$55,MATCH(A35,'Growth inputs'!$A$6:$A$55,0)),"n.a."))</f>
        <v/>
      </c>
    </row>
    <row r="36">
      <c r="A36" s="93" t="str">
        <f>IF(Companies!A27="","",Companies!A27)</f>
        <v/>
      </c>
      <c r="B36" s="93" t="str">
        <f>IF(A36="","",Companies!C27)</f>
        <v/>
      </c>
      <c r="C36" s="93" t="str">
        <f t="array" ref="C36">IF(A36="","",IFNA(INDEX('Growth inputs'!$C$6:$C$55,MATCH(A36,'Growth inputs'!$A$6:$A$55,0)),"n.a."))</f>
        <v/>
      </c>
      <c r="D36" s="93" t="str">
        <f t="array" ref="D36">IF(A36="","",IFNA(INDEX('Growth inputs'!$R$6:$R$55,MATCH(A36,'Growth inputs'!$A$6:$A$55,0)),"n.a."))</f>
        <v/>
      </c>
      <c r="E36" s="93" t="str">
        <f t="array" ref="E36">IF(A36="","",IFNA(INDEX('Growth inputs'!$D$6:$D$55,MATCH(A36,'Growth inputs'!$A$6:$A$55,0)),"n.a."))</f>
        <v/>
      </c>
      <c r="F36" s="100" t="str">
        <f t="array" ref="F36">IF(A36="","",IF(COUNTIF('Growth inputs'!$A$6:$A$55,A36)&lt;&gt;1,"n.a.",IF(AND(COUNT(IFNA(INDEX('Growth inputs'!$F$6:$F$55,MATCH(A36,'Growth inputs'!$A$6:$A$55,0)),"n.a."),IFNA(INDEX('Growth inputs'!$H$6:$H$55,MATCH(A36,'Growth inputs'!$A$6:$A$55,0)),"n.a."))=2,IFNA(INDEX('Growth inputs'!$F$6:$F$55,MATCH(A36,'Growth inputs'!$A$6:$A$55,0)),"n.a.")&gt;0,IFNA(INDEX('Growth inputs'!$H$6:$H$55,MATCH(A36,'Growth inputs'!$A$6:$A$55,0)),"n.a.")&gt;0,IFNA(INDEX('Growth inputs'!$D$6:$D$55,MATCH(A36,'Growth inputs'!$A$6:$A$55,0)),"n.a.")=IFNA(INDEX('Growth inputs'!$Z$6:$Z$55,MATCH(A36,'Growth inputs'!$A$6:$A$55,0)),"n.a."),IFNA(INDEX('Growth inputs'!$AB$6:$AB$55,MATCH(A36,'Growth inputs'!$A$6:$A$55,0)),"n.a.")="Yes"),(IFNA(INDEX('Growth inputs'!$F$6:$F$55,MATCH(A36,'Growth inputs'!$A$6:$A$55,0)),"n.a.")/IFNA(INDEX('Growth inputs'!$H$6:$H$55,MATCH(A36,'Growth inputs'!$A$6:$A$55,0)),"n.a."))^(1/3)-1,"n.a.")))</f>
        <v/>
      </c>
      <c r="G36" s="100" t="str">
        <f t="array" ref="G36">IF(A36="","",IF(COUNTIF('Growth inputs'!$A$6:$A$55,A36)&lt;&gt;1,"n.a.",IF(AND(COUNT(IFNA(INDEX('Growth inputs'!$K$6:$K$55,MATCH(A36,'Growth inputs'!$A$6:$A$55,0)),"n.a."),IFNA(INDEX('Growth inputs'!$L$6:$L$55,MATCH(A36,'Growth inputs'!$A$6:$A$55,0)),"n.a."),IFNA(INDEX('Growth inputs'!$F$6:$F$55,MATCH(A36,'Growth inputs'!$A$6:$A$55,0)),"n.a."))=3,IFNA(INDEX('Growth inputs'!$F$6:$F$55,MATCH(A36,'Growth inputs'!$A$6:$A$55,0)),"n.a.")&gt;0,IFNA(INDEX('Growth inputs'!$K$6:$K$55,MATCH(A36,'Growth inputs'!$A$6:$A$55,0)),"n.a.")&lt;=IFNA(INDEX('Growth inputs'!$L$6:$L$55,MATCH(A36,'Growth inputs'!$A$6:$A$55,0)),"n.a."),IFNA(INDEX('Growth inputs'!$D$6:$D$55,MATCH(A36,'Growth inputs'!$A$6:$A$55,0)),"n.a.")=IFNA(INDEX('Growth inputs'!$Y$6:$Y$55,MATCH(A36,'Growth inputs'!$A$6:$A$55,0)),"n.a."),IFNA(INDEX('Growth inputs'!$N$6:$N$55,MATCH(A36,'Growth inputs'!$A$6:$A$55,0)),"n.a.")&lt;&gt;"",IFNA(INDEX('Growth inputs'!$P$6:$P$55,MATCH(A36,'Growth inputs'!$A$6:$A$55,0)),"n.a.")&lt;&gt;"",ISNUMBER(IFNA(INDEX('Growth inputs'!$M$6:$M$55,MATCH(A36,'Growth inputs'!$A$6:$A$55,0)),"n.a.")),IFNA(INDEX('Growth inputs'!$M$6:$M$55,MATCH(A36,'Growth inputs'!$A$6:$A$55,0)),"n.a.")&lt;=Rules!$B$6,ISNUMBER(IFNA(INDEX('Growth inputs'!$I$6:$I$55,MATCH(A36,'Growth inputs'!$A$6:$A$55,0)),"n.a.")),IFNA(INDEX('Growth inputs'!$I$6:$I$55,MATCH(A36,'Growth inputs'!$A$6:$A$55,0)),"n.a.")&lt;=Rules!$B$6),AVERAGE(IFNA(INDEX('Growth inputs'!$K$6:$K$55,MATCH(A36,'Growth inputs'!$A$6:$A$55,0)),"n.a."),IFNA(INDEX('Growth inputs'!$L$6:$L$55,MATCH(A36,'Growth inputs'!$A$6:$A$55,0)),"n.a."))/IFNA(INDEX('Growth inputs'!$F$6:$F$55,MATCH(A36,'Growth inputs'!$A$6:$A$55,0)),"n.a.")-1,"n.a.")))</f>
        <v/>
      </c>
      <c r="H36" s="101" t="str">
        <f t="shared" si="1"/>
        <v/>
      </c>
      <c r="I36" s="101" t="str">
        <f t="shared" si="2"/>
        <v/>
      </c>
      <c r="J36" s="101" t="str">
        <f t="shared" si="3"/>
        <v/>
      </c>
      <c r="K36" s="93" t="str">
        <f t="shared" si="4"/>
        <v/>
      </c>
      <c r="L36" s="93" t="str">
        <f t="array" ref="L36">IF(A36="","",IF(Q36&lt;&gt;1,IFNA(INDEX('Growth inputs'!$X$6:$X$55,MATCH(A36,'Growth inputs'!$A$6:$A$55,0)),"n.a."),IF($B$9&lt;&gt;"Ready",$B$9,IF(K36&lt;$B$5,"Too few comparable growth records","Ready"))))</f>
        <v/>
      </c>
      <c r="M36" s="104" t="str">
        <f t="array" ref="M36">IF(A36="","",IFNA(INDEX('Growth inputs'!$J$6:$J$55,MATCH(A36,'Growth inputs'!$A$6:$A$55,0)),"n.a."))</f>
        <v/>
      </c>
      <c r="N36" s="93" t="str">
        <f t="array" ref="N36">IF(A36="","",IF(ISNUMBER(G36),100*(IFNA(INDEX('Growth inputs'!$L$6:$L$55,MATCH(A36,'Growth inputs'!$A$6:$A$55,0)),"n.a.")-IFNA(INDEX('Growth inputs'!$K$6:$K$55,MATCH(A36,'Growth inputs'!$A$6:$A$55,0)),"n.a."))/IFNA(INDEX('Growth inputs'!$F$6:$F$55,MATCH(A36,'Growth inputs'!$A$6:$A$55,0)),"n.a."),"n.a."))</f>
        <v/>
      </c>
      <c r="O36" s="100" t="str">
        <f t="array" ref="O36">IF(A36="","",IF(AND(ISNUMBER(G36),ISNUMBER(IFNA(INDEX('Growth inputs'!$T$6:$T$55,MATCH(A36,'Growth inputs'!$A$6:$A$55,0)),"n.a.")),IFNA(INDEX('Growth inputs'!$U$6:$U$55,MATCH(A36,'Growth inputs'!$A$6:$A$55,0)),"n.a.")&lt;&gt;""),G36-IFNA(INDEX('Growth inputs'!$T$6:$T$55,MATCH(A36,'Growth inputs'!$A$6:$A$55,0)),"n.a."),"n.a."))</f>
        <v/>
      </c>
      <c r="P36" s="93" t="str">
        <f t="shared" si="5"/>
        <v/>
      </c>
      <c r="Q36" s="93">
        <f t="array" ref="Q36">IF(A36="",0,IFERROR(IF(AND(COUNTIF('Growth inputs'!$A$6:$A$55,A36)=1,IFNA(INDEX('Growth inputs'!$W$6:$W$55,MATCH(A36,'Growth inputs'!$A$6:$A$55,0)),"n.a.")=1,COUNT(F36:G36)=2),1,0),0))</f>
        <v>0</v>
      </c>
      <c r="R36" s="104" t="str">
        <f t="array" ref="R36">IF(A36="","",IFNA(INDEX('Growth inputs'!$E$6:$E$55,MATCH(A36,'Growth inputs'!$A$6:$A$55,0)),"n.a."))</f>
        <v/>
      </c>
    </row>
    <row r="37">
      <c r="A37" s="93" t="str">
        <f>IF(Companies!A28="","",Companies!A28)</f>
        <v/>
      </c>
      <c r="B37" s="93" t="str">
        <f>IF(A37="","",Companies!C28)</f>
        <v/>
      </c>
      <c r="C37" s="93" t="str">
        <f t="array" ref="C37">IF(A37="","",IFNA(INDEX('Growth inputs'!$C$6:$C$55,MATCH(A37,'Growth inputs'!$A$6:$A$55,0)),"n.a."))</f>
        <v/>
      </c>
      <c r="D37" s="93" t="str">
        <f t="array" ref="D37">IF(A37="","",IFNA(INDEX('Growth inputs'!$R$6:$R$55,MATCH(A37,'Growth inputs'!$A$6:$A$55,0)),"n.a."))</f>
        <v/>
      </c>
      <c r="E37" s="93" t="str">
        <f t="array" ref="E37">IF(A37="","",IFNA(INDEX('Growth inputs'!$D$6:$D$55,MATCH(A37,'Growth inputs'!$A$6:$A$55,0)),"n.a."))</f>
        <v/>
      </c>
      <c r="F37" s="100" t="str">
        <f t="array" ref="F37">IF(A37="","",IF(COUNTIF('Growth inputs'!$A$6:$A$55,A37)&lt;&gt;1,"n.a.",IF(AND(COUNT(IFNA(INDEX('Growth inputs'!$F$6:$F$55,MATCH(A37,'Growth inputs'!$A$6:$A$55,0)),"n.a."),IFNA(INDEX('Growth inputs'!$H$6:$H$55,MATCH(A37,'Growth inputs'!$A$6:$A$55,0)),"n.a."))=2,IFNA(INDEX('Growth inputs'!$F$6:$F$55,MATCH(A37,'Growth inputs'!$A$6:$A$55,0)),"n.a.")&gt;0,IFNA(INDEX('Growth inputs'!$H$6:$H$55,MATCH(A37,'Growth inputs'!$A$6:$A$55,0)),"n.a.")&gt;0,IFNA(INDEX('Growth inputs'!$D$6:$D$55,MATCH(A37,'Growth inputs'!$A$6:$A$55,0)),"n.a.")=IFNA(INDEX('Growth inputs'!$Z$6:$Z$55,MATCH(A37,'Growth inputs'!$A$6:$A$55,0)),"n.a."),IFNA(INDEX('Growth inputs'!$AB$6:$AB$55,MATCH(A37,'Growth inputs'!$A$6:$A$55,0)),"n.a.")="Yes"),(IFNA(INDEX('Growth inputs'!$F$6:$F$55,MATCH(A37,'Growth inputs'!$A$6:$A$55,0)),"n.a.")/IFNA(INDEX('Growth inputs'!$H$6:$H$55,MATCH(A37,'Growth inputs'!$A$6:$A$55,0)),"n.a."))^(1/3)-1,"n.a.")))</f>
        <v/>
      </c>
      <c r="G37" s="100" t="str">
        <f t="array" ref="G37">IF(A37="","",IF(COUNTIF('Growth inputs'!$A$6:$A$55,A37)&lt;&gt;1,"n.a.",IF(AND(COUNT(IFNA(INDEX('Growth inputs'!$K$6:$K$55,MATCH(A37,'Growth inputs'!$A$6:$A$55,0)),"n.a."),IFNA(INDEX('Growth inputs'!$L$6:$L$55,MATCH(A37,'Growth inputs'!$A$6:$A$55,0)),"n.a."),IFNA(INDEX('Growth inputs'!$F$6:$F$55,MATCH(A37,'Growth inputs'!$A$6:$A$55,0)),"n.a."))=3,IFNA(INDEX('Growth inputs'!$F$6:$F$55,MATCH(A37,'Growth inputs'!$A$6:$A$55,0)),"n.a.")&gt;0,IFNA(INDEX('Growth inputs'!$K$6:$K$55,MATCH(A37,'Growth inputs'!$A$6:$A$55,0)),"n.a.")&lt;=IFNA(INDEX('Growth inputs'!$L$6:$L$55,MATCH(A37,'Growth inputs'!$A$6:$A$55,0)),"n.a."),IFNA(INDEX('Growth inputs'!$D$6:$D$55,MATCH(A37,'Growth inputs'!$A$6:$A$55,0)),"n.a.")=IFNA(INDEX('Growth inputs'!$Y$6:$Y$55,MATCH(A37,'Growth inputs'!$A$6:$A$55,0)),"n.a."),IFNA(INDEX('Growth inputs'!$N$6:$N$55,MATCH(A37,'Growth inputs'!$A$6:$A$55,0)),"n.a.")&lt;&gt;"",IFNA(INDEX('Growth inputs'!$P$6:$P$55,MATCH(A37,'Growth inputs'!$A$6:$A$55,0)),"n.a.")&lt;&gt;"",ISNUMBER(IFNA(INDEX('Growth inputs'!$M$6:$M$55,MATCH(A37,'Growth inputs'!$A$6:$A$55,0)),"n.a.")),IFNA(INDEX('Growth inputs'!$M$6:$M$55,MATCH(A37,'Growth inputs'!$A$6:$A$55,0)),"n.a.")&lt;=Rules!$B$6,ISNUMBER(IFNA(INDEX('Growth inputs'!$I$6:$I$55,MATCH(A37,'Growth inputs'!$A$6:$A$55,0)),"n.a.")),IFNA(INDEX('Growth inputs'!$I$6:$I$55,MATCH(A37,'Growth inputs'!$A$6:$A$55,0)),"n.a.")&lt;=Rules!$B$6),AVERAGE(IFNA(INDEX('Growth inputs'!$K$6:$K$55,MATCH(A37,'Growth inputs'!$A$6:$A$55,0)),"n.a."),IFNA(INDEX('Growth inputs'!$L$6:$L$55,MATCH(A37,'Growth inputs'!$A$6:$A$55,0)),"n.a."))/IFNA(INDEX('Growth inputs'!$F$6:$F$55,MATCH(A37,'Growth inputs'!$A$6:$A$55,0)),"n.a.")-1,"n.a.")))</f>
        <v/>
      </c>
      <c r="H37" s="101" t="str">
        <f t="shared" si="1"/>
        <v/>
      </c>
      <c r="I37" s="101" t="str">
        <f t="shared" si="2"/>
        <v/>
      </c>
      <c r="J37" s="101" t="str">
        <f t="shared" si="3"/>
        <v/>
      </c>
      <c r="K37" s="93" t="str">
        <f t="shared" si="4"/>
        <v/>
      </c>
      <c r="L37" s="93" t="str">
        <f t="array" ref="L37">IF(A37="","",IF(Q37&lt;&gt;1,IFNA(INDEX('Growth inputs'!$X$6:$X$55,MATCH(A37,'Growth inputs'!$A$6:$A$55,0)),"n.a."),IF($B$9&lt;&gt;"Ready",$B$9,IF(K37&lt;$B$5,"Too few comparable growth records","Ready"))))</f>
        <v/>
      </c>
      <c r="M37" s="104" t="str">
        <f t="array" ref="M37">IF(A37="","",IFNA(INDEX('Growth inputs'!$J$6:$J$55,MATCH(A37,'Growth inputs'!$A$6:$A$55,0)),"n.a."))</f>
        <v/>
      </c>
      <c r="N37" s="93" t="str">
        <f t="array" ref="N37">IF(A37="","",IF(ISNUMBER(G37),100*(IFNA(INDEX('Growth inputs'!$L$6:$L$55,MATCH(A37,'Growth inputs'!$A$6:$A$55,0)),"n.a.")-IFNA(INDEX('Growth inputs'!$K$6:$K$55,MATCH(A37,'Growth inputs'!$A$6:$A$55,0)),"n.a."))/IFNA(INDEX('Growth inputs'!$F$6:$F$55,MATCH(A37,'Growth inputs'!$A$6:$A$55,0)),"n.a."),"n.a."))</f>
        <v/>
      </c>
      <c r="O37" s="100" t="str">
        <f t="array" ref="O37">IF(A37="","",IF(AND(ISNUMBER(G37),ISNUMBER(IFNA(INDEX('Growth inputs'!$T$6:$T$55,MATCH(A37,'Growth inputs'!$A$6:$A$55,0)),"n.a.")),IFNA(INDEX('Growth inputs'!$U$6:$U$55,MATCH(A37,'Growth inputs'!$A$6:$A$55,0)),"n.a.")&lt;&gt;""),G37-IFNA(INDEX('Growth inputs'!$T$6:$T$55,MATCH(A37,'Growth inputs'!$A$6:$A$55,0)),"n.a."),"n.a."))</f>
        <v/>
      </c>
      <c r="P37" s="93" t="str">
        <f t="shared" si="5"/>
        <v/>
      </c>
      <c r="Q37" s="93">
        <f t="array" ref="Q37">IF(A37="",0,IFERROR(IF(AND(COUNTIF('Growth inputs'!$A$6:$A$55,A37)=1,IFNA(INDEX('Growth inputs'!$W$6:$W$55,MATCH(A37,'Growth inputs'!$A$6:$A$55,0)),"n.a.")=1,COUNT(F37:G37)=2),1,0),0))</f>
        <v>0</v>
      </c>
      <c r="R37" s="104" t="str">
        <f t="array" ref="R37">IF(A37="","",IFNA(INDEX('Growth inputs'!$E$6:$E$55,MATCH(A37,'Growth inputs'!$A$6:$A$55,0)),"n.a."))</f>
        <v/>
      </c>
    </row>
    <row r="38">
      <c r="A38" s="93" t="str">
        <f>IF(Companies!A29="","",Companies!A29)</f>
        <v/>
      </c>
      <c r="B38" s="93" t="str">
        <f>IF(A38="","",Companies!C29)</f>
        <v/>
      </c>
      <c r="C38" s="93" t="str">
        <f t="array" ref="C38">IF(A38="","",IFNA(INDEX('Growth inputs'!$C$6:$C$55,MATCH(A38,'Growth inputs'!$A$6:$A$55,0)),"n.a."))</f>
        <v/>
      </c>
      <c r="D38" s="93" t="str">
        <f t="array" ref="D38">IF(A38="","",IFNA(INDEX('Growth inputs'!$R$6:$R$55,MATCH(A38,'Growth inputs'!$A$6:$A$55,0)),"n.a."))</f>
        <v/>
      </c>
      <c r="E38" s="93" t="str">
        <f t="array" ref="E38">IF(A38="","",IFNA(INDEX('Growth inputs'!$D$6:$D$55,MATCH(A38,'Growth inputs'!$A$6:$A$55,0)),"n.a."))</f>
        <v/>
      </c>
      <c r="F38" s="100" t="str">
        <f t="array" ref="F38">IF(A38="","",IF(COUNTIF('Growth inputs'!$A$6:$A$55,A38)&lt;&gt;1,"n.a.",IF(AND(COUNT(IFNA(INDEX('Growth inputs'!$F$6:$F$55,MATCH(A38,'Growth inputs'!$A$6:$A$55,0)),"n.a."),IFNA(INDEX('Growth inputs'!$H$6:$H$55,MATCH(A38,'Growth inputs'!$A$6:$A$55,0)),"n.a."))=2,IFNA(INDEX('Growth inputs'!$F$6:$F$55,MATCH(A38,'Growth inputs'!$A$6:$A$55,0)),"n.a.")&gt;0,IFNA(INDEX('Growth inputs'!$H$6:$H$55,MATCH(A38,'Growth inputs'!$A$6:$A$55,0)),"n.a.")&gt;0,IFNA(INDEX('Growth inputs'!$D$6:$D$55,MATCH(A38,'Growth inputs'!$A$6:$A$55,0)),"n.a.")=IFNA(INDEX('Growth inputs'!$Z$6:$Z$55,MATCH(A38,'Growth inputs'!$A$6:$A$55,0)),"n.a."),IFNA(INDEX('Growth inputs'!$AB$6:$AB$55,MATCH(A38,'Growth inputs'!$A$6:$A$55,0)),"n.a.")="Yes"),(IFNA(INDEX('Growth inputs'!$F$6:$F$55,MATCH(A38,'Growth inputs'!$A$6:$A$55,0)),"n.a.")/IFNA(INDEX('Growth inputs'!$H$6:$H$55,MATCH(A38,'Growth inputs'!$A$6:$A$55,0)),"n.a."))^(1/3)-1,"n.a.")))</f>
        <v/>
      </c>
      <c r="G38" s="100" t="str">
        <f t="array" ref="G38">IF(A38="","",IF(COUNTIF('Growth inputs'!$A$6:$A$55,A38)&lt;&gt;1,"n.a.",IF(AND(COUNT(IFNA(INDEX('Growth inputs'!$K$6:$K$55,MATCH(A38,'Growth inputs'!$A$6:$A$55,0)),"n.a."),IFNA(INDEX('Growth inputs'!$L$6:$L$55,MATCH(A38,'Growth inputs'!$A$6:$A$55,0)),"n.a."),IFNA(INDEX('Growth inputs'!$F$6:$F$55,MATCH(A38,'Growth inputs'!$A$6:$A$55,0)),"n.a."))=3,IFNA(INDEX('Growth inputs'!$F$6:$F$55,MATCH(A38,'Growth inputs'!$A$6:$A$55,0)),"n.a.")&gt;0,IFNA(INDEX('Growth inputs'!$K$6:$K$55,MATCH(A38,'Growth inputs'!$A$6:$A$55,0)),"n.a.")&lt;=IFNA(INDEX('Growth inputs'!$L$6:$L$55,MATCH(A38,'Growth inputs'!$A$6:$A$55,0)),"n.a."),IFNA(INDEX('Growth inputs'!$D$6:$D$55,MATCH(A38,'Growth inputs'!$A$6:$A$55,0)),"n.a.")=IFNA(INDEX('Growth inputs'!$Y$6:$Y$55,MATCH(A38,'Growth inputs'!$A$6:$A$55,0)),"n.a."),IFNA(INDEX('Growth inputs'!$N$6:$N$55,MATCH(A38,'Growth inputs'!$A$6:$A$55,0)),"n.a.")&lt;&gt;"",IFNA(INDEX('Growth inputs'!$P$6:$P$55,MATCH(A38,'Growth inputs'!$A$6:$A$55,0)),"n.a.")&lt;&gt;"",ISNUMBER(IFNA(INDEX('Growth inputs'!$M$6:$M$55,MATCH(A38,'Growth inputs'!$A$6:$A$55,0)),"n.a.")),IFNA(INDEX('Growth inputs'!$M$6:$M$55,MATCH(A38,'Growth inputs'!$A$6:$A$55,0)),"n.a.")&lt;=Rules!$B$6,ISNUMBER(IFNA(INDEX('Growth inputs'!$I$6:$I$55,MATCH(A38,'Growth inputs'!$A$6:$A$55,0)),"n.a.")),IFNA(INDEX('Growth inputs'!$I$6:$I$55,MATCH(A38,'Growth inputs'!$A$6:$A$55,0)),"n.a.")&lt;=Rules!$B$6),AVERAGE(IFNA(INDEX('Growth inputs'!$K$6:$K$55,MATCH(A38,'Growth inputs'!$A$6:$A$55,0)),"n.a."),IFNA(INDEX('Growth inputs'!$L$6:$L$55,MATCH(A38,'Growth inputs'!$A$6:$A$55,0)),"n.a."))/IFNA(INDEX('Growth inputs'!$F$6:$F$55,MATCH(A38,'Growth inputs'!$A$6:$A$55,0)),"n.a.")-1,"n.a.")))</f>
        <v/>
      </c>
      <c r="H38" s="101" t="str">
        <f t="shared" si="1"/>
        <v/>
      </c>
      <c r="I38" s="101" t="str">
        <f t="shared" si="2"/>
        <v/>
      </c>
      <c r="J38" s="101" t="str">
        <f t="shared" si="3"/>
        <v/>
      </c>
      <c r="K38" s="93" t="str">
        <f t="shared" si="4"/>
        <v/>
      </c>
      <c r="L38" s="93" t="str">
        <f t="array" ref="L38">IF(A38="","",IF(Q38&lt;&gt;1,IFNA(INDEX('Growth inputs'!$X$6:$X$55,MATCH(A38,'Growth inputs'!$A$6:$A$55,0)),"n.a."),IF($B$9&lt;&gt;"Ready",$B$9,IF(K38&lt;$B$5,"Too few comparable growth records","Ready"))))</f>
        <v/>
      </c>
      <c r="M38" s="104" t="str">
        <f t="array" ref="M38">IF(A38="","",IFNA(INDEX('Growth inputs'!$J$6:$J$55,MATCH(A38,'Growth inputs'!$A$6:$A$55,0)),"n.a."))</f>
        <v/>
      </c>
      <c r="N38" s="93" t="str">
        <f t="array" ref="N38">IF(A38="","",IF(ISNUMBER(G38),100*(IFNA(INDEX('Growth inputs'!$L$6:$L$55,MATCH(A38,'Growth inputs'!$A$6:$A$55,0)),"n.a.")-IFNA(INDEX('Growth inputs'!$K$6:$K$55,MATCH(A38,'Growth inputs'!$A$6:$A$55,0)),"n.a."))/IFNA(INDEX('Growth inputs'!$F$6:$F$55,MATCH(A38,'Growth inputs'!$A$6:$A$55,0)),"n.a."),"n.a."))</f>
        <v/>
      </c>
      <c r="O38" s="100" t="str">
        <f t="array" ref="O38">IF(A38="","",IF(AND(ISNUMBER(G38),ISNUMBER(IFNA(INDEX('Growth inputs'!$T$6:$T$55,MATCH(A38,'Growth inputs'!$A$6:$A$55,0)),"n.a.")),IFNA(INDEX('Growth inputs'!$U$6:$U$55,MATCH(A38,'Growth inputs'!$A$6:$A$55,0)),"n.a.")&lt;&gt;""),G38-IFNA(INDEX('Growth inputs'!$T$6:$T$55,MATCH(A38,'Growth inputs'!$A$6:$A$55,0)),"n.a."),"n.a."))</f>
        <v/>
      </c>
      <c r="P38" s="93" t="str">
        <f t="shared" si="5"/>
        <v/>
      </c>
      <c r="Q38" s="93">
        <f t="array" ref="Q38">IF(A38="",0,IFERROR(IF(AND(COUNTIF('Growth inputs'!$A$6:$A$55,A38)=1,IFNA(INDEX('Growth inputs'!$W$6:$W$55,MATCH(A38,'Growth inputs'!$A$6:$A$55,0)),"n.a.")=1,COUNT(F38:G38)=2),1,0),0))</f>
        <v>0</v>
      </c>
      <c r="R38" s="104" t="str">
        <f t="array" ref="R38">IF(A38="","",IFNA(INDEX('Growth inputs'!$E$6:$E$55,MATCH(A38,'Growth inputs'!$A$6:$A$55,0)),"n.a."))</f>
        <v/>
      </c>
    </row>
    <row r="39">
      <c r="A39" s="93" t="str">
        <f>IF(Companies!A30="","",Companies!A30)</f>
        <v/>
      </c>
      <c r="B39" s="93" t="str">
        <f>IF(A39="","",Companies!C30)</f>
        <v/>
      </c>
      <c r="C39" s="93" t="str">
        <f t="array" ref="C39">IF(A39="","",IFNA(INDEX('Growth inputs'!$C$6:$C$55,MATCH(A39,'Growth inputs'!$A$6:$A$55,0)),"n.a."))</f>
        <v/>
      </c>
      <c r="D39" s="93" t="str">
        <f t="array" ref="D39">IF(A39="","",IFNA(INDEX('Growth inputs'!$R$6:$R$55,MATCH(A39,'Growth inputs'!$A$6:$A$55,0)),"n.a."))</f>
        <v/>
      </c>
      <c r="E39" s="93" t="str">
        <f t="array" ref="E39">IF(A39="","",IFNA(INDEX('Growth inputs'!$D$6:$D$55,MATCH(A39,'Growth inputs'!$A$6:$A$55,0)),"n.a."))</f>
        <v/>
      </c>
      <c r="F39" s="100" t="str">
        <f t="array" ref="F39">IF(A39="","",IF(COUNTIF('Growth inputs'!$A$6:$A$55,A39)&lt;&gt;1,"n.a.",IF(AND(COUNT(IFNA(INDEX('Growth inputs'!$F$6:$F$55,MATCH(A39,'Growth inputs'!$A$6:$A$55,0)),"n.a."),IFNA(INDEX('Growth inputs'!$H$6:$H$55,MATCH(A39,'Growth inputs'!$A$6:$A$55,0)),"n.a."))=2,IFNA(INDEX('Growth inputs'!$F$6:$F$55,MATCH(A39,'Growth inputs'!$A$6:$A$55,0)),"n.a.")&gt;0,IFNA(INDEX('Growth inputs'!$H$6:$H$55,MATCH(A39,'Growth inputs'!$A$6:$A$55,0)),"n.a.")&gt;0,IFNA(INDEX('Growth inputs'!$D$6:$D$55,MATCH(A39,'Growth inputs'!$A$6:$A$55,0)),"n.a.")=IFNA(INDEX('Growth inputs'!$Z$6:$Z$55,MATCH(A39,'Growth inputs'!$A$6:$A$55,0)),"n.a."),IFNA(INDEX('Growth inputs'!$AB$6:$AB$55,MATCH(A39,'Growth inputs'!$A$6:$A$55,0)),"n.a.")="Yes"),(IFNA(INDEX('Growth inputs'!$F$6:$F$55,MATCH(A39,'Growth inputs'!$A$6:$A$55,0)),"n.a.")/IFNA(INDEX('Growth inputs'!$H$6:$H$55,MATCH(A39,'Growth inputs'!$A$6:$A$55,0)),"n.a."))^(1/3)-1,"n.a.")))</f>
        <v/>
      </c>
      <c r="G39" s="100" t="str">
        <f t="array" ref="G39">IF(A39="","",IF(COUNTIF('Growth inputs'!$A$6:$A$55,A39)&lt;&gt;1,"n.a.",IF(AND(COUNT(IFNA(INDEX('Growth inputs'!$K$6:$K$55,MATCH(A39,'Growth inputs'!$A$6:$A$55,0)),"n.a."),IFNA(INDEX('Growth inputs'!$L$6:$L$55,MATCH(A39,'Growth inputs'!$A$6:$A$55,0)),"n.a."),IFNA(INDEX('Growth inputs'!$F$6:$F$55,MATCH(A39,'Growth inputs'!$A$6:$A$55,0)),"n.a."))=3,IFNA(INDEX('Growth inputs'!$F$6:$F$55,MATCH(A39,'Growth inputs'!$A$6:$A$55,0)),"n.a.")&gt;0,IFNA(INDEX('Growth inputs'!$K$6:$K$55,MATCH(A39,'Growth inputs'!$A$6:$A$55,0)),"n.a.")&lt;=IFNA(INDEX('Growth inputs'!$L$6:$L$55,MATCH(A39,'Growth inputs'!$A$6:$A$55,0)),"n.a."),IFNA(INDEX('Growth inputs'!$D$6:$D$55,MATCH(A39,'Growth inputs'!$A$6:$A$55,0)),"n.a.")=IFNA(INDEX('Growth inputs'!$Y$6:$Y$55,MATCH(A39,'Growth inputs'!$A$6:$A$55,0)),"n.a."),IFNA(INDEX('Growth inputs'!$N$6:$N$55,MATCH(A39,'Growth inputs'!$A$6:$A$55,0)),"n.a.")&lt;&gt;"",IFNA(INDEX('Growth inputs'!$P$6:$P$55,MATCH(A39,'Growth inputs'!$A$6:$A$55,0)),"n.a.")&lt;&gt;"",ISNUMBER(IFNA(INDEX('Growth inputs'!$M$6:$M$55,MATCH(A39,'Growth inputs'!$A$6:$A$55,0)),"n.a.")),IFNA(INDEX('Growth inputs'!$M$6:$M$55,MATCH(A39,'Growth inputs'!$A$6:$A$55,0)),"n.a.")&lt;=Rules!$B$6,ISNUMBER(IFNA(INDEX('Growth inputs'!$I$6:$I$55,MATCH(A39,'Growth inputs'!$A$6:$A$55,0)),"n.a.")),IFNA(INDEX('Growth inputs'!$I$6:$I$55,MATCH(A39,'Growth inputs'!$A$6:$A$55,0)),"n.a.")&lt;=Rules!$B$6),AVERAGE(IFNA(INDEX('Growth inputs'!$K$6:$K$55,MATCH(A39,'Growth inputs'!$A$6:$A$55,0)),"n.a."),IFNA(INDEX('Growth inputs'!$L$6:$L$55,MATCH(A39,'Growth inputs'!$A$6:$A$55,0)),"n.a."))/IFNA(INDEX('Growth inputs'!$F$6:$F$55,MATCH(A39,'Growth inputs'!$A$6:$A$55,0)),"n.a.")-1,"n.a.")))</f>
        <v/>
      </c>
      <c r="H39" s="101" t="str">
        <f t="shared" si="1"/>
        <v/>
      </c>
      <c r="I39" s="101" t="str">
        <f t="shared" si="2"/>
        <v/>
      </c>
      <c r="J39" s="101" t="str">
        <f t="shared" si="3"/>
        <v/>
      </c>
      <c r="K39" s="93" t="str">
        <f t="shared" si="4"/>
        <v/>
      </c>
      <c r="L39" s="93" t="str">
        <f t="array" ref="L39">IF(A39="","",IF(Q39&lt;&gt;1,IFNA(INDEX('Growth inputs'!$X$6:$X$55,MATCH(A39,'Growth inputs'!$A$6:$A$55,0)),"n.a."),IF($B$9&lt;&gt;"Ready",$B$9,IF(K39&lt;$B$5,"Too few comparable growth records","Ready"))))</f>
        <v/>
      </c>
      <c r="M39" s="104" t="str">
        <f t="array" ref="M39">IF(A39="","",IFNA(INDEX('Growth inputs'!$J$6:$J$55,MATCH(A39,'Growth inputs'!$A$6:$A$55,0)),"n.a."))</f>
        <v/>
      </c>
      <c r="N39" s="93" t="str">
        <f t="array" ref="N39">IF(A39="","",IF(ISNUMBER(G39),100*(IFNA(INDEX('Growth inputs'!$L$6:$L$55,MATCH(A39,'Growth inputs'!$A$6:$A$55,0)),"n.a.")-IFNA(INDEX('Growth inputs'!$K$6:$K$55,MATCH(A39,'Growth inputs'!$A$6:$A$55,0)),"n.a."))/IFNA(INDEX('Growth inputs'!$F$6:$F$55,MATCH(A39,'Growth inputs'!$A$6:$A$55,0)),"n.a."),"n.a."))</f>
        <v/>
      </c>
      <c r="O39" s="100" t="str">
        <f t="array" ref="O39">IF(A39="","",IF(AND(ISNUMBER(G39),ISNUMBER(IFNA(INDEX('Growth inputs'!$T$6:$T$55,MATCH(A39,'Growth inputs'!$A$6:$A$55,0)),"n.a.")),IFNA(INDEX('Growth inputs'!$U$6:$U$55,MATCH(A39,'Growth inputs'!$A$6:$A$55,0)),"n.a.")&lt;&gt;""),G39-IFNA(INDEX('Growth inputs'!$T$6:$T$55,MATCH(A39,'Growth inputs'!$A$6:$A$55,0)),"n.a."),"n.a."))</f>
        <v/>
      </c>
      <c r="P39" s="93" t="str">
        <f t="shared" si="5"/>
        <v/>
      </c>
      <c r="Q39" s="93">
        <f t="array" ref="Q39">IF(A39="",0,IFERROR(IF(AND(COUNTIF('Growth inputs'!$A$6:$A$55,A39)=1,IFNA(INDEX('Growth inputs'!$W$6:$W$55,MATCH(A39,'Growth inputs'!$A$6:$A$55,0)),"n.a.")=1,COUNT(F39:G39)=2),1,0),0))</f>
        <v>0</v>
      </c>
      <c r="R39" s="104" t="str">
        <f t="array" ref="R39">IF(A39="","",IFNA(INDEX('Growth inputs'!$E$6:$E$55,MATCH(A39,'Growth inputs'!$A$6:$A$55,0)),"n.a."))</f>
        <v/>
      </c>
    </row>
    <row r="40">
      <c r="A40" s="93" t="str">
        <f>IF(Companies!A31="","",Companies!A31)</f>
        <v/>
      </c>
      <c r="B40" s="93" t="str">
        <f>IF(A40="","",Companies!C31)</f>
        <v/>
      </c>
      <c r="C40" s="93" t="str">
        <f t="array" ref="C40">IF(A40="","",IFNA(INDEX('Growth inputs'!$C$6:$C$55,MATCH(A40,'Growth inputs'!$A$6:$A$55,0)),"n.a."))</f>
        <v/>
      </c>
      <c r="D40" s="93" t="str">
        <f t="array" ref="D40">IF(A40="","",IFNA(INDEX('Growth inputs'!$R$6:$R$55,MATCH(A40,'Growth inputs'!$A$6:$A$55,0)),"n.a."))</f>
        <v/>
      </c>
      <c r="E40" s="93" t="str">
        <f t="array" ref="E40">IF(A40="","",IFNA(INDEX('Growth inputs'!$D$6:$D$55,MATCH(A40,'Growth inputs'!$A$6:$A$55,0)),"n.a."))</f>
        <v/>
      </c>
      <c r="F40" s="100" t="str">
        <f t="array" ref="F40">IF(A40="","",IF(COUNTIF('Growth inputs'!$A$6:$A$55,A40)&lt;&gt;1,"n.a.",IF(AND(COUNT(IFNA(INDEX('Growth inputs'!$F$6:$F$55,MATCH(A40,'Growth inputs'!$A$6:$A$55,0)),"n.a."),IFNA(INDEX('Growth inputs'!$H$6:$H$55,MATCH(A40,'Growth inputs'!$A$6:$A$55,0)),"n.a."))=2,IFNA(INDEX('Growth inputs'!$F$6:$F$55,MATCH(A40,'Growth inputs'!$A$6:$A$55,0)),"n.a.")&gt;0,IFNA(INDEX('Growth inputs'!$H$6:$H$55,MATCH(A40,'Growth inputs'!$A$6:$A$55,0)),"n.a.")&gt;0,IFNA(INDEX('Growth inputs'!$D$6:$D$55,MATCH(A40,'Growth inputs'!$A$6:$A$55,0)),"n.a.")=IFNA(INDEX('Growth inputs'!$Z$6:$Z$55,MATCH(A40,'Growth inputs'!$A$6:$A$55,0)),"n.a."),IFNA(INDEX('Growth inputs'!$AB$6:$AB$55,MATCH(A40,'Growth inputs'!$A$6:$A$55,0)),"n.a.")="Yes"),(IFNA(INDEX('Growth inputs'!$F$6:$F$55,MATCH(A40,'Growth inputs'!$A$6:$A$55,0)),"n.a.")/IFNA(INDEX('Growth inputs'!$H$6:$H$55,MATCH(A40,'Growth inputs'!$A$6:$A$55,0)),"n.a."))^(1/3)-1,"n.a.")))</f>
        <v/>
      </c>
      <c r="G40" s="100" t="str">
        <f t="array" ref="G40">IF(A40="","",IF(COUNTIF('Growth inputs'!$A$6:$A$55,A40)&lt;&gt;1,"n.a.",IF(AND(COUNT(IFNA(INDEX('Growth inputs'!$K$6:$K$55,MATCH(A40,'Growth inputs'!$A$6:$A$55,0)),"n.a."),IFNA(INDEX('Growth inputs'!$L$6:$L$55,MATCH(A40,'Growth inputs'!$A$6:$A$55,0)),"n.a."),IFNA(INDEX('Growth inputs'!$F$6:$F$55,MATCH(A40,'Growth inputs'!$A$6:$A$55,0)),"n.a."))=3,IFNA(INDEX('Growth inputs'!$F$6:$F$55,MATCH(A40,'Growth inputs'!$A$6:$A$55,0)),"n.a.")&gt;0,IFNA(INDEX('Growth inputs'!$K$6:$K$55,MATCH(A40,'Growth inputs'!$A$6:$A$55,0)),"n.a.")&lt;=IFNA(INDEX('Growth inputs'!$L$6:$L$55,MATCH(A40,'Growth inputs'!$A$6:$A$55,0)),"n.a."),IFNA(INDEX('Growth inputs'!$D$6:$D$55,MATCH(A40,'Growth inputs'!$A$6:$A$55,0)),"n.a.")=IFNA(INDEX('Growth inputs'!$Y$6:$Y$55,MATCH(A40,'Growth inputs'!$A$6:$A$55,0)),"n.a."),IFNA(INDEX('Growth inputs'!$N$6:$N$55,MATCH(A40,'Growth inputs'!$A$6:$A$55,0)),"n.a.")&lt;&gt;"",IFNA(INDEX('Growth inputs'!$P$6:$P$55,MATCH(A40,'Growth inputs'!$A$6:$A$55,0)),"n.a.")&lt;&gt;"",ISNUMBER(IFNA(INDEX('Growth inputs'!$M$6:$M$55,MATCH(A40,'Growth inputs'!$A$6:$A$55,0)),"n.a.")),IFNA(INDEX('Growth inputs'!$M$6:$M$55,MATCH(A40,'Growth inputs'!$A$6:$A$55,0)),"n.a.")&lt;=Rules!$B$6,ISNUMBER(IFNA(INDEX('Growth inputs'!$I$6:$I$55,MATCH(A40,'Growth inputs'!$A$6:$A$55,0)),"n.a.")),IFNA(INDEX('Growth inputs'!$I$6:$I$55,MATCH(A40,'Growth inputs'!$A$6:$A$55,0)),"n.a.")&lt;=Rules!$B$6),AVERAGE(IFNA(INDEX('Growth inputs'!$K$6:$K$55,MATCH(A40,'Growth inputs'!$A$6:$A$55,0)),"n.a."),IFNA(INDEX('Growth inputs'!$L$6:$L$55,MATCH(A40,'Growth inputs'!$A$6:$A$55,0)),"n.a."))/IFNA(INDEX('Growth inputs'!$F$6:$F$55,MATCH(A40,'Growth inputs'!$A$6:$A$55,0)),"n.a.")-1,"n.a.")))</f>
        <v/>
      </c>
      <c r="H40" s="101" t="str">
        <f t="shared" si="1"/>
        <v/>
      </c>
      <c r="I40" s="101" t="str">
        <f t="shared" si="2"/>
        <v/>
      </c>
      <c r="J40" s="101" t="str">
        <f t="shared" si="3"/>
        <v/>
      </c>
      <c r="K40" s="93" t="str">
        <f t="shared" si="4"/>
        <v/>
      </c>
      <c r="L40" s="93" t="str">
        <f t="array" ref="L40">IF(A40="","",IF(Q40&lt;&gt;1,IFNA(INDEX('Growth inputs'!$X$6:$X$55,MATCH(A40,'Growth inputs'!$A$6:$A$55,0)),"n.a."),IF($B$9&lt;&gt;"Ready",$B$9,IF(K40&lt;$B$5,"Too few comparable growth records","Ready"))))</f>
        <v/>
      </c>
      <c r="M40" s="104" t="str">
        <f t="array" ref="M40">IF(A40="","",IFNA(INDEX('Growth inputs'!$J$6:$J$55,MATCH(A40,'Growth inputs'!$A$6:$A$55,0)),"n.a."))</f>
        <v/>
      </c>
      <c r="N40" s="93" t="str">
        <f t="array" ref="N40">IF(A40="","",IF(ISNUMBER(G40),100*(IFNA(INDEX('Growth inputs'!$L$6:$L$55,MATCH(A40,'Growth inputs'!$A$6:$A$55,0)),"n.a.")-IFNA(INDEX('Growth inputs'!$K$6:$K$55,MATCH(A40,'Growth inputs'!$A$6:$A$55,0)),"n.a."))/IFNA(INDEX('Growth inputs'!$F$6:$F$55,MATCH(A40,'Growth inputs'!$A$6:$A$55,0)),"n.a."),"n.a."))</f>
        <v/>
      </c>
      <c r="O40" s="100" t="str">
        <f t="array" ref="O40">IF(A40="","",IF(AND(ISNUMBER(G40),ISNUMBER(IFNA(INDEX('Growth inputs'!$T$6:$T$55,MATCH(A40,'Growth inputs'!$A$6:$A$55,0)),"n.a.")),IFNA(INDEX('Growth inputs'!$U$6:$U$55,MATCH(A40,'Growth inputs'!$A$6:$A$55,0)),"n.a.")&lt;&gt;""),G40-IFNA(INDEX('Growth inputs'!$T$6:$T$55,MATCH(A40,'Growth inputs'!$A$6:$A$55,0)),"n.a."),"n.a."))</f>
        <v/>
      </c>
      <c r="P40" s="93" t="str">
        <f t="shared" si="5"/>
        <v/>
      </c>
      <c r="Q40" s="93">
        <f t="array" ref="Q40">IF(A40="",0,IFERROR(IF(AND(COUNTIF('Growth inputs'!$A$6:$A$55,A40)=1,IFNA(INDEX('Growth inputs'!$W$6:$W$55,MATCH(A40,'Growth inputs'!$A$6:$A$55,0)),"n.a.")=1,COUNT(F40:G40)=2),1,0),0))</f>
        <v>0</v>
      </c>
      <c r="R40" s="104" t="str">
        <f t="array" ref="R40">IF(A40="","",IFNA(INDEX('Growth inputs'!$E$6:$E$55,MATCH(A40,'Growth inputs'!$A$6:$A$55,0)),"n.a."))</f>
        <v/>
      </c>
    </row>
    <row r="41">
      <c r="A41" s="93" t="str">
        <f>IF(Companies!A32="","",Companies!A32)</f>
        <v/>
      </c>
      <c r="B41" s="93" t="str">
        <f>IF(A41="","",Companies!C32)</f>
        <v/>
      </c>
      <c r="C41" s="93" t="str">
        <f t="array" ref="C41">IF(A41="","",IFNA(INDEX('Growth inputs'!$C$6:$C$55,MATCH(A41,'Growth inputs'!$A$6:$A$55,0)),"n.a."))</f>
        <v/>
      </c>
      <c r="D41" s="93" t="str">
        <f t="array" ref="D41">IF(A41="","",IFNA(INDEX('Growth inputs'!$R$6:$R$55,MATCH(A41,'Growth inputs'!$A$6:$A$55,0)),"n.a."))</f>
        <v/>
      </c>
      <c r="E41" s="93" t="str">
        <f t="array" ref="E41">IF(A41="","",IFNA(INDEX('Growth inputs'!$D$6:$D$55,MATCH(A41,'Growth inputs'!$A$6:$A$55,0)),"n.a."))</f>
        <v/>
      </c>
      <c r="F41" s="100" t="str">
        <f t="array" ref="F41">IF(A41="","",IF(COUNTIF('Growth inputs'!$A$6:$A$55,A41)&lt;&gt;1,"n.a.",IF(AND(COUNT(IFNA(INDEX('Growth inputs'!$F$6:$F$55,MATCH(A41,'Growth inputs'!$A$6:$A$55,0)),"n.a."),IFNA(INDEX('Growth inputs'!$H$6:$H$55,MATCH(A41,'Growth inputs'!$A$6:$A$55,0)),"n.a."))=2,IFNA(INDEX('Growth inputs'!$F$6:$F$55,MATCH(A41,'Growth inputs'!$A$6:$A$55,0)),"n.a.")&gt;0,IFNA(INDEX('Growth inputs'!$H$6:$H$55,MATCH(A41,'Growth inputs'!$A$6:$A$55,0)),"n.a.")&gt;0,IFNA(INDEX('Growth inputs'!$D$6:$D$55,MATCH(A41,'Growth inputs'!$A$6:$A$55,0)),"n.a.")=IFNA(INDEX('Growth inputs'!$Z$6:$Z$55,MATCH(A41,'Growth inputs'!$A$6:$A$55,0)),"n.a."),IFNA(INDEX('Growth inputs'!$AB$6:$AB$55,MATCH(A41,'Growth inputs'!$A$6:$A$55,0)),"n.a.")="Yes"),(IFNA(INDEX('Growth inputs'!$F$6:$F$55,MATCH(A41,'Growth inputs'!$A$6:$A$55,0)),"n.a.")/IFNA(INDEX('Growth inputs'!$H$6:$H$55,MATCH(A41,'Growth inputs'!$A$6:$A$55,0)),"n.a."))^(1/3)-1,"n.a.")))</f>
        <v/>
      </c>
      <c r="G41" s="100" t="str">
        <f t="array" ref="G41">IF(A41="","",IF(COUNTIF('Growth inputs'!$A$6:$A$55,A41)&lt;&gt;1,"n.a.",IF(AND(COUNT(IFNA(INDEX('Growth inputs'!$K$6:$K$55,MATCH(A41,'Growth inputs'!$A$6:$A$55,0)),"n.a."),IFNA(INDEX('Growth inputs'!$L$6:$L$55,MATCH(A41,'Growth inputs'!$A$6:$A$55,0)),"n.a."),IFNA(INDEX('Growth inputs'!$F$6:$F$55,MATCH(A41,'Growth inputs'!$A$6:$A$55,0)),"n.a."))=3,IFNA(INDEX('Growth inputs'!$F$6:$F$55,MATCH(A41,'Growth inputs'!$A$6:$A$55,0)),"n.a.")&gt;0,IFNA(INDEX('Growth inputs'!$K$6:$K$55,MATCH(A41,'Growth inputs'!$A$6:$A$55,0)),"n.a.")&lt;=IFNA(INDEX('Growth inputs'!$L$6:$L$55,MATCH(A41,'Growth inputs'!$A$6:$A$55,0)),"n.a."),IFNA(INDEX('Growth inputs'!$D$6:$D$55,MATCH(A41,'Growth inputs'!$A$6:$A$55,0)),"n.a.")=IFNA(INDEX('Growth inputs'!$Y$6:$Y$55,MATCH(A41,'Growth inputs'!$A$6:$A$55,0)),"n.a."),IFNA(INDEX('Growth inputs'!$N$6:$N$55,MATCH(A41,'Growth inputs'!$A$6:$A$55,0)),"n.a.")&lt;&gt;"",IFNA(INDEX('Growth inputs'!$P$6:$P$55,MATCH(A41,'Growth inputs'!$A$6:$A$55,0)),"n.a.")&lt;&gt;"",ISNUMBER(IFNA(INDEX('Growth inputs'!$M$6:$M$55,MATCH(A41,'Growth inputs'!$A$6:$A$55,0)),"n.a.")),IFNA(INDEX('Growth inputs'!$M$6:$M$55,MATCH(A41,'Growth inputs'!$A$6:$A$55,0)),"n.a.")&lt;=Rules!$B$6,ISNUMBER(IFNA(INDEX('Growth inputs'!$I$6:$I$55,MATCH(A41,'Growth inputs'!$A$6:$A$55,0)),"n.a.")),IFNA(INDEX('Growth inputs'!$I$6:$I$55,MATCH(A41,'Growth inputs'!$A$6:$A$55,0)),"n.a.")&lt;=Rules!$B$6),AVERAGE(IFNA(INDEX('Growth inputs'!$K$6:$K$55,MATCH(A41,'Growth inputs'!$A$6:$A$55,0)),"n.a."),IFNA(INDEX('Growth inputs'!$L$6:$L$55,MATCH(A41,'Growth inputs'!$A$6:$A$55,0)),"n.a."))/IFNA(INDEX('Growth inputs'!$F$6:$F$55,MATCH(A41,'Growth inputs'!$A$6:$A$55,0)),"n.a.")-1,"n.a.")))</f>
        <v/>
      </c>
      <c r="H41" s="101" t="str">
        <f t="shared" si="1"/>
        <v/>
      </c>
      <c r="I41" s="101" t="str">
        <f t="shared" si="2"/>
        <v/>
      </c>
      <c r="J41" s="101" t="str">
        <f t="shared" si="3"/>
        <v/>
      </c>
      <c r="K41" s="93" t="str">
        <f t="shared" si="4"/>
        <v/>
      </c>
      <c r="L41" s="93" t="str">
        <f t="array" ref="L41">IF(A41="","",IF(Q41&lt;&gt;1,IFNA(INDEX('Growth inputs'!$X$6:$X$55,MATCH(A41,'Growth inputs'!$A$6:$A$55,0)),"n.a."),IF($B$9&lt;&gt;"Ready",$B$9,IF(K41&lt;$B$5,"Too few comparable growth records","Ready"))))</f>
        <v/>
      </c>
      <c r="M41" s="104" t="str">
        <f t="array" ref="M41">IF(A41="","",IFNA(INDEX('Growth inputs'!$J$6:$J$55,MATCH(A41,'Growth inputs'!$A$6:$A$55,0)),"n.a."))</f>
        <v/>
      </c>
      <c r="N41" s="93" t="str">
        <f t="array" ref="N41">IF(A41="","",IF(ISNUMBER(G41),100*(IFNA(INDEX('Growth inputs'!$L$6:$L$55,MATCH(A41,'Growth inputs'!$A$6:$A$55,0)),"n.a.")-IFNA(INDEX('Growth inputs'!$K$6:$K$55,MATCH(A41,'Growth inputs'!$A$6:$A$55,0)),"n.a."))/IFNA(INDEX('Growth inputs'!$F$6:$F$55,MATCH(A41,'Growth inputs'!$A$6:$A$55,0)),"n.a."),"n.a."))</f>
        <v/>
      </c>
      <c r="O41" s="100" t="str">
        <f t="array" ref="O41">IF(A41="","",IF(AND(ISNUMBER(G41),ISNUMBER(IFNA(INDEX('Growth inputs'!$T$6:$T$55,MATCH(A41,'Growth inputs'!$A$6:$A$55,0)),"n.a.")),IFNA(INDEX('Growth inputs'!$U$6:$U$55,MATCH(A41,'Growth inputs'!$A$6:$A$55,0)),"n.a.")&lt;&gt;""),G41-IFNA(INDEX('Growth inputs'!$T$6:$T$55,MATCH(A41,'Growth inputs'!$A$6:$A$55,0)),"n.a."),"n.a."))</f>
        <v/>
      </c>
      <c r="P41" s="93" t="str">
        <f t="shared" si="5"/>
        <v/>
      </c>
      <c r="Q41" s="93">
        <f t="array" ref="Q41">IF(A41="",0,IFERROR(IF(AND(COUNTIF('Growth inputs'!$A$6:$A$55,A41)=1,IFNA(INDEX('Growth inputs'!$W$6:$W$55,MATCH(A41,'Growth inputs'!$A$6:$A$55,0)),"n.a.")=1,COUNT(F41:G41)=2),1,0),0))</f>
        <v>0</v>
      </c>
      <c r="R41" s="104" t="str">
        <f t="array" ref="R41">IF(A41="","",IFNA(INDEX('Growth inputs'!$E$6:$E$55,MATCH(A41,'Growth inputs'!$A$6:$A$55,0)),"n.a."))</f>
        <v/>
      </c>
    </row>
    <row r="42">
      <c r="A42" s="93" t="str">
        <f>IF(Companies!A33="","",Companies!A33)</f>
        <v/>
      </c>
      <c r="B42" s="93" t="str">
        <f>IF(A42="","",Companies!C33)</f>
        <v/>
      </c>
      <c r="C42" s="93" t="str">
        <f t="array" ref="C42">IF(A42="","",IFNA(INDEX('Growth inputs'!$C$6:$C$55,MATCH(A42,'Growth inputs'!$A$6:$A$55,0)),"n.a."))</f>
        <v/>
      </c>
      <c r="D42" s="93" t="str">
        <f t="array" ref="D42">IF(A42="","",IFNA(INDEX('Growth inputs'!$R$6:$R$55,MATCH(A42,'Growth inputs'!$A$6:$A$55,0)),"n.a."))</f>
        <v/>
      </c>
      <c r="E42" s="93" t="str">
        <f t="array" ref="E42">IF(A42="","",IFNA(INDEX('Growth inputs'!$D$6:$D$55,MATCH(A42,'Growth inputs'!$A$6:$A$55,0)),"n.a."))</f>
        <v/>
      </c>
      <c r="F42" s="100" t="str">
        <f t="array" ref="F42">IF(A42="","",IF(COUNTIF('Growth inputs'!$A$6:$A$55,A42)&lt;&gt;1,"n.a.",IF(AND(COUNT(IFNA(INDEX('Growth inputs'!$F$6:$F$55,MATCH(A42,'Growth inputs'!$A$6:$A$55,0)),"n.a."),IFNA(INDEX('Growth inputs'!$H$6:$H$55,MATCH(A42,'Growth inputs'!$A$6:$A$55,0)),"n.a."))=2,IFNA(INDEX('Growth inputs'!$F$6:$F$55,MATCH(A42,'Growth inputs'!$A$6:$A$55,0)),"n.a.")&gt;0,IFNA(INDEX('Growth inputs'!$H$6:$H$55,MATCH(A42,'Growth inputs'!$A$6:$A$55,0)),"n.a.")&gt;0,IFNA(INDEX('Growth inputs'!$D$6:$D$55,MATCH(A42,'Growth inputs'!$A$6:$A$55,0)),"n.a.")=IFNA(INDEX('Growth inputs'!$Z$6:$Z$55,MATCH(A42,'Growth inputs'!$A$6:$A$55,0)),"n.a."),IFNA(INDEX('Growth inputs'!$AB$6:$AB$55,MATCH(A42,'Growth inputs'!$A$6:$A$55,0)),"n.a.")="Yes"),(IFNA(INDEX('Growth inputs'!$F$6:$F$55,MATCH(A42,'Growth inputs'!$A$6:$A$55,0)),"n.a.")/IFNA(INDEX('Growth inputs'!$H$6:$H$55,MATCH(A42,'Growth inputs'!$A$6:$A$55,0)),"n.a."))^(1/3)-1,"n.a.")))</f>
        <v/>
      </c>
      <c r="G42" s="100" t="str">
        <f t="array" ref="G42">IF(A42="","",IF(COUNTIF('Growth inputs'!$A$6:$A$55,A42)&lt;&gt;1,"n.a.",IF(AND(COUNT(IFNA(INDEX('Growth inputs'!$K$6:$K$55,MATCH(A42,'Growth inputs'!$A$6:$A$55,0)),"n.a."),IFNA(INDEX('Growth inputs'!$L$6:$L$55,MATCH(A42,'Growth inputs'!$A$6:$A$55,0)),"n.a."),IFNA(INDEX('Growth inputs'!$F$6:$F$55,MATCH(A42,'Growth inputs'!$A$6:$A$55,0)),"n.a."))=3,IFNA(INDEX('Growth inputs'!$F$6:$F$55,MATCH(A42,'Growth inputs'!$A$6:$A$55,0)),"n.a.")&gt;0,IFNA(INDEX('Growth inputs'!$K$6:$K$55,MATCH(A42,'Growth inputs'!$A$6:$A$55,0)),"n.a.")&lt;=IFNA(INDEX('Growth inputs'!$L$6:$L$55,MATCH(A42,'Growth inputs'!$A$6:$A$55,0)),"n.a."),IFNA(INDEX('Growth inputs'!$D$6:$D$55,MATCH(A42,'Growth inputs'!$A$6:$A$55,0)),"n.a.")=IFNA(INDEX('Growth inputs'!$Y$6:$Y$55,MATCH(A42,'Growth inputs'!$A$6:$A$55,0)),"n.a."),IFNA(INDEX('Growth inputs'!$N$6:$N$55,MATCH(A42,'Growth inputs'!$A$6:$A$55,0)),"n.a.")&lt;&gt;"",IFNA(INDEX('Growth inputs'!$P$6:$P$55,MATCH(A42,'Growth inputs'!$A$6:$A$55,0)),"n.a.")&lt;&gt;"",ISNUMBER(IFNA(INDEX('Growth inputs'!$M$6:$M$55,MATCH(A42,'Growth inputs'!$A$6:$A$55,0)),"n.a.")),IFNA(INDEX('Growth inputs'!$M$6:$M$55,MATCH(A42,'Growth inputs'!$A$6:$A$55,0)),"n.a.")&lt;=Rules!$B$6,ISNUMBER(IFNA(INDEX('Growth inputs'!$I$6:$I$55,MATCH(A42,'Growth inputs'!$A$6:$A$55,0)),"n.a.")),IFNA(INDEX('Growth inputs'!$I$6:$I$55,MATCH(A42,'Growth inputs'!$A$6:$A$55,0)),"n.a.")&lt;=Rules!$B$6),AVERAGE(IFNA(INDEX('Growth inputs'!$K$6:$K$55,MATCH(A42,'Growth inputs'!$A$6:$A$55,0)),"n.a."),IFNA(INDEX('Growth inputs'!$L$6:$L$55,MATCH(A42,'Growth inputs'!$A$6:$A$55,0)),"n.a."))/IFNA(INDEX('Growth inputs'!$F$6:$F$55,MATCH(A42,'Growth inputs'!$A$6:$A$55,0)),"n.a.")-1,"n.a.")))</f>
        <v/>
      </c>
      <c r="H42" s="101" t="str">
        <f t="shared" si="1"/>
        <v/>
      </c>
      <c r="I42" s="101" t="str">
        <f t="shared" si="2"/>
        <v/>
      </c>
      <c r="J42" s="101" t="str">
        <f t="shared" si="3"/>
        <v/>
      </c>
      <c r="K42" s="93" t="str">
        <f t="shared" si="4"/>
        <v/>
      </c>
      <c r="L42" s="93" t="str">
        <f t="array" ref="L42">IF(A42="","",IF(Q42&lt;&gt;1,IFNA(INDEX('Growth inputs'!$X$6:$X$55,MATCH(A42,'Growth inputs'!$A$6:$A$55,0)),"n.a."),IF($B$9&lt;&gt;"Ready",$B$9,IF(K42&lt;$B$5,"Too few comparable growth records","Ready"))))</f>
        <v/>
      </c>
      <c r="M42" s="104" t="str">
        <f t="array" ref="M42">IF(A42="","",IFNA(INDEX('Growth inputs'!$J$6:$J$55,MATCH(A42,'Growth inputs'!$A$6:$A$55,0)),"n.a."))</f>
        <v/>
      </c>
      <c r="N42" s="93" t="str">
        <f t="array" ref="N42">IF(A42="","",IF(ISNUMBER(G42),100*(IFNA(INDEX('Growth inputs'!$L$6:$L$55,MATCH(A42,'Growth inputs'!$A$6:$A$55,0)),"n.a.")-IFNA(INDEX('Growth inputs'!$K$6:$K$55,MATCH(A42,'Growth inputs'!$A$6:$A$55,0)),"n.a."))/IFNA(INDEX('Growth inputs'!$F$6:$F$55,MATCH(A42,'Growth inputs'!$A$6:$A$55,0)),"n.a."),"n.a."))</f>
        <v/>
      </c>
      <c r="O42" s="100" t="str">
        <f t="array" ref="O42">IF(A42="","",IF(AND(ISNUMBER(G42),ISNUMBER(IFNA(INDEX('Growth inputs'!$T$6:$T$55,MATCH(A42,'Growth inputs'!$A$6:$A$55,0)),"n.a.")),IFNA(INDEX('Growth inputs'!$U$6:$U$55,MATCH(A42,'Growth inputs'!$A$6:$A$55,0)),"n.a.")&lt;&gt;""),G42-IFNA(INDEX('Growth inputs'!$T$6:$T$55,MATCH(A42,'Growth inputs'!$A$6:$A$55,0)),"n.a."),"n.a."))</f>
        <v/>
      </c>
      <c r="P42" s="93" t="str">
        <f t="shared" si="5"/>
        <v/>
      </c>
      <c r="Q42" s="93">
        <f t="array" ref="Q42">IF(A42="",0,IFERROR(IF(AND(COUNTIF('Growth inputs'!$A$6:$A$55,A42)=1,IFNA(INDEX('Growth inputs'!$W$6:$W$55,MATCH(A42,'Growth inputs'!$A$6:$A$55,0)),"n.a.")=1,COUNT(F42:G42)=2),1,0),0))</f>
        <v>0</v>
      </c>
      <c r="R42" s="104" t="str">
        <f t="array" ref="R42">IF(A42="","",IFNA(INDEX('Growth inputs'!$E$6:$E$55,MATCH(A42,'Growth inputs'!$A$6:$A$55,0)),"n.a."))</f>
        <v/>
      </c>
    </row>
    <row r="43">
      <c r="A43" s="93" t="str">
        <f>IF(Companies!A34="","",Companies!A34)</f>
        <v/>
      </c>
      <c r="B43" s="93" t="str">
        <f>IF(A43="","",Companies!C34)</f>
        <v/>
      </c>
      <c r="C43" s="93" t="str">
        <f t="array" ref="C43">IF(A43="","",IFNA(INDEX('Growth inputs'!$C$6:$C$55,MATCH(A43,'Growth inputs'!$A$6:$A$55,0)),"n.a."))</f>
        <v/>
      </c>
      <c r="D43" s="93" t="str">
        <f t="array" ref="D43">IF(A43="","",IFNA(INDEX('Growth inputs'!$R$6:$R$55,MATCH(A43,'Growth inputs'!$A$6:$A$55,0)),"n.a."))</f>
        <v/>
      </c>
      <c r="E43" s="93" t="str">
        <f t="array" ref="E43">IF(A43="","",IFNA(INDEX('Growth inputs'!$D$6:$D$55,MATCH(A43,'Growth inputs'!$A$6:$A$55,0)),"n.a."))</f>
        <v/>
      </c>
      <c r="F43" s="100" t="str">
        <f t="array" ref="F43">IF(A43="","",IF(COUNTIF('Growth inputs'!$A$6:$A$55,A43)&lt;&gt;1,"n.a.",IF(AND(COUNT(IFNA(INDEX('Growth inputs'!$F$6:$F$55,MATCH(A43,'Growth inputs'!$A$6:$A$55,0)),"n.a."),IFNA(INDEX('Growth inputs'!$H$6:$H$55,MATCH(A43,'Growth inputs'!$A$6:$A$55,0)),"n.a."))=2,IFNA(INDEX('Growth inputs'!$F$6:$F$55,MATCH(A43,'Growth inputs'!$A$6:$A$55,0)),"n.a.")&gt;0,IFNA(INDEX('Growth inputs'!$H$6:$H$55,MATCH(A43,'Growth inputs'!$A$6:$A$55,0)),"n.a.")&gt;0,IFNA(INDEX('Growth inputs'!$D$6:$D$55,MATCH(A43,'Growth inputs'!$A$6:$A$55,0)),"n.a.")=IFNA(INDEX('Growth inputs'!$Z$6:$Z$55,MATCH(A43,'Growth inputs'!$A$6:$A$55,0)),"n.a."),IFNA(INDEX('Growth inputs'!$AB$6:$AB$55,MATCH(A43,'Growth inputs'!$A$6:$A$55,0)),"n.a.")="Yes"),(IFNA(INDEX('Growth inputs'!$F$6:$F$55,MATCH(A43,'Growth inputs'!$A$6:$A$55,0)),"n.a.")/IFNA(INDEX('Growth inputs'!$H$6:$H$55,MATCH(A43,'Growth inputs'!$A$6:$A$55,0)),"n.a."))^(1/3)-1,"n.a.")))</f>
        <v/>
      </c>
      <c r="G43" s="100" t="str">
        <f t="array" ref="G43">IF(A43="","",IF(COUNTIF('Growth inputs'!$A$6:$A$55,A43)&lt;&gt;1,"n.a.",IF(AND(COUNT(IFNA(INDEX('Growth inputs'!$K$6:$K$55,MATCH(A43,'Growth inputs'!$A$6:$A$55,0)),"n.a."),IFNA(INDEX('Growth inputs'!$L$6:$L$55,MATCH(A43,'Growth inputs'!$A$6:$A$55,0)),"n.a."),IFNA(INDEX('Growth inputs'!$F$6:$F$55,MATCH(A43,'Growth inputs'!$A$6:$A$55,0)),"n.a."))=3,IFNA(INDEX('Growth inputs'!$F$6:$F$55,MATCH(A43,'Growth inputs'!$A$6:$A$55,0)),"n.a.")&gt;0,IFNA(INDEX('Growth inputs'!$K$6:$K$55,MATCH(A43,'Growth inputs'!$A$6:$A$55,0)),"n.a.")&lt;=IFNA(INDEX('Growth inputs'!$L$6:$L$55,MATCH(A43,'Growth inputs'!$A$6:$A$55,0)),"n.a."),IFNA(INDEX('Growth inputs'!$D$6:$D$55,MATCH(A43,'Growth inputs'!$A$6:$A$55,0)),"n.a.")=IFNA(INDEX('Growth inputs'!$Y$6:$Y$55,MATCH(A43,'Growth inputs'!$A$6:$A$55,0)),"n.a."),IFNA(INDEX('Growth inputs'!$N$6:$N$55,MATCH(A43,'Growth inputs'!$A$6:$A$55,0)),"n.a.")&lt;&gt;"",IFNA(INDEX('Growth inputs'!$P$6:$P$55,MATCH(A43,'Growth inputs'!$A$6:$A$55,0)),"n.a.")&lt;&gt;"",ISNUMBER(IFNA(INDEX('Growth inputs'!$M$6:$M$55,MATCH(A43,'Growth inputs'!$A$6:$A$55,0)),"n.a.")),IFNA(INDEX('Growth inputs'!$M$6:$M$55,MATCH(A43,'Growth inputs'!$A$6:$A$55,0)),"n.a.")&lt;=Rules!$B$6,ISNUMBER(IFNA(INDEX('Growth inputs'!$I$6:$I$55,MATCH(A43,'Growth inputs'!$A$6:$A$55,0)),"n.a.")),IFNA(INDEX('Growth inputs'!$I$6:$I$55,MATCH(A43,'Growth inputs'!$A$6:$A$55,0)),"n.a.")&lt;=Rules!$B$6),AVERAGE(IFNA(INDEX('Growth inputs'!$K$6:$K$55,MATCH(A43,'Growth inputs'!$A$6:$A$55,0)),"n.a."),IFNA(INDEX('Growth inputs'!$L$6:$L$55,MATCH(A43,'Growth inputs'!$A$6:$A$55,0)),"n.a."))/IFNA(INDEX('Growth inputs'!$F$6:$F$55,MATCH(A43,'Growth inputs'!$A$6:$A$55,0)),"n.a.")-1,"n.a.")))</f>
        <v/>
      </c>
      <c r="H43" s="101" t="str">
        <f t="shared" si="1"/>
        <v/>
      </c>
      <c r="I43" s="101" t="str">
        <f t="shared" si="2"/>
        <v/>
      </c>
      <c r="J43" s="101" t="str">
        <f t="shared" si="3"/>
        <v/>
      </c>
      <c r="K43" s="93" t="str">
        <f t="shared" si="4"/>
        <v/>
      </c>
      <c r="L43" s="93" t="str">
        <f t="array" ref="L43">IF(A43="","",IF(Q43&lt;&gt;1,IFNA(INDEX('Growth inputs'!$X$6:$X$55,MATCH(A43,'Growth inputs'!$A$6:$A$55,0)),"n.a."),IF($B$9&lt;&gt;"Ready",$B$9,IF(K43&lt;$B$5,"Too few comparable growth records","Ready"))))</f>
        <v/>
      </c>
      <c r="M43" s="104" t="str">
        <f t="array" ref="M43">IF(A43="","",IFNA(INDEX('Growth inputs'!$J$6:$J$55,MATCH(A43,'Growth inputs'!$A$6:$A$55,0)),"n.a."))</f>
        <v/>
      </c>
      <c r="N43" s="93" t="str">
        <f t="array" ref="N43">IF(A43="","",IF(ISNUMBER(G43),100*(IFNA(INDEX('Growth inputs'!$L$6:$L$55,MATCH(A43,'Growth inputs'!$A$6:$A$55,0)),"n.a.")-IFNA(INDEX('Growth inputs'!$K$6:$K$55,MATCH(A43,'Growth inputs'!$A$6:$A$55,0)),"n.a."))/IFNA(INDEX('Growth inputs'!$F$6:$F$55,MATCH(A43,'Growth inputs'!$A$6:$A$55,0)),"n.a."),"n.a."))</f>
        <v/>
      </c>
      <c r="O43" s="100" t="str">
        <f t="array" ref="O43">IF(A43="","",IF(AND(ISNUMBER(G43),ISNUMBER(IFNA(INDEX('Growth inputs'!$T$6:$T$55,MATCH(A43,'Growth inputs'!$A$6:$A$55,0)),"n.a.")),IFNA(INDEX('Growth inputs'!$U$6:$U$55,MATCH(A43,'Growth inputs'!$A$6:$A$55,0)),"n.a.")&lt;&gt;""),G43-IFNA(INDEX('Growth inputs'!$T$6:$T$55,MATCH(A43,'Growth inputs'!$A$6:$A$55,0)),"n.a."),"n.a."))</f>
        <v/>
      </c>
      <c r="P43" s="93" t="str">
        <f t="shared" si="5"/>
        <v/>
      </c>
      <c r="Q43" s="93">
        <f t="array" ref="Q43">IF(A43="",0,IFERROR(IF(AND(COUNTIF('Growth inputs'!$A$6:$A$55,A43)=1,IFNA(INDEX('Growth inputs'!$W$6:$W$55,MATCH(A43,'Growth inputs'!$A$6:$A$55,0)),"n.a.")=1,COUNT(F43:G43)=2),1,0),0))</f>
        <v>0</v>
      </c>
      <c r="R43" s="104" t="str">
        <f t="array" ref="R43">IF(A43="","",IFNA(INDEX('Growth inputs'!$E$6:$E$55,MATCH(A43,'Growth inputs'!$A$6:$A$55,0)),"n.a."))</f>
        <v/>
      </c>
    </row>
    <row r="44">
      <c r="A44" s="93" t="str">
        <f>IF(Companies!A35="","",Companies!A35)</f>
        <v/>
      </c>
      <c r="B44" s="93" t="str">
        <f>IF(A44="","",Companies!C35)</f>
        <v/>
      </c>
      <c r="C44" s="93" t="str">
        <f t="array" ref="C44">IF(A44="","",IFNA(INDEX('Growth inputs'!$C$6:$C$55,MATCH(A44,'Growth inputs'!$A$6:$A$55,0)),"n.a."))</f>
        <v/>
      </c>
      <c r="D44" s="93" t="str">
        <f t="array" ref="D44">IF(A44="","",IFNA(INDEX('Growth inputs'!$R$6:$R$55,MATCH(A44,'Growth inputs'!$A$6:$A$55,0)),"n.a."))</f>
        <v/>
      </c>
      <c r="E44" s="93" t="str">
        <f t="array" ref="E44">IF(A44="","",IFNA(INDEX('Growth inputs'!$D$6:$D$55,MATCH(A44,'Growth inputs'!$A$6:$A$55,0)),"n.a."))</f>
        <v/>
      </c>
      <c r="F44" s="100" t="str">
        <f t="array" ref="F44">IF(A44="","",IF(COUNTIF('Growth inputs'!$A$6:$A$55,A44)&lt;&gt;1,"n.a.",IF(AND(COUNT(IFNA(INDEX('Growth inputs'!$F$6:$F$55,MATCH(A44,'Growth inputs'!$A$6:$A$55,0)),"n.a."),IFNA(INDEX('Growth inputs'!$H$6:$H$55,MATCH(A44,'Growth inputs'!$A$6:$A$55,0)),"n.a."))=2,IFNA(INDEX('Growth inputs'!$F$6:$F$55,MATCH(A44,'Growth inputs'!$A$6:$A$55,0)),"n.a.")&gt;0,IFNA(INDEX('Growth inputs'!$H$6:$H$55,MATCH(A44,'Growth inputs'!$A$6:$A$55,0)),"n.a.")&gt;0,IFNA(INDEX('Growth inputs'!$D$6:$D$55,MATCH(A44,'Growth inputs'!$A$6:$A$55,0)),"n.a.")=IFNA(INDEX('Growth inputs'!$Z$6:$Z$55,MATCH(A44,'Growth inputs'!$A$6:$A$55,0)),"n.a."),IFNA(INDEX('Growth inputs'!$AB$6:$AB$55,MATCH(A44,'Growth inputs'!$A$6:$A$55,0)),"n.a.")="Yes"),(IFNA(INDEX('Growth inputs'!$F$6:$F$55,MATCH(A44,'Growth inputs'!$A$6:$A$55,0)),"n.a.")/IFNA(INDEX('Growth inputs'!$H$6:$H$55,MATCH(A44,'Growth inputs'!$A$6:$A$55,0)),"n.a."))^(1/3)-1,"n.a.")))</f>
        <v/>
      </c>
      <c r="G44" s="100" t="str">
        <f t="array" ref="G44">IF(A44="","",IF(COUNTIF('Growth inputs'!$A$6:$A$55,A44)&lt;&gt;1,"n.a.",IF(AND(COUNT(IFNA(INDEX('Growth inputs'!$K$6:$K$55,MATCH(A44,'Growth inputs'!$A$6:$A$55,0)),"n.a."),IFNA(INDEX('Growth inputs'!$L$6:$L$55,MATCH(A44,'Growth inputs'!$A$6:$A$55,0)),"n.a."),IFNA(INDEX('Growth inputs'!$F$6:$F$55,MATCH(A44,'Growth inputs'!$A$6:$A$55,0)),"n.a."))=3,IFNA(INDEX('Growth inputs'!$F$6:$F$55,MATCH(A44,'Growth inputs'!$A$6:$A$55,0)),"n.a.")&gt;0,IFNA(INDEX('Growth inputs'!$K$6:$K$55,MATCH(A44,'Growth inputs'!$A$6:$A$55,0)),"n.a.")&lt;=IFNA(INDEX('Growth inputs'!$L$6:$L$55,MATCH(A44,'Growth inputs'!$A$6:$A$55,0)),"n.a."),IFNA(INDEX('Growth inputs'!$D$6:$D$55,MATCH(A44,'Growth inputs'!$A$6:$A$55,0)),"n.a.")=IFNA(INDEX('Growth inputs'!$Y$6:$Y$55,MATCH(A44,'Growth inputs'!$A$6:$A$55,0)),"n.a."),IFNA(INDEX('Growth inputs'!$N$6:$N$55,MATCH(A44,'Growth inputs'!$A$6:$A$55,0)),"n.a.")&lt;&gt;"",IFNA(INDEX('Growth inputs'!$P$6:$P$55,MATCH(A44,'Growth inputs'!$A$6:$A$55,0)),"n.a.")&lt;&gt;"",ISNUMBER(IFNA(INDEX('Growth inputs'!$M$6:$M$55,MATCH(A44,'Growth inputs'!$A$6:$A$55,0)),"n.a.")),IFNA(INDEX('Growth inputs'!$M$6:$M$55,MATCH(A44,'Growth inputs'!$A$6:$A$55,0)),"n.a.")&lt;=Rules!$B$6,ISNUMBER(IFNA(INDEX('Growth inputs'!$I$6:$I$55,MATCH(A44,'Growth inputs'!$A$6:$A$55,0)),"n.a.")),IFNA(INDEX('Growth inputs'!$I$6:$I$55,MATCH(A44,'Growth inputs'!$A$6:$A$55,0)),"n.a.")&lt;=Rules!$B$6),AVERAGE(IFNA(INDEX('Growth inputs'!$K$6:$K$55,MATCH(A44,'Growth inputs'!$A$6:$A$55,0)),"n.a."),IFNA(INDEX('Growth inputs'!$L$6:$L$55,MATCH(A44,'Growth inputs'!$A$6:$A$55,0)),"n.a."))/IFNA(INDEX('Growth inputs'!$F$6:$F$55,MATCH(A44,'Growth inputs'!$A$6:$A$55,0)),"n.a.")-1,"n.a.")))</f>
        <v/>
      </c>
      <c r="H44" s="101" t="str">
        <f t="shared" si="1"/>
        <v/>
      </c>
      <c r="I44" s="101" t="str">
        <f t="shared" si="2"/>
        <v/>
      </c>
      <c r="J44" s="101" t="str">
        <f t="shared" si="3"/>
        <v/>
      </c>
      <c r="K44" s="93" t="str">
        <f t="shared" si="4"/>
        <v/>
      </c>
      <c r="L44" s="93" t="str">
        <f t="array" ref="L44">IF(A44="","",IF(Q44&lt;&gt;1,IFNA(INDEX('Growth inputs'!$X$6:$X$55,MATCH(A44,'Growth inputs'!$A$6:$A$55,0)),"n.a."),IF($B$9&lt;&gt;"Ready",$B$9,IF(K44&lt;$B$5,"Too few comparable growth records","Ready"))))</f>
        <v/>
      </c>
      <c r="M44" s="104" t="str">
        <f t="array" ref="M44">IF(A44="","",IFNA(INDEX('Growth inputs'!$J$6:$J$55,MATCH(A44,'Growth inputs'!$A$6:$A$55,0)),"n.a."))</f>
        <v/>
      </c>
      <c r="N44" s="93" t="str">
        <f t="array" ref="N44">IF(A44="","",IF(ISNUMBER(G44),100*(IFNA(INDEX('Growth inputs'!$L$6:$L$55,MATCH(A44,'Growth inputs'!$A$6:$A$55,0)),"n.a.")-IFNA(INDEX('Growth inputs'!$K$6:$K$55,MATCH(A44,'Growth inputs'!$A$6:$A$55,0)),"n.a."))/IFNA(INDEX('Growth inputs'!$F$6:$F$55,MATCH(A44,'Growth inputs'!$A$6:$A$55,0)),"n.a."),"n.a."))</f>
        <v/>
      </c>
      <c r="O44" s="100" t="str">
        <f t="array" ref="O44">IF(A44="","",IF(AND(ISNUMBER(G44),ISNUMBER(IFNA(INDEX('Growth inputs'!$T$6:$T$55,MATCH(A44,'Growth inputs'!$A$6:$A$55,0)),"n.a.")),IFNA(INDEX('Growth inputs'!$U$6:$U$55,MATCH(A44,'Growth inputs'!$A$6:$A$55,0)),"n.a.")&lt;&gt;""),G44-IFNA(INDEX('Growth inputs'!$T$6:$T$55,MATCH(A44,'Growth inputs'!$A$6:$A$55,0)),"n.a."),"n.a."))</f>
        <v/>
      </c>
      <c r="P44" s="93" t="str">
        <f t="shared" si="5"/>
        <v/>
      </c>
      <c r="Q44" s="93">
        <f t="array" ref="Q44">IF(A44="",0,IFERROR(IF(AND(COUNTIF('Growth inputs'!$A$6:$A$55,A44)=1,IFNA(INDEX('Growth inputs'!$W$6:$W$55,MATCH(A44,'Growth inputs'!$A$6:$A$55,0)),"n.a.")=1,COUNT(F44:G44)=2),1,0),0))</f>
        <v>0</v>
      </c>
      <c r="R44" s="104" t="str">
        <f t="array" ref="R44">IF(A44="","",IFNA(INDEX('Growth inputs'!$E$6:$E$55,MATCH(A44,'Growth inputs'!$A$6:$A$55,0)),"n.a."))</f>
        <v/>
      </c>
    </row>
    <row r="45">
      <c r="A45" s="93" t="str">
        <f>IF(Companies!A36="","",Companies!A36)</f>
        <v/>
      </c>
      <c r="B45" s="93" t="str">
        <f>IF(A45="","",Companies!C36)</f>
        <v/>
      </c>
      <c r="C45" s="93" t="str">
        <f t="array" ref="C45">IF(A45="","",IFNA(INDEX('Growth inputs'!$C$6:$C$55,MATCH(A45,'Growth inputs'!$A$6:$A$55,0)),"n.a."))</f>
        <v/>
      </c>
      <c r="D45" s="93" t="str">
        <f t="array" ref="D45">IF(A45="","",IFNA(INDEX('Growth inputs'!$R$6:$R$55,MATCH(A45,'Growth inputs'!$A$6:$A$55,0)),"n.a."))</f>
        <v/>
      </c>
      <c r="E45" s="93" t="str">
        <f t="array" ref="E45">IF(A45="","",IFNA(INDEX('Growth inputs'!$D$6:$D$55,MATCH(A45,'Growth inputs'!$A$6:$A$55,0)),"n.a."))</f>
        <v/>
      </c>
      <c r="F45" s="100" t="str">
        <f t="array" ref="F45">IF(A45="","",IF(COUNTIF('Growth inputs'!$A$6:$A$55,A45)&lt;&gt;1,"n.a.",IF(AND(COUNT(IFNA(INDEX('Growth inputs'!$F$6:$F$55,MATCH(A45,'Growth inputs'!$A$6:$A$55,0)),"n.a."),IFNA(INDEX('Growth inputs'!$H$6:$H$55,MATCH(A45,'Growth inputs'!$A$6:$A$55,0)),"n.a."))=2,IFNA(INDEX('Growth inputs'!$F$6:$F$55,MATCH(A45,'Growth inputs'!$A$6:$A$55,0)),"n.a.")&gt;0,IFNA(INDEX('Growth inputs'!$H$6:$H$55,MATCH(A45,'Growth inputs'!$A$6:$A$55,0)),"n.a.")&gt;0,IFNA(INDEX('Growth inputs'!$D$6:$D$55,MATCH(A45,'Growth inputs'!$A$6:$A$55,0)),"n.a.")=IFNA(INDEX('Growth inputs'!$Z$6:$Z$55,MATCH(A45,'Growth inputs'!$A$6:$A$55,0)),"n.a."),IFNA(INDEX('Growth inputs'!$AB$6:$AB$55,MATCH(A45,'Growth inputs'!$A$6:$A$55,0)),"n.a.")="Yes"),(IFNA(INDEX('Growth inputs'!$F$6:$F$55,MATCH(A45,'Growth inputs'!$A$6:$A$55,0)),"n.a.")/IFNA(INDEX('Growth inputs'!$H$6:$H$55,MATCH(A45,'Growth inputs'!$A$6:$A$55,0)),"n.a."))^(1/3)-1,"n.a.")))</f>
        <v/>
      </c>
      <c r="G45" s="100" t="str">
        <f t="array" ref="G45">IF(A45="","",IF(COUNTIF('Growth inputs'!$A$6:$A$55,A45)&lt;&gt;1,"n.a.",IF(AND(COUNT(IFNA(INDEX('Growth inputs'!$K$6:$K$55,MATCH(A45,'Growth inputs'!$A$6:$A$55,0)),"n.a."),IFNA(INDEX('Growth inputs'!$L$6:$L$55,MATCH(A45,'Growth inputs'!$A$6:$A$55,0)),"n.a."),IFNA(INDEX('Growth inputs'!$F$6:$F$55,MATCH(A45,'Growth inputs'!$A$6:$A$55,0)),"n.a."))=3,IFNA(INDEX('Growth inputs'!$F$6:$F$55,MATCH(A45,'Growth inputs'!$A$6:$A$55,0)),"n.a.")&gt;0,IFNA(INDEX('Growth inputs'!$K$6:$K$55,MATCH(A45,'Growth inputs'!$A$6:$A$55,0)),"n.a.")&lt;=IFNA(INDEX('Growth inputs'!$L$6:$L$55,MATCH(A45,'Growth inputs'!$A$6:$A$55,0)),"n.a."),IFNA(INDEX('Growth inputs'!$D$6:$D$55,MATCH(A45,'Growth inputs'!$A$6:$A$55,0)),"n.a.")=IFNA(INDEX('Growth inputs'!$Y$6:$Y$55,MATCH(A45,'Growth inputs'!$A$6:$A$55,0)),"n.a."),IFNA(INDEX('Growth inputs'!$N$6:$N$55,MATCH(A45,'Growth inputs'!$A$6:$A$55,0)),"n.a.")&lt;&gt;"",IFNA(INDEX('Growth inputs'!$P$6:$P$55,MATCH(A45,'Growth inputs'!$A$6:$A$55,0)),"n.a.")&lt;&gt;"",ISNUMBER(IFNA(INDEX('Growth inputs'!$M$6:$M$55,MATCH(A45,'Growth inputs'!$A$6:$A$55,0)),"n.a.")),IFNA(INDEX('Growth inputs'!$M$6:$M$55,MATCH(A45,'Growth inputs'!$A$6:$A$55,0)),"n.a.")&lt;=Rules!$B$6,ISNUMBER(IFNA(INDEX('Growth inputs'!$I$6:$I$55,MATCH(A45,'Growth inputs'!$A$6:$A$55,0)),"n.a.")),IFNA(INDEX('Growth inputs'!$I$6:$I$55,MATCH(A45,'Growth inputs'!$A$6:$A$55,0)),"n.a.")&lt;=Rules!$B$6),AVERAGE(IFNA(INDEX('Growth inputs'!$K$6:$K$55,MATCH(A45,'Growth inputs'!$A$6:$A$55,0)),"n.a."),IFNA(INDEX('Growth inputs'!$L$6:$L$55,MATCH(A45,'Growth inputs'!$A$6:$A$55,0)),"n.a."))/IFNA(INDEX('Growth inputs'!$F$6:$F$55,MATCH(A45,'Growth inputs'!$A$6:$A$55,0)),"n.a.")-1,"n.a.")))</f>
        <v/>
      </c>
      <c r="H45" s="101" t="str">
        <f t="shared" si="1"/>
        <v/>
      </c>
      <c r="I45" s="101" t="str">
        <f t="shared" si="2"/>
        <v/>
      </c>
      <c r="J45" s="101" t="str">
        <f t="shared" si="3"/>
        <v/>
      </c>
      <c r="K45" s="93" t="str">
        <f t="shared" si="4"/>
        <v/>
      </c>
      <c r="L45" s="93" t="str">
        <f t="array" ref="L45">IF(A45="","",IF(Q45&lt;&gt;1,IFNA(INDEX('Growth inputs'!$X$6:$X$55,MATCH(A45,'Growth inputs'!$A$6:$A$55,0)),"n.a."),IF($B$9&lt;&gt;"Ready",$B$9,IF(K45&lt;$B$5,"Too few comparable growth records","Ready"))))</f>
        <v/>
      </c>
      <c r="M45" s="104" t="str">
        <f t="array" ref="M45">IF(A45="","",IFNA(INDEX('Growth inputs'!$J$6:$J$55,MATCH(A45,'Growth inputs'!$A$6:$A$55,0)),"n.a."))</f>
        <v/>
      </c>
      <c r="N45" s="93" t="str">
        <f t="array" ref="N45">IF(A45="","",IF(ISNUMBER(G45),100*(IFNA(INDEX('Growth inputs'!$L$6:$L$55,MATCH(A45,'Growth inputs'!$A$6:$A$55,0)),"n.a.")-IFNA(INDEX('Growth inputs'!$K$6:$K$55,MATCH(A45,'Growth inputs'!$A$6:$A$55,0)),"n.a."))/IFNA(INDEX('Growth inputs'!$F$6:$F$55,MATCH(A45,'Growth inputs'!$A$6:$A$55,0)),"n.a."),"n.a."))</f>
        <v/>
      </c>
      <c r="O45" s="100" t="str">
        <f t="array" ref="O45">IF(A45="","",IF(AND(ISNUMBER(G45),ISNUMBER(IFNA(INDEX('Growth inputs'!$T$6:$T$55,MATCH(A45,'Growth inputs'!$A$6:$A$55,0)),"n.a.")),IFNA(INDEX('Growth inputs'!$U$6:$U$55,MATCH(A45,'Growth inputs'!$A$6:$A$55,0)),"n.a.")&lt;&gt;""),G45-IFNA(INDEX('Growth inputs'!$T$6:$T$55,MATCH(A45,'Growth inputs'!$A$6:$A$55,0)),"n.a."),"n.a."))</f>
        <v/>
      </c>
      <c r="P45" s="93" t="str">
        <f t="shared" si="5"/>
        <v/>
      </c>
      <c r="Q45" s="93">
        <f t="array" ref="Q45">IF(A45="",0,IFERROR(IF(AND(COUNTIF('Growth inputs'!$A$6:$A$55,A45)=1,IFNA(INDEX('Growth inputs'!$W$6:$W$55,MATCH(A45,'Growth inputs'!$A$6:$A$55,0)),"n.a.")=1,COUNT(F45:G45)=2),1,0),0))</f>
        <v>0</v>
      </c>
      <c r="R45" s="104" t="str">
        <f t="array" ref="R45">IF(A45="","",IFNA(INDEX('Growth inputs'!$E$6:$E$55,MATCH(A45,'Growth inputs'!$A$6:$A$55,0)),"n.a."))</f>
        <v/>
      </c>
    </row>
    <row r="46">
      <c r="A46" s="93" t="str">
        <f>IF(Companies!A37="","",Companies!A37)</f>
        <v/>
      </c>
      <c r="B46" s="93" t="str">
        <f>IF(A46="","",Companies!C37)</f>
        <v/>
      </c>
      <c r="C46" s="93" t="str">
        <f t="array" ref="C46">IF(A46="","",IFNA(INDEX('Growth inputs'!$C$6:$C$55,MATCH(A46,'Growth inputs'!$A$6:$A$55,0)),"n.a."))</f>
        <v/>
      </c>
      <c r="D46" s="93" t="str">
        <f t="array" ref="D46">IF(A46="","",IFNA(INDEX('Growth inputs'!$R$6:$R$55,MATCH(A46,'Growth inputs'!$A$6:$A$55,0)),"n.a."))</f>
        <v/>
      </c>
      <c r="E46" s="93" t="str">
        <f t="array" ref="E46">IF(A46="","",IFNA(INDEX('Growth inputs'!$D$6:$D$55,MATCH(A46,'Growth inputs'!$A$6:$A$55,0)),"n.a."))</f>
        <v/>
      </c>
      <c r="F46" s="100" t="str">
        <f t="array" ref="F46">IF(A46="","",IF(COUNTIF('Growth inputs'!$A$6:$A$55,A46)&lt;&gt;1,"n.a.",IF(AND(COUNT(IFNA(INDEX('Growth inputs'!$F$6:$F$55,MATCH(A46,'Growth inputs'!$A$6:$A$55,0)),"n.a."),IFNA(INDEX('Growth inputs'!$H$6:$H$55,MATCH(A46,'Growth inputs'!$A$6:$A$55,0)),"n.a."))=2,IFNA(INDEX('Growth inputs'!$F$6:$F$55,MATCH(A46,'Growth inputs'!$A$6:$A$55,0)),"n.a.")&gt;0,IFNA(INDEX('Growth inputs'!$H$6:$H$55,MATCH(A46,'Growth inputs'!$A$6:$A$55,0)),"n.a.")&gt;0,IFNA(INDEX('Growth inputs'!$D$6:$D$55,MATCH(A46,'Growth inputs'!$A$6:$A$55,0)),"n.a.")=IFNA(INDEX('Growth inputs'!$Z$6:$Z$55,MATCH(A46,'Growth inputs'!$A$6:$A$55,0)),"n.a."),IFNA(INDEX('Growth inputs'!$AB$6:$AB$55,MATCH(A46,'Growth inputs'!$A$6:$A$55,0)),"n.a.")="Yes"),(IFNA(INDEX('Growth inputs'!$F$6:$F$55,MATCH(A46,'Growth inputs'!$A$6:$A$55,0)),"n.a.")/IFNA(INDEX('Growth inputs'!$H$6:$H$55,MATCH(A46,'Growth inputs'!$A$6:$A$55,0)),"n.a."))^(1/3)-1,"n.a.")))</f>
        <v/>
      </c>
      <c r="G46" s="100" t="str">
        <f t="array" ref="G46">IF(A46="","",IF(COUNTIF('Growth inputs'!$A$6:$A$55,A46)&lt;&gt;1,"n.a.",IF(AND(COUNT(IFNA(INDEX('Growth inputs'!$K$6:$K$55,MATCH(A46,'Growth inputs'!$A$6:$A$55,0)),"n.a."),IFNA(INDEX('Growth inputs'!$L$6:$L$55,MATCH(A46,'Growth inputs'!$A$6:$A$55,0)),"n.a."),IFNA(INDEX('Growth inputs'!$F$6:$F$55,MATCH(A46,'Growth inputs'!$A$6:$A$55,0)),"n.a."))=3,IFNA(INDEX('Growth inputs'!$F$6:$F$55,MATCH(A46,'Growth inputs'!$A$6:$A$55,0)),"n.a.")&gt;0,IFNA(INDEX('Growth inputs'!$K$6:$K$55,MATCH(A46,'Growth inputs'!$A$6:$A$55,0)),"n.a.")&lt;=IFNA(INDEX('Growth inputs'!$L$6:$L$55,MATCH(A46,'Growth inputs'!$A$6:$A$55,0)),"n.a."),IFNA(INDEX('Growth inputs'!$D$6:$D$55,MATCH(A46,'Growth inputs'!$A$6:$A$55,0)),"n.a.")=IFNA(INDEX('Growth inputs'!$Y$6:$Y$55,MATCH(A46,'Growth inputs'!$A$6:$A$55,0)),"n.a."),IFNA(INDEX('Growth inputs'!$N$6:$N$55,MATCH(A46,'Growth inputs'!$A$6:$A$55,0)),"n.a.")&lt;&gt;"",IFNA(INDEX('Growth inputs'!$P$6:$P$55,MATCH(A46,'Growth inputs'!$A$6:$A$55,0)),"n.a.")&lt;&gt;"",ISNUMBER(IFNA(INDEX('Growth inputs'!$M$6:$M$55,MATCH(A46,'Growth inputs'!$A$6:$A$55,0)),"n.a.")),IFNA(INDEX('Growth inputs'!$M$6:$M$55,MATCH(A46,'Growth inputs'!$A$6:$A$55,0)),"n.a.")&lt;=Rules!$B$6,ISNUMBER(IFNA(INDEX('Growth inputs'!$I$6:$I$55,MATCH(A46,'Growth inputs'!$A$6:$A$55,0)),"n.a.")),IFNA(INDEX('Growth inputs'!$I$6:$I$55,MATCH(A46,'Growth inputs'!$A$6:$A$55,0)),"n.a.")&lt;=Rules!$B$6),AVERAGE(IFNA(INDEX('Growth inputs'!$K$6:$K$55,MATCH(A46,'Growth inputs'!$A$6:$A$55,0)),"n.a."),IFNA(INDEX('Growth inputs'!$L$6:$L$55,MATCH(A46,'Growth inputs'!$A$6:$A$55,0)),"n.a."))/IFNA(INDEX('Growth inputs'!$F$6:$F$55,MATCH(A46,'Growth inputs'!$A$6:$A$55,0)),"n.a.")-1,"n.a.")))</f>
        <v/>
      </c>
      <c r="H46" s="101" t="str">
        <f t="shared" si="1"/>
        <v/>
      </c>
      <c r="I46" s="101" t="str">
        <f t="shared" si="2"/>
        <v/>
      </c>
      <c r="J46" s="101" t="str">
        <f t="shared" si="3"/>
        <v/>
      </c>
      <c r="K46" s="93" t="str">
        <f t="shared" si="4"/>
        <v/>
      </c>
      <c r="L46" s="93" t="str">
        <f t="array" ref="L46">IF(A46="","",IF(Q46&lt;&gt;1,IFNA(INDEX('Growth inputs'!$X$6:$X$55,MATCH(A46,'Growth inputs'!$A$6:$A$55,0)),"n.a."),IF($B$9&lt;&gt;"Ready",$B$9,IF(K46&lt;$B$5,"Too few comparable growth records","Ready"))))</f>
        <v/>
      </c>
      <c r="M46" s="104" t="str">
        <f t="array" ref="M46">IF(A46="","",IFNA(INDEX('Growth inputs'!$J$6:$J$55,MATCH(A46,'Growth inputs'!$A$6:$A$55,0)),"n.a."))</f>
        <v/>
      </c>
      <c r="N46" s="93" t="str">
        <f t="array" ref="N46">IF(A46="","",IF(ISNUMBER(G46),100*(IFNA(INDEX('Growth inputs'!$L$6:$L$55,MATCH(A46,'Growth inputs'!$A$6:$A$55,0)),"n.a.")-IFNA(INDEX('Growth inputs'!$K$6:$K$55,MATCH(A46,'Growth inputs'!$A$6:$A$55,0)),"n.a."))/IFNA(INDEX('Growth inputs'!$F$6:$F$55,MATCH(A46,'Growth inputs'!$A$6:$A$55,0)),"n.a."),"n.a."))</f>
        <v/>
      </c>
      <c r="O46" s="100" t="str">
        <f t="array" ref="O46">IF(A46="","",IF(AND(ISNUMBER(G46),ISNUMBER(IFNA(INDEX('Growth inputs'!$T$6:$T$55,MATCH(A46,'Growth inputs'!$A$6:$A$55,0)),"n.a.")),IFNA(INDEX('Growth inputs'!$U$6:$U$55,MATCH(A46,'Growth inputs'!$A$6:$A$55,0)),"n.a.")&lt;&gt;""),G46-IFNA(INDEX('Growth inputs'!$T$6:$T$55,MATCH(A46,'Growth inputs'!$A$6:$A$55,0)),"n.a."),"n.a."))</f>
        <v/>
      </c>
      <c r="P46" s="93" t="str">
        <f t="shared" si="5"/>
        <v/>
      </c>
      <c r="Q46" s="93">
        <f t="array" ref="Q46">IF(A46="",0,IFERROR(IF(AND(COUNTIF('Growth inputs'!$A$6:$A$55,A46)=1,IFNA(INDEX('Growth inputs'!$W$6:$W$55,MATCH(A46,'Growth inputs'!$A$6:$A$55,0)),"n.a.")=1,COUNT(F46:G46)=2),1,0),0))</f>
        <v>0</v>
      </c>
      <c r="R46" s="104" t="str">
        <f t="array" ref="R46">IF(A46="","",IFNA(INDEX('Growth inputs'!$E$6:$E$55,MATCH(A46,'Growth inputs'!$A$6:$A$55,0)),"n.a."))</f>
        <v/>
      </c>
    </row>
    <row r="47">
      <c r="A47" s="93" t="str">
        <f>IF(Companies!A38="","",Companies!A38)</f>
        <v/>
      </c>
      <c r="B47" s="93" t="str">
        <f>IF(A47="","",Companies!C38)</f>
        <v/>
      </c>
      <c r="C47" s="93" t="str">
        <f t="array" ref="C47">IF(A47="","",IFNA(INDEX('Growth inputs'!$C$6:$C$55,MATCH(A47,'Growth inputs'!$A$6:$A$55,0)),"n.a."))</f>
        <v/>
      </c>
      <c r="D47" s="93" t="str">
        <f t="array" ref="D47">IF(A47="","",IFNA(INDEX('Growth inputs'!$R$6:$R$55,MATCH(A47,'Growth inputs'!$A$6:$A$55,0)),"n.a."))</f>
        <v/>
      </c>
      <c r="E47" s="93" t="str">
        <f t="array" ref="E47">IF(A47="","",IFNA(INDEX('Growth inputs'!$D$6:$D$55,MATCH(A47,'Growth inputs'!$A$6:$A$55,0)),"n.a."))</f>
        <v/>
      </c>
      <c r="F47" s="100" t="str">
        <f t="array" ref="F47">IF(A47="","",IF(COUNTIF('Growth inputs'!$A$6:$A$55,A47)&lt;&gt;1,"n.a.",IF(AND(COUNT(IFNA(INDEX('Growth inputs'!$F$6:$F$55,MATCH(A47,'Growth inputs'!$A$6:$A$55,0)),"n.a."),IFNA(INDEX('Growth inputs'!$H$6:$H$55,MATCH(A47,'Growth inputs'!$A$6:$A$55,0)),"n.a."))=2,IFNA(INDEX('Growth inputs'!$F$6:$F$55,MATCH(A47,'Growth inputs'!$A$6:$A$55,0)),"n.a.")&gt;0,IFNA(INDEX('Growth inputs'!$H$6:$H$55,MATCH(A47,'Growth inputs'!$A$6:$A$55,0)),"n.a.")&gt;0,IFNA(INDEX('Growth inputs'!$D$6:$D$55,MATCH(A47,'Growth inputs'!$A$6:$A$55,0)),"n.a.")=IFNA(INDEX('Growth inputs'!$Z$6:$Z$55,MATCH(A47,'Growth inputs'!$A$6:$A$55,0)),"n.a."),IFNA(INDEX('Growth inputs'!$AB$6:$AB$55,MATCH(A47,'Growth inputs'!$A$6:$A$55,0)),"n.a.")="Yes"),(IFNA(INDEX('Growth inputs'!$F$6:$F$55,MATCH(A47,'Growth inputs'!$A$6:$A$55,0)),"n.a.")/IFNA(INDEX('Growth inputs'!$H$6:$H$55,MATCH(A47,'Growth inputs'!$A$6:$A$55,0)),"n.a."))^(1/3)-1,"n.a.")))</f>
        <v/>
      </c>
      <c r="G47" s="100" t="str">
        <f t="array" ref="G47">IF(A47="","",IF(COUNTIF('Growth inputs'!$A$6:$A$55,A47)&lt;&gt;1,"n.a.",IF(AND(COUNT(IFNA(INDEX('Growth inputs'!$K$6:$K$55,MATCH(A47,'Growth inputs'!$A$6:$A$55,0)),"n.a."),IFNA(INDEX('Growth inputs'!$L$6:$L$55,MATCH(A47,'Growth inputs'!$A$6:$A$55,0)),"n.a."),IFNA(INDEX('Growth inputs'!$F$6:$F$55,MATCH(A47,'Growth inputs'!$A$6:$A$55,0)),"n.a."))=3,IFNA(INDEX('Growth inputs'!$F$6:$F$55,MATCH(A47,'Growth inputs'!$A$6:$A$55,0)),"n.a.")&gt;0,IFNA(INDEX('Growth inputs'!$K$6:$K$55,MATCH(A47,'Growth inputs'!$A$6:$A$55,0)),"n.a.")&lt;=IFNA(INDEX('Growth inputs'!$L$6:$L$55,MATCH(A47,'Growth inputs'!$A$6:$A$55,0)),"n.a."),IFNA(INDEX('Growth inputs'!$D$6:$D$55,MATCH(A47,'Growth inputs'!$A$6:$A$55,0)),"n.a.")=IFNA(INDEX('Growth inputs'!$Y$6:$Y$55,MATCH(A47,'Growth inputs'!$A$6:$A$55,0)),"n.a."),IFNA(INDEX('Growth inputs'!$N$6:$N$55,MATCH(A47,'Growth inputs'!$A$6:$A$55,0)),"n.a.")&lt;&gt;"",IFNA(INDEX('Growth inputs'!$P$6:$P$55,MATCH(A47,'Growth inputs'!$A$6:$A$55,0)),"n.a.")&lt;&gt;"",ISNUMBER(IFNA(INDEX('Growth inputs'!$M$6:$M$55,MATCH(A47,'Growth inputs'!$A$6:$A$55,0)),"n.a.")),IFNA(INDEX('Growth inputs'!$M$6:$M$55,MATCH(A47,'Growth inputs'!$A$6:$A$55,0)),"n.a.")&lt;=Rules!$B$6,ISNUMBER(IFNA(INDEX('Growth inputs'!$I$6:$I$55,MATCH(A47,'Growth inputs'!$A$6:$A$55,0)),"n.a.")),IFNA(INDEX('Growth inputs'!$I$6:$I$55,MATCH(A47,'Growth inputs'!$A$6:$A$55,0)),"n.a.")&lt;=Rules!$B$6),AVERAGE(IFNA(INDEX('Growth inputs'!$K$6:$K$55,MATCH(A47,'Growth inputs'!$A$6:$A$55,0)),"n.a."),IFNA(INDEX('Growth inputs'!$L$6:$L$55,MATCH(A47,'Growth inputs'!$A$6:$A$55,0)),"n.a."))/IFNA(INDEX('Growth inputs'!$F$6:$F$55,MATCH(A47,'Growth inputs'!$A$6:$A$55,0)),"n.a.")-1,"n.a.")))</f>
        <v/>
      </c>
      <c r="H47" s="101" t="str">
        <f t="shared" si="1"/>
        <v/>
      </c>
      <c r="I47" s="101" t="str">
        <f t="shared" si="2"/>
        <v/>
      </c>
      <c r="J47" s="101" t="str">
        <f t="shared" si="3"/>
        <v/>
      </c>
      <c r="K47" s="93" t="str">
        <f t="shared" si="4"/>
        <v/>
      </c>
      <c r="L47" s="93" t="str">
        <f t="array" ref="L47">IF(A47="","",IF(Q47&lt;&gt;1,IFNA(INDEX('Growth inputs'!$X$6:$X$55,MATCH(A47,'Growth inputs'!$A$6:$A$55,0)),"n.a."),IF($B$9&lt;&gt;"Ready",$B$9,IF(K47&lt;$B$5,"Too few comparable growth records","Ready"))))</f>
        <v/>
      </c>
      <c r="M47" s="104" t="str">
        <f t="array" ref="M47">IF(A47="","",IFNA(INDEX('Growth inputs'!$J$6:$J$55,MATCH(A47,'Growth inputs'!$A$6:$A$55,0)),"n.a."))</f>
        <v/>
      </c>
      <c r="N47" s="93" t="str">
        <f t="array" ref="N47">IF(A47="","",IF(ISNUMBER(G47),100*(IFNA(INDEX('Growth inputs'!$L$6:$L$55,MATCH(A47,'Growth inputs'!$A$6:$A$55,0)),"n.a.")-IFNA(INDEX('Growth inputs'!$K$6:$K$55,MATCH(A47,'Growth inputs'!$A$6:$A$55,0)),"n.a."))/IFNA(INDEX('Growth inputs'!$F$6:$F$55,MATCH(A47,'Growth inputs'!$A$6:$A$55,0)),"n.a."),"n.a."))</f>
        <v/>
      </c>
      <c r="O47" s="100" t="str">
        <f t="array" ref="O47">IF(A47="","",IF(AND(ISNUMBER(G47),ISNUMBER(IFNA(INDEX('Growth inputs'!$T$6:$T$55,MATCH(A47,'Growth inputs'!$A$6:$A$55,0)),"n.a.")),IFNA(INDEX('Growth inputs'!$U$6:$U$55,MATCH(A47,'Growth inputs'!$A$6:$A$55,0)),"n.a.")&lt;&gt;""),G47-IFNA(INDEX('Growth inputs'!$T$6:$T$55,MATCH(A47,'Growth inputs'!$A$6:$A$55,0)),"n.a."),"n.a."))</f>
        <v/>
      </c>
      <c r="P47" s="93" t="str">
        <f t="shared" si="5"/>
        <v/>
      </c>
      <c r="Q47" s="93">
        <f t="array" ref="Q47">IF(A47="",0,IFERROR(IF(AND(COUNTIF('Growth inputs'!$A$6:$A$55,A47)=1,IFNA(INDEX('Growth inputs'!$W$6:$W$55,MATCH(A47,'Growth inputs'!$A$6:$A$55,0)),"n.a.")=1,COUNT(F47:G47)=2),1,0),0))</f>
        <v>0</v>
      </c>
      <c r="R47" s="104" t="str">
        <f t="array" ref="R47">IF(A47="","",IFNA(INDEX('Growth inputs'!$E$6:$E$55,MATCH(A47,'Growth inputs'!$A$6:$A$55,0)),"n.a."))</f>
        <v/>
      </c>
    </row>
    <row r="48">
      <c r="A48" s="93" t="str">
        <f>IF(Companies!A39="","",Companies!A39)</f>
        <v/>
      </c>
      <c r="B48" s="93" t="str">
        <f>IF(A48="","",Companies!C39)</f>
        <v/>
      </c>
      <c r="C48" s="93" t="str">
        <f t="array" ref="C48">IF(A48="","",IFNA(INDEX('Growth inputs'!$C$6:$C$55,MATCH(A48,'Growth inputs'!$A$6:$A$55,0)),"n.a."))</f>
        <v/>
      </c>
      <c r="D48" s="93" t="str">
        <f t="array" ref="D48">IF(A48="","",IFNA(INDEX('Growth inputs'!$R$6:$R$55,MATCH(A48,'Growth inputs'!$A$6:$A$55,0)),"n.a."))</f>
        <v/>
      </c>
      <c r="E48" s="93" t="str">
        <f t="array" ref="E48">IF(A48="","",IFNA(INDEX('Growth inputs'!$D$6:$D$55,MATCH(A48,'Growth inputs'!$A$6:$A$55,0)),"n.a."))</f>
        <v/>
      </c>
      <c r="F48" s="100" t="str">
        <f t="array" ref="F48">IF(A48="","",IF(COUNTIF('Growth inputs'!$A$6:$A$55,A48)&lt;&gt;1,"n.a.",IF(AND(COUNT(IFNA(INDEX('Growth inputs'!$F$6:$F$55,MATCH(A48,'Growth inputs'!$A$6:$A$55,0)),"n.a."),IFNA(INDEX('Growth inputs'!$H$6:$H$55,MATCH(A48,'Growth inputs'!$A$6:$A$55,0)),"n.a."))=2,IFNA(INDEX('Growth inputs'!$F$6:$F$55,MATCH(A48,'Growth inputs'!$A$6:$A$55,0)),"n.a.")&gt;0,IFNA(INDEX('Growth inputs'!$H$6:$H$55,MATCH(A48,'Growth inputs'!$A$6:$A$55,0)),"n.a.")&gt;0,IFNA(INDEX('Growth inputs'!$D$6:$D$55,MATCH(A48,'Growth inputs'!$A$6:$A$55,0)),"n.a.")=IFNA(INDEX('Growth inputs'!$Z$6:$Z$55,MATCH(A48,'Growth inputs'!$A$6:$A$55,0)),"n.a."),IFNA(INDEX('Growth inputs'!$AB$6:$AB$55,MATCH(A48,'Growth inputs'!$A$6:$A$55,0)),"n.a.")="Yes"),(IFNA(INDEX('Growth inputs'!$F$6:$F$55,MATCH(A48,'Growth inputs'!$A$6:$A$55,0)),"n.a.")/IFNA(INDEX('Growth inputs'!$H$6:$H$55,MATCH(A48,'Growth inputs'!$A$6:$A$55,0)),"n.a."))^(1/3)-1,"n.a.")))</f>
        <v/>
      </c>
      <c r="G48" s="100" t="str">
        <f t="array" ref="G48">IF(A48="","",IF(COUNTIF('Growth inputs'!$A$6:$A$55,A48)&lt;&gt;1,"n.a.",IF(AND(COUNT(IFNA(INDEX('Growth inputs'!$K$6:$K$55,MATCH(A48,'Growth inputs'!$A$6:$A$55,0)),"n.a."),IFNA(INDEX('Growth inputs'!$L$6:$L$55,MATCH(A48,'Growth inputs'!$A$6:$A$55,0)),"n.a."),IFNA(INDEX('Growth inputs'!$F$6:$F$55,MATCH(A48,'Growth inputs'!$A$6:$A$55,0)),"n.a."))=3,IFNA(INDEX('Growth inputs'!$F$6:$F$55,MATCH(A48,'Growth inputs'!$A$6:$A$55,0)),"n.a.")&gt;0,IFNA(INDEX('Growth inputs'!$K$6:$K$55,MATCH(A48,'Growth inputs'!$A$6:$A$55,0)),"n.a.")&lt;=IFNA(INDEX('Growth inputs'!$L$6:$L$55,MATCH(A48,'Growth inputs'!$A$6:$A$55,0)),"n.a."),IFNA(INDEX('Growth inputs'!$D$6:$D$55,MATCH(A48,'Growth inputs'!$A$6:$A$55,0)),"n.a.")=IFNA(INDEX('Growth inputs'!$Y$6:$Y$55,MATCH(A48,'Growth inputs'!$A$6:$A$55,0)),"n.a."),IFNA(INDEX('Growth inputs'!$N$6:$N$55,MATCH(A48,'Growth inputs'!$A$6:$A$55,0)),"n.a.")&lt;&gt;"",IFNA(INDEX('Growth inputs'!$P$6:$P$55,MATCH(A48,'Growth inputs'!$A$6:$A$55,0)),"n.a.")&lt;&gt;"",ISNUMBER(IFNA(INDEX('Growth inputs'!$M$6:$M$55,MATCH(A48,'Growth inputs'!$A$6:$A$55,0)),"n.a.")),IFNA(INDEX('Growth inputs'!$M$6:$M$55,MATCH(A48,'Growth inputs'!$A$6:$A$55,0)),"n.a.")&lt;=Rules!$B$6,ISNUMBER(IFNA(INDEX('Growth inputs'!$I$6:$I$55,MATCH(A48,'Growth inputs'!$A$6:$A$55,0)),"n.a.")),IFNA(INDEX('Growth inputs'!$I$6:$I$55,MATCH(A48,'Growth inputs'!$A$6:$A$55,0)),"n.a.")&lt;=Rules!$B$6),AVERAGE(IFNA(INDEX('Growth inputs'!$K$6:$K$55,MATCH(A48,'Growth inputs'!$A$6:$A$55,0)),"n.a."),IFNA(INDEX('Growth inputs'!$L$6:$L$55,MATCH(A48,'Growth inputs'!$A$6:$A$55,0)),"n.a."))/IFNA(INDEX('Growth inputs'!$F$6:$F$55,MATCH(A48,'Growth inputs'!$A$6:$A$55,0)),"n.a.")-1,"n.a.")))</f>
        <v/>
      </c>
      <c r="H48" s="101" t="str">
        <f t="shared" si="1"/>
        <v/>
      </c>
      <c r="I48" s="101" t="str">
        <f t="shared" si="2"/>
        <v/>
      </c>
      <c r="J48" s="101" t="str">
        <f t="shared" si="3"/>
        <v/>
      </c>
      <c r="K48" s="93" t="str">
        <f t="shared" si="4"/>
        <v/>
      </c>
      <c r="L48" s="93" t="str">
        <f t="array" ref="L48">IF(A48="","",IF(Q48&lt;&gt;1,IFNA(INDEX('Growth inputs'!$X$6:$X$55,MATCH(A48,'Growth inputs'!$A$6:$A$55,0)),"n.a."),IF($B$9&lt;&gt;"Ready",$B$9,IF(K48&lt;$B$5,"Too few comparable growth records","Ready"))))</f>
        <v/>
      </c>
      <c r="M48" s="104" t="str">
        <f t="array" ref="M48">IF(A48="","",IFNA(INDEX('Growth inputs'!$J$6:$J$55,MATCH(A48,'Growth inputs'!$A$6:$A$55,0)),"n.a."))</f>
        <v/>
      </c>
      <c r="N48" s="93" t="str">
        <f t="array" ref="N48">IF(A48="","",IF(ISNUMBER(G48),100*(IFNA(INDEX('Growth inputs'!$L$6:$L$55,MATCH(A48,'Growth inputs'!$A$6:$A$55,0)),"n.a.")-IFNA(INDEX('Growth inputs'!$K$6:$K$55,MATCH(A48,'Growth inputs'!$A$6:$A$55,0)),"n.a."))/IFNA(INDEX('Growth inputs'!$F$6:$F$55,MATCH(A48,'Growth inputs'!$A$6:$A$55,0)),"n.a."),"n.a."))</f>
        <v/>
      </c>
      <c r="O48" s="100" t="str">
        <f t="array" ref="O48">IF(A48="","",IF(AND(ISNUMBER(G48),ISNUMBER(IFNA(INDEX('Growth inputs'!$T$6:$T$55,MATCH(A48,'Growth inputs'!$A$6:$A$55,0)),"n.a.")),IFNA(INDEX('Growth inputs'!$U$6:$U$55,MATCH(A48,'Growth inputs'!$A$6:$A$55,0)),"n.a.")&lt;&gt;""),G48-IFNA(INDEX('Growth inputs'!$T$6:$T$55,MATCH(A48,'Growth inputs'!$A$6:$A$55,0)),"n.a."),"n.a."))</f>
        <v/>
      </c>
      <c r="P48" s="93" t="str">
        <f t="shared" si="5"/>
        <v/>
      </c>
      <c r="Q48" s="93">
        <f t="array" ref="Q48">IF(A48="",0,IFERROR(IF(AND(COUNTIF('Growth inputs'!$A$6:$A$55,A48)=1,IFNA(INDEX('Growth inputs'!$W$6:$W$55,MATCH(A48,'Growth inputs'!$A$6:$A$55,0)),"n.a.")=1,COUNT(F48:G48)=2),1,0),0))</f>
        <v>0</v>
      </c>
      <c r="R48" s="104" t="str">
        <f t="array" ref="R48">IF(A48="","",IFNA(INDEX('Growth inputs'!$E$6:$E$55,MATCH(A48,'Growth inputs'!$A$6:$A$55,0)),"n.a."))</f>
        <v/>
      </c>
    </row>
    <row r="49">
      <c r="A49" s="93" t="str">
        <f>IF(Companies!A40="","",Companies!A40)</f>
        <v/>
      </c>
      <c r="B49" s="93" t="str">
        <f>IF(A49="","",Companies!C40)</f>
        <v/>
      </c>
      <c r="C49" s="93" t="str">
        <f t="array" ref="C49">IF(A49="","",IFNA(INDEX('Growth inputs'!$C$6:$C$55,MATCH(A49,'Growth inputs'!$A$6:$A$55,0)),"n.a."))</f>
        <v/>
      </c>
      <c r="D49" s="93" t="str">
        <f t="array" ref="D49">IF(A49="","",IFNA(INDEX('Growth inputs'!$R$6:$R$55,MATCH(A49,'Growth inputs'!$A$6:$A$55,0)),"n.a."))</f>
        <v/>
      </c>
      <c r="E49" s="93" t="str">
        <f t="array" ref="E49">IF(A49="","",IFNA(INDEX('Growth inputs'!$D$6:$D$55,MATCH(A49,'Growth inputs'!$A$6:$A$55,0)),"n.a."))</f>
        <v/>
      </c>
      <c r="F49" s="100" t="str">
        <f t="array" ref="F49">IF(A49="","",IF(COUNTIF('Growth inputs'!$A$6:$A$55,A49)&lt;&gt;1,"n.a.",IF(AND(COUNT(IFNA(INDEX('Growth inputs'!$F$6:$F$55,MATCH(A49,'Growth inputs'!$A$6:$A$55,0)),"n.a."),IFNA(INDEX('Growth inputs'!$H$6:$H$55,MATCH(A49,'Growth inputs'!$A$6:$A$55,0)),"n.a."))=2,IFNA(INDEX('Growth inputs'!$F$6:$F$55,MATCH(A49,'Growth inputs'!$A$6:$A$55,0)),"n.a.")&gt;0,IFNA(INDEX('Growth inputs'!$H$6:$H$55,MATCH(A49,'Growth inputs'!$A$6:$A$55,0)),"n.a.")&gt;0,IFNA(INDEX('Growth inputs'!$D$6:$D$55,MATCH(A49,'Growth inputs'!$A$6:$A$55,0)),"n.a.")=IFNA(INDEX('Growth inputs'!$Z$6:$Z$55,MATCH(A49,'Growth inputs'!$A$6:$A$55,0)),"n.a."),IFNA(INDEX('Growth inputs'!$AB$6:$AB$55,MATCH(A49,'Growth inputs'!$A$6:$A$55,0)),"n.a.")="Yes"),(IFNA(INDEX('Growth inputs'!$F$6:$F$55,MATCH(A49,'Growth inputs'!$A$6:$A$55,0)),"n.a.")/IFNA(INDEX('Growth inputs'!$H$6:$H$55,MATCH(A49,'Growth inputs'!$A$6:$A$55,0)),"n.a."))^(1/3)-1,"n.a.")))</f>
        <v/>
      </c>
      <c r="G49" s="100" t="str">
        <f t="array" ref="G49">IF(A49="","",IF(COUNTIF('Growth inputs'!$A$6:$A$55,A49)&lt;&gt;1,"n.a.",IF(AND(COUNT(IFNA(INDEX('Growth inputs'!$K$6:$K$55,MATCH(A49,'Growth inputs'!$A$6:$A$55,0)),"n.a."),IFNA(INDEX('Growth inputs'!$L$6:$L$55,MATCH(A49,'Growth inputs'!$A$6:$A$55,0)),"n.a."),IFNA(INDEX('Growth inputs'!$F$6:$F$55,MATCH(A49,'Growth inputs'!$A$6:$A$55,0)),"n.a."))=3,IFNA(INDEX('Growth inputs'!$F$6:$F$55,MATCH(A49,'Growth inputs'!$A$6:$A$55,0)),"n.a.")&gt;0,IFNA(INDEX('Growth inputs'!$K$6:$K$55,MATCH(A49,'Growth inputs'!$A$6:$A$55,0)),"n.a.")&lt;=IFNA(INDEX('Growth inputs'!$L$6:$L$55,MATCH(A49,'Growth inputs'!$A$6:$A$55,0)),"n.a."),IFNA(INDEX('Growth inputs'!$D$6:$D$55,MATCH(A49,'Growth inputs'!$A$6:$A$55,0)),"n.a.")=IFNA(INDEX('Growth inputs'!$Y$6:$Y$55,MATCH(A49,'Growth inputs'!$A$6:$A$55,0)),"n.a."),IFNA(INDEX('Growth inputs'!$N$6:$N$55,MATCH(A49,'Growth inputs'!$A$6:$A$55,0)),"n.a.")&lt;&gt;"",IFNA(INDEX('Growth inputs'!$P$6:$P$55,MATCH(A49,'Growth inputs'!$A$6:$A$55,0)),"n.a.")&lt;&gt;"",ISNUMBER(IFNA(INDEX('Growth inputs'!$M$6:$M$55,MATCH(A49,'Growth inputs'!$A$6:$A$55,0)),"n.a.")),IFNA(INDEX('Growth inputs'!$M$6:$M$55,MATCH(A49,'Growth inputs'!$A$6:$A$55,0)),"n.a.")&lt;=Rules!$B$6,ISNUMBER(IFNA(INDEX('Growth inputs'!$I$6:$I$55,MATCH(A49,'Growth inputs'!$A$6:$A$55,0)),"n.a.")),IFNA(INDEX('Growth inputs'!$I$6:$I$55,MATCH(A49,'Growth inputs'!$A$6:$A$55,0)),"n.a.")&lt;=Rules!$B$6),AVERAGE(IFNA(INDEX('Growth inputs'!$K$6:$K$55,MATCH(A49,'Growth inputs'!$A$6:$A$55,0)),"n.a."),IFNA(INDEX('Growth inputs'!$L$6:$L$55,MATCH(A49,'Growth inputs'!$A$6:$A$55,0)),"n.a."))/IFNA(INDEX('Growth inputs'!$F$6:$F$55,MATCH(A49,'Growth inputs'!$A$6:$A$55,0)),"n.a.")-1,"n.a.")))</f>
        <v/>
      </c>
      <c r="H49" s="101" t="str">
        <f t="shared" si="1"/>
        <v/>
      </c>
      <c r="I49" s="101" t="str">
        <f t="shared" si="2"/>
        <v/>
      </c>
      <c r="J49" s="101" t="str">
        <f t="shared" si="3"/>
        <v/>
      </c>
      <c r="K49" s="93" t="str">
        <f t="shared" si="4"/>
        <v/>
      </c>
      <c r="L49" s="93" t="str">
        <f t="array" ref="L49">IF(A49="","",IF(Q49&lt;&gt;1,IFNA(INDEX('Growth inputs'!$X$6:$X$55,MATCH(A49,'Growth inputs'!$A$6:$A$55,0)),"n.a."),IF($B$9&lt;&gt;"Ready",$B$9,IF(K49&lt;$B$5,"Too few comparable growth records","Ready"))))</f>
        <v/>
      </c>
      <c r="M49" s="104" t="str">
        <f t="array" ref="M49">IF(A49="","",IFNA(INDEX('Growth inputs'!$J$6:$J$55,MATCH(A49,'Growth inputs'!$A$6:$A$55,0)),"n.a."))</f>
        <v/>
      </c>
      <c r="N49" s="93" t="str">
        <f t="array" ref="N49">IF(A49="","",IF(ISNUMBER(G49),100*(IFNA(INDEX('Growth inputs'!$L$6:$L$55,MATCH(A49,'Growth inputs'!$A$6:$A$55,0)),"n.a.")-IFNA(INDEX('Growth inputs'!$K$6:$K$55,MATCH(A49,'Growth inputs'!$A$6:$A$55,0)),"n.a."))/IFNA(INDEX('Growth inputs'!$F$6:$F$55,MATCH(A49,'Growth inputs'!$A$6:$A$55,0)),"n.a."),"n.a."))</f>
        <v/>
      </c>
      <c r="O49" s="100" t="str">
        <f t="array" ref="O49">IF(A49="","",IF(AND(ISNUMBER(G49),ISNUMBER(IFNA(INDEX('Growth inputs'!$T$6:$T$55,MATCH(A49,'Growth inputs'!$A$6:$A$55,0)),"n.a.")),IFNA(INDEX('Growth inputs'!$U$6:$U$55,MATCH(A49,'Growth inputs'!$A$6:$A$55,0)),"n.a.")&lt;&gt;""),G49-IFNA(INDEX('Growth inputs'!$T$6:$T$55,MATCH(A49,'Growth inputs'!$A$6:$A$55,0)),"n.a."),"n.a."))</f>
        <v/>
      </c>
      <c r="P49" s="93" t="str">
        <f t="shared" si="5"/>
        <v/>
      </c>
      <c r="Q49" s="93">
        <f t="array" ref="Q49">IF(A49="",0,IFERROR(IF(AND(COUNTIF('Growth inputs'!$A$6:$A$55,A49)=1,IFNA(INDEX('Growth inputs'!$W$6:$W$55,MATCH(A49,'Growth inputs'!$A$6:$A$55,0)),"n.a.")=1,COUNT(F49:G49)=2),1,0),0))</f>
        <v>0</v>
      </c>
      <c r="R49" s="104" t="str">
        <f t="array" ref="R49">IF(A49="","",IFNA(INDEX('Growth inputs'!$E$6:$E$55,MATCH(A49,'Growth inputs'!$A$6:$A$55,0)),"n.a."))</f>
        <v/>
      </c>
    </row>
    <row r="50">
      <c r="A50" s="93" t="str">
        <f>IF(Companies!A41="","",Companies!A41)</f>
        <v/>
      </c>
      <c r="B50" s="93" t="str">
        <f>IF(A50="","",Companies!C41)</f>
        <v/>
      </c>
      <c r="C50" s="93" t="str">
        <f t="array" ref="C50">IF(A50="","",IFNA(INDEX('Growth inputs'!$C$6:$C$55,MATCH(A50,'Growth inputs'!$A$6:$A$55,0)),"n.a."))</f>
        <v/>
      </c>
      <c r="D50" s="93" t="str">
        <f t="array" ref="D50">IF(A50="","",IFNA(INDEX('Growth inputs'!$R$6:$R$55,MATCH(A50,'Growth inputs'!$A$6:$A$55,0)),"n.a."))</f>
        <v/>
      </c>
      <c r="E50" s="93" t="str">
        <f t="array" ref="E50">IF(A50="","",IFNA(INDEX('Growth inputs'!$D$6:$D$55,MATCH(A50,'Growth inputs'!$A$6:$A$55,0)),"n.a."))</f>
        <v/>
      </c>
      <c r="F50" s="100" t="str">
        <f t="array" ref="F50">IF(A50="","",IF(COUNTIF('Growth inputs'!$A$6:$A$55,A50)&lt;&gt;1,"n.a.",IF(AND(COUNT(IFNA(INDEX('Growth inputs'!$F$6:$F$55,MATCH(A50,'Growth inputs'!$A$6:$A$55,0)),"n.a."),IFNA(INDEX('Growth inputs'!$H$6:$H$55,MATCH(A50,'Growth inputs'!$A$6:$A$55,0)),"n.a."))=2,IFNA(INDEX('Growth inputs'!$F$6:$F$55,MATCH(A50,'Growth inputs'!$A$6:$A$55,0)),"n.a.")&gt;0,IFNA(INDEX('Growth inputs'!$H$6:$H$55,MATCH(A50,'Growth inputs'!$A$6:$A$55,0)),"n.a.")&gt;0,IFNA(INDEX('Growth inputs'!$D$6:$D$55,MATCH(A50,'Growth inputs'!$A$6:$A$55,0)),"n.a.")=IFNA(INDEX('Growth inputs'!$Z$6:$Z$55,MATCH(A50,'Growth inputs'!$A$6:$A$55,0)),"n.a."),IFNA(INDEX('Growth inputs'!$AB$6:$AB$55,MATCH(A50,'Growth inputs'!$A$6:$A$55,0)),"n.a.")="Yes"),(IFNA(INDEX('Growth inputs'!$F$6:$F$55,MATCH(A50,'Growth inputs'!$A$6:$A$55,0)),"n.a.")/IFNA(INDEX('Growth inputs'!$H$6:$H$55,MATCH(A50,'Growth inputs'!$A$6:$A$55,0)),"n.a."))^(1/3)-1,"n.a.")))</f>
        <v/>
      </c>
      <c r="G50" s="100" t="str">
        <f t="array" ref="G50">IF(A50="","",IF(COUNTIF('Growth inputs'!$A$6:$A$55,A50)&lt;&gt;1,"n.a.",IF(AND(COUNT(IFNA(INDEX('Growth inputs'!$K$6:$K$55,MATCH(A50,'Growth inputs'!$A$6:$A$55,0)),"n.a."),IFNA(INDEX('Growth inputs'!$L$6:$L$55,MATCH(A50,'Growth inputs'!$A$6:$A$55,0)),"n.a."),IFNA(INDEX('Growth inputs'!$F$6:$F$55,MATCH(A50,'Growth inputs'!$A$6:$A$55,0)),"n.a."))=3,IFNA(INDEX('Growth inputs'!$F$6:$F$55,MATCH(A50,'Growth inputs'!$A$6:$A$55,0)),"n.a.")&gt;0,IFNA(INDEX('Growth inputs'!$K$6:$K$55,MATCH(A50,'Growth inputs'!$A$6:$A$55,0)),"n.a.")&lt;=IFNA(INDEX('Growth inputs'!$L$6:$L$55,MATCH(A50,'Growth inputs'!$A$6:$A$55,0)),"n.a."),IFNA(INDEX('Growth inputs'!$D$6:$D$55,MATCH(A50,'Growth inputs'!$A$6:$A$55,0)),"n.a.")=IFNA(INDEX('Growth inputs'!$Y$6:$Y$55,MATCH(A50,'Growth inputs'!$A$6:$A$55,0)),"n.a."),IFNA(INDEX('Growth inputs'!$N$6:$N$55,MATCH(A50,'Growth inputs'!$A$6:$A$55,0)),"n.a.")&lt;&gt;"",IFNA(INDEX('Growth inputs'!$P$6:$P$55,MATCH(A50,'Growth inputs'!$A$6:$A$55,0)),"n.a.")&lt;&gt;"",ISNUMBER(IFNA(INDEX('Growth inputs'!$M$6:$M$55,MATCH(A50,'Growth inputs'!$A$6:$A$55,0)),"n.a.")),IFNA(INDEX('Growth inputs'!$M$6:$M$55,MATCH(A50,'Growth inputs'!$A$6:$A$55,0)),"n.a.")&lt;=Rules!$B$6,ISNUMBER(IFNA(INDEX('Growth inputs'!$I$6:$I$55,MATCH(A50,'Growth inputs'!$A$6:$A$55,0)),"n.a.")),IFNA(INDEX('Growth inputs'!$I$6:$I$55,MATCH(A50,'Growth inputs'!$A$6:$A$55,0)),"n.a.")&lt;=Rules!$B$6),AVERAGE(IFNA(INDEX('Growth inputs'!$K$6:$K$55,MATCH(A50,'Growth inputs'!$A$6:$A$55,0)),"n.a."),IFNA(INDEX('Growth inputs'!$L$6:$L$55,MATCH(A50,'Growth inputs'!$A$6:$A$55,0)),"n.a."))/IFNA(INDEX('Growth inputs'!$F$6:$F$55,MATCH(A50,'Growth inputs'!$A$6:$A$55,0)),"n.a.")-1,"n.a.")))</f>
        <v/>
      </c>
      <c r="H50" s="101" t="str">
        <f t="shared" si="1"/>
        <v/>
      </c>
      <c r="I50" s="101" t="str">
        <f t="shared" si="2"/>
        <v/>
      </c>
      <c r="J50" s="101" t="str">
        <f t="shared" si="3"/>
        <v/>
      </c>
      <c r="K50" s="93" t="str">
        <f t="shared" si="4"/>
        <v/>
      </c>
      <c r="L50" s="93" t="str">
        <f t="array" ref="L50">IF(A50="","",IF(Q50&lt;&gt;1,IFNA(INDEX('Growth inputs'!$X$6:$X$55,MATCH(A50,'Growth inputs'!$A$6:$A$55,0)),"n.a."),IF($B$9&lt;&gt;"Ready",$B$9,IF(K50&lt;$B$5,"Too few comparable growth records","Ready"))))</f>
        <v/>
      </c>
      <c r="M50" s="104" t="str">
        <f t="array" ref="M50">IF(A50="","",IFNA(INDEX('Growth inputs'!$J$6:$J$55,MATCH(A50,'Growth inputs'!$A$6:$A$55,0)),"n.a."))</f>
        <v/>
      </c>
      <c r="N50" s="93" t="str">
        <f t="array" ref="N50">IF(A50="","",IF(ISNUMBER(G50),100*(IFNA(INDEX('Growth inputs'!$L$6:$L$55,MATCH(A50,'Growth inputs'!$A$6:$A$55,0)),"n.a.")-IFNA(INDEX('Growth inputs'!$K$6:$K$55,MATCH(A50,'Growth inputs'!$A$6:$A$55,0)),"n.a."))/IFNA(INDEX('Growth inputs'!$F$6:$F$55,MATCH(A50,'Growth inputs'!$A$6:$A$55,0)),"n.a."),"n.a."))</f>
        <v/>
      </c>
      <c r="O50" s="100" t="str">
        <f t="array" ref="O50">IF(A50="","",IF(AND(ISNUMBER(G50),ISNUMBER(IFNA(INDEX('Growth inputs'!$T$6:$T$55,MATCH(A50,'Growth inputs'!$A$6:$A$55,0)),"n.a.")),IFNA(INDEX('Growth inputs'!$U$6:$U$55,MATCH(A50,'Growth inputs'!$A$6:$A$55,0)),"n.a.")&lt;&gt;""),G50-IFNA(INDEX('Growth inputs'!$T$6:$T$55,MATCH(A50,'Growth inputs'!$A$6:$A$55,0)),"n.a."),"n.a."))</f>
        <v/>
      </c>
      <c r="P50" s="93" t="str">
        <f t="shared" si="5"/>
        <v/>
      </c>
      <c r="Q50" s="93">
        <f t="array" ref="Q50">IF(A50="",0,IFERROR(IF(AND(COUNTIF('Growth inputs'!$A$6:$A$55,A50)=1,IFNA(INDEX('Growth inputs'!$W$6:$W$55,MATCH(A50,'Growth inputs'!$A$6:$A$55,0)),"n.a.")=1,COUNT(F50:G50)=2),1,0),0))</f>
        <v>0</v>
      </c>
      <c r="R50" s="104" t="str">
        <f t="array" ref="R50">IF(A50="","",IFNA(INDEX('Growth inputs'!$E$6:$E$55,MATCH(A50,'Growth inputs'!$A$6:$A$55,0)),"n.a."))</f>
        <v/>
      </c>
    </row>
    <row r="51">
      <c r="A51" s="93" t="str">
        <f>IF(Companies!A42="","",Companies!A42)</f>
        <v/>
      </c>
      <c r="B51" s="93" t="str">
        <f>IF(A51="","",Companies!C42)</f>
        <v/>
      </c>
      <c r="C51" s="93" t="str">
        <f t="array" ref="C51">IF(A51="","",IFNA(INDEX('Growth inputs'!$C$6:$C$55,MATCH(A51,'Growth inputs'!$A$6:$A$55,0)),"n.a."))</f>
        <v/>
      </c>
      <c r="D51" s="93" t="str">
        <f t="array" ref="D51">IF(A51="","",IFNA(INDEX('Growth inputs'!$R$6:$R$55,MATCH(A51,'Growth inputs'!$A$6:$A$55,0)),"n.a."))</f>
        <v/>
      </c>
      <c r="E51" s="93" t="str">
        <f t="array" ref="E51">IF(A51="","",IFNA(INDEX('Growth inputs'!$D$6:$D$55,MATCH(A51,'Growth inputs'!$A$6:$A$55,0)),"n.a."))</f>
        <v/>
      </c>
      <c r="F51" s="100" t="str">
        <f t="array" ref="F51">IF(A51="","",IF(COUNTIF('Growth inputs'!$A$6:$A$55,A51)&lt;&gt;1,"n.a.",IF(AND(COUNT(IFNA(INDEX('Growth inputs'!$F$6:$F$55,MATCH(A51,'Growth inputs'!$A$6:$A$55,0)),"n.a."),IFNA(INDEX('Growth inputs'!$H$6:$H$55,MATCH(A51,'Growth inputs'!$A$6:$A$55,0)),"n.a."))=2,IFNA(INDEX('Growth inputs'!$F$6:$F$55,MATCH(A51,'Growth inputs'!$A$6:$A$55,0)),"n.a.")&gt;0,IFNA(INDEX('Growth inputs'!$H$6:$H$55,MATCH(A51,'Growth inputs'!$A$6:$A$55,0)),"n.a.")&gt;0,IFNA(INDEX('Growth inputs'!$D$6:$D$55,MATCH(A51,'Growth inputs'!$A$6:$A$55,0)),"n.a.")=IFNA(INDEX('Growth inputs'!$Z$6:$Z$55,MATCH(A51,'Growth inputs'!$A$6:$A$55,0)),"n.a."),IFNA(INDEX('Growth inputs'!$AB$6:$AB$55,MATCH(A51,'Growth inputs'!$A$6:$A$55,0)),"n.a.")="Yes"),(IFNA(INDEX('Growth inputs'!$F$6:$F$55,MATCH(A51,'Growth inputs'!$A$6:$A$55,0)),"n.a.")/IFNA(INDEX('Growth inputs'!$H$6:$H$55,MATCH(A51,'Growth inputs'!$A$6:$A$55,0)),"n.a."))^(1/3)-1,"n.a.")))</f>
        <v/>
      </c>
      <c r="G51" s="100" t="str">
        <f t="array" ref="G51">IF(A51="","",IF(COUNTIF('Growth inputs'!$A$6:$A$55,A51)&lt;&gt;1,"n.a.",IF(AND(COUNT(IFNA(INDEX('Growth inputs'!$K$6:$K$55,MATCH(A51,'Growth inputs'!$A$6:$A$55,0)),"n.a."),IFNA(INDEX('Growth inputs'!$L$6:$L$55,MATCH(A51,'Growth inputs'!$A$6:$A$55,0)),"n.a."),IFNA(INDEX('Growth inputs'!$F$6:$F$55,MATCH(A51,'Growth inputs'!$A$6:$A$55,0)),"n.a."))=3,IFNA(INDEX('Growth inputs'!$F$6:$F$55,MATCH(A51,'Growth inputs'!$A$6:$A$55,0)),"n.a.")&gt;0,IFNA(INDEX('Growth inputs'!$K$6:$K$55,MATCH(A51,'Growth inputs'!$A$6:$A$55,0)),"n.a.")&lt;=IFNA(INDEX('Growth inputs'!$L$6:$L$55,MATCH(A51,'Growth inputs'!$A$6:$A$55,0)),"n.a."),IFNA(INDEX('Growth inputs'!$D$6:$D$55,MATCH(A51,'Growth inputs'!$A$6:$A$55,0)),"n.a.")=IFNA(INDEX('Growth inputs'!$Y$6:$Y$55,MATCH(A51,'Growth inputs'!$A$6:$A$55,0)),"n.a."),IFNA(INDEX('Growth inputs'!$N$6:$N$55,MATCH(A51,'Growth inputs'!$A$6:$A$55,0)),"n.a.")&lt;&gt;"",IFNA(INDEX('Growth inputs'!$P$6:$P$55,MATCH(A51,'Growth inputs'!$A$6:$A$55,0)),"n.a.")&lt;&gt;"",ISNUMBER(IFNA(INDEX('Growth inputs'!$M$6:$M$55,MATCH(A51,'Growth inputs'!$A$6:$A$55,0)),"n.a.")),IFNA(INDEX('Growth inputs'!$M$6:$M$55,MATCH(A51,'Growth inputs'!$A$6:$A$55,0)),"n.a.")&lt;=Rules!$B$6,ISNUMBER(IFNA(INDEX('Growth inputs'!$I$6:$I$55,MATCH(A51,'Growth inputs'!$A$6:$A$55,0)),"n.a.")),IFNA(INDEX('Growth inputs'!$I$6:$I$55,MATCH(A51,'Growth inputs'!$A$6:$A$55,0)),"n.a.")&lt;=Rules!$B$6),AVERAGE(IFNA(INDEX('Growth inputs'!$K$6:$K$55,MATCH(A51,'Growth inputs'!$A$6:$A$55,0)),"n.a."),IFNA(INDEX('Growth inputs'!$L$6:$L$55,MATCH(A51,'Growth inputs'!$A$6:$A$55,0)),"n.a."))/IFNA(INDEX('Growth inputs'!$F$6:$F$55,MATCH(A51,'Growth inputs'!$A$6:$A$55,0)),"n.a.")-1,"n.a.")))</f>
        <v/>
      </c>
      <c r="H51" s="101" t="str">
        <f t="shared" si="1"/>
        <v/>
      </c>
      <c r="I51" s="101" t="str">
        <f t="shared" si="2"/>
        <v/>
      </c>
      <c r="J51" s="101" t="str">
        <f t="shared" si="3"/>
        <v/>
      </c>
      <c r="K51" s="93" t="str">
        <f t="shared" si="4"/>
        <v/>
      </c>
      <c r="L51" s="93" t="str">
        <f t="array" ref="L51">IF(A51="","",IF(Q51&lt;&gt;1,IFNA(INDEX('Growth inputs'!$X$6:$X$55,MATCH(A51,'Growth inputs'!$A$6:$A$55,0)),"n.a."),IF($B$9&lt;&gt;"Ready",$B$9,IF(K51&lt;$B$5,"Too few comparable growth records","Ready"))))</f>
        <v/>
      </c>
      <c r="M51" s="104" t="str">
        <f t="array" ref="M51">IF(A51="","",IFNA(INDEX('Growth inputs'!$J$6:$J$55,MATCH(A51,'Growth inputs'!$A$6:$A$55,0)),"n.a."))</f>
        <v/>
      </c>
      <c r="N51" s="93" t="str">
        <f t="array" ref="N51">IF(A51="","",IF(ISNUMBER(G51),100*(IFNA(INDEX('Growth inputs'!$L$6:$L$55,MATCH(A51,'Growth inputs'!$A$6:$A$55,0)),"n.a.")-IFNA(INDEX('Growth inputs'!$K$6:$K$55,MATCH(A51,'Growth inputs'!$A$6:$A$55,0)),"n.a."))/IFNA(INDEX('Growth inputs'!$F$6:$F$55,MATCH(A51,'Growth inputs'!$A$6:$A$55,0)),"n.a."),"n.a."))</f>
        <v/>
      </c>
      <c r="O51" s="100" t="str">
        <f t="array" ref="O51">IF(A51="","",IF(AND(ISNUMBER(G51),ISNUMBER(IFNA(INDEX('Growth inputs'!$T$6:$T$55,MATCH(A51,'Growth inputs'!$A$6:$A$55,0)),"n.a.")),IFNA(INDEX('Growth inputs'!$U$6:$U$55,MATCH(A51,'Growth inputs'!$A$6:$A$55,0)),"n.a.")&lt;&gt;""),G51-IFNA(INDEX('Growth inputs'!$T$6:$T$55,MATCH(A51,'Growth inputs'!$A$6:$A$55,0)),"n.a."),"n.a."))</f>
        <v/>
      </c>
      <c r="P51" s="93" t="str">
        <f t="shared" si="5"/>
        <v/>
      </c>
      <c r="Q51" s="93">
        <f t="array" ref="Q51">IF(A51="",0,IFERROR(IF(AND(COUNTIF('Growth inputs'!$A$6:$A$55,A51)=1,IFNA(INDEX('Growth inputs'!$W$6:$W$55,MATCH(A51,'Growth inputs'!$A$6:$A$55,0)),"n.a.")=1,COUNT(F51:G51)=2),1,0),0))</f>
        <v>0</v>
      </c>
      <c r="R51" s="104" t="str">
        <f t="array" ref="R51">IF(A51="","",IFNA(INDEX('Growth inputs'!$E$6:$E$55,MATCH(A51,'Growth inputs'!$A$6:$A$55,0)),"n.a."))</f>
        <v/>
      </c>
    </row>
    <row r="52">
      <c r="A52" s="93" t="str">
        <f>IF(Companies!A43="","",Companies!A43)</f>
        <v/>
      </c>
      <c r="B52" s="93" t="str">
        <f>IF(A52="","",Companies!C43)</f>
        <v/>
      </c>
      <c r="C52" s="93" t="str">
        <f t="array" ref="C52">IF(A52="","",IFNA(INDEX('Growth inputs'!$C$6:$C$55,MATCH(A52,'Growth inputs'!$A$6:$A$55,0)),"n.a."))</f>
        <v/>
      </c>
      <c r="D52" s="93" t="str">
        <f t="array" ref="D52">IF(A52="","",IFNA(INDEX('Growth inputs'!$R$6:$R$55,MATCH(A52,'Growth inputs'!$A$6:$A$55,0)),"n.a."))</f>
        <v/>
      </c>
      <c r="E52" s="93" t="str">
        <f t="array" ref="E52">IF(A52="","",IFNA(INDEX('Growth inputs'!$D$6:$D$55,MATCH(A52,'Growth inputs'!$A$6:$A$55,0)),"n.a."))</f>
        <v/>
      </c>
      <c r="F52" s="100" t="str">
        <f t="array" ref="F52">IF(A52="","",IF(COUNTIF('Growth inputs'!$A$6:$A$55,A52)&lt;&gt;1,"n.a.",IF(AND(COUNT(IFNA(INDEX('Growth inputs'!$F$6:$F$55,MATCH(A52,'Growth inputs'!$A$6:$A$55,0)),"n.a."),IFNA(INDEX('Growth inputs'!$H$6:$H$55,MATCH(A52,'Growth inputs'!$A$6:$A$55,0)),"n.a."))=2,IFNA(INDEX('Growth inputs'!$F$6:$F$55,MATCH(A52,'Growth inputs'!$A$6:$A$55,0)),"n.a.")&gt;0,IFNA(INDEX('Growth inputs'!$H$6:$H$55,MATCH(A52,'Growth inputs'!$A$6:$A$55,0)),"n.a.")&gt;0,IFNA(INDEX('Growth inputs'!$D$6:$D$55,MATCH(A52,'Growth inputs'!$A$6:$A$55,0)),"n.a.")=IFNA(INDEX('Growth inputs'!$Z$6:$Z$55,MATCH(A52,'Growth inputs'!$A$6:$A$55,0)),"n.a."),IFNA(INDEX('Growth inputs'!$AB$6:$AB$55,MATCH(A52,'Growth inputs'!$A$6:$A$55,0)),"n.a.")="Yes"),(IFNA(INDEX('Growth inputs'!$F$6:$F$55,MATCH(A52,'Growth inputs'!$A$6:$A$55,0)),"n.a.")/IFNA(INDEX('Growth inputs'!$H$6:$H$55,MATCH(A52,'Growth inputs'!$A$6:$A$55,0)),"n.a."))^(1/3)-1,"n.a.")))</f>
        <v/>
      </c>
      <c r="G52" s="100" t="str">
        <f t="array" ref="G52">IF(A52="","",IF(COUNTIF('Growth inputs'!$A$6:$A$55,A52)&lt;&gt;1,"n.a.",IF(AND(COUNT(IFNA(INDEX('Growth inputs'!$K$6:$K$55,MATCH(A52,'Growth inputs'!$A$6:$A$55,0)),"n.a."),IFNA(INDEX('Growth inputs'!$L$6:$L$55,MATCH(A52,'Growth inputs'!$A$6:$A$55,0)),"n.a."),IFNA(INDEX('Growth inputs'!$F$6:$F$55,MATCH(A52,'Growth inputs'!$A$6:$A$55,0)),"n.a."))=3,IFNA(INDEX('Growth inputs'!$F$6:$F$55,MATCH(A52,'Growth inputs'!$A$6:$A$55,0)),"n.a.")&gt;0,IFNA(INDEX('Growth inputs'!$K$6:$K$55,MATCH(A52,'Growth inputs'!$A$6:$A$55,0)),"n.a.")&lt;=IFNA(INDEX('Growth inputs'!$L$6:$L$55,MATCH(A52,'Growth inputs'!$A$6:$A$55,0)),"n.a."),IFNA(INDEX('Growth inputs'!$D$6:$D$55,MATCH(A52,'Growth inputs'!$A$6:$A$55,0)),"n.a.")=IFNA(INDEX('Growth inputs'!$Y$6:$Y$55,MATCH(A52,'Growth inputs'!$A$6:$A$55,0)),"n.a."),IFNA(INDEX('Growth inputs'!$N$6:$N$55,MATCH(A52,'Growth inputs'!$A$6:$A$55,0)),"n.a.")&lt;&gt;"",IFNA(INDEX('Growth inputs'!$P$6:$P$55,MATCH(A52,'Growth inputs'!$A$6:$A$55,0)),"n.a.")&lt;&gt;"",ISNUMBER(IFNA(INDEX('Growth inputs'!$M$6:$M$55,MATCH(A52,'Growth inputs'!$A$6:$A$55,0)),"n.a.")),IFNA(INDEX('Growth inputs'!$M$6:$M$55,MATCH(A52,'Growth inputs'!$A$6:$A$55,0)),"n.a.")&lt;=Rules!$B$6,ISNUMBER(IFNA(INDEX('Growth inputs'!$I$6:$I$55,MATCH(A52,'Growth inputs'!$A$6:$A$55,0)),"n.a.")),IFNA(INDEX('Growth inputs'!$I$6:$I$55,MATCH(A52,'Growth inputs'!$A$6:$A$55,0)),"n.a.")&lt;=Rules!$B$6),AVERAGE(IFNA(INDEX('Growth inputs'!$K$6:$K$55,MATCH(A52,'Growth inputs'!$A$6:$A$55,0)),"n.a."),IFNA(INDEX('Growth inputs'!$L$6:$L$55,MATCH(A52,'Growth inputs'!$A$6:$A$55,0)),"n.a."))/IFNA(INDEX('Growth inputs'!$F$6:$F$55,MATCH(A52,'Growth inputs'!$A$6:$A$55,0)),"n.a.")-1,"n.a.")))</f>
        <v/>
      </c>
      <c r="H52" s="101" t="str">
        <f t="shared" si="1"/>
        <v/>
      </c>
      <c r="I52" s="101" t="str">
        <f t="shared" si="2"/>
        <v/>
      </c>
      <c r="J52" s="101" t="str">
        <f t="shared" si="3"/>
        <v/>
      </c>
      <c r="K52" s="93" t="str">
        <f t="shared" si="4"/>
        <v/>
      </c>
      <c r="L52" s="93" t="str">
        <f t="array" ref="L52">IF(A52="","",IF(Q52&lt;&gt;1,IFNA(INDEX('Growth inputs'!$X$6:$X$55,MATCH(A52,'Growth inputs'!$A$6:$A$55,0)),"n.a."),IF($B$9&lt;&gt;"Ready",$B$9,IF(K52&lt;$B$5,"Too few comparable growth records","Ready"))))</f>
        <v/>
      </c>
      <c r="M52" s="104" t="str">
        <f t="array" ref="M52">IF(A52="","",IFNA(INDEX('Growth inputs'!$J$6:$J$55,MATCH(A52,'Growth inputs'!$A$6:$A$55,0)),"n.a."))</f>
        <v/>
      </c>
      <c r="N52" s="93" t="str">
        <f t="array" ref="N52">IF(A52="","",IF(ISNUMBER(G52),100*(IFNA(INDEX('Growth inputs'!$L$6:$L$55,MATCH(A52,'Growth inputs'!$A$6:$A$55,0)),"n.a.")-IFNA(INDEX('Growth inputs'!$K$6:$K$55,MATCH(A52,'Growth inputs'!$A$6:$A$55,0)),"n.a."))/IFNA(INDEX('Growth inputs'!$F$6:$F$55,MATCH(A52,'Growth inputs'!$A$6:$A$55,0)),"n.a."),"n.a."))</f>
        <v/>
      </c>
      <c r="O52" s="100" t="str">
        <f t="array" ref="O52">IF(A52="","",IF(AND(ISNUMBER(G52),ISNUMBER(IFNA(INDEX('Growth inputs'!$T$6:$T$55,MATCH(A52,'Growth inputs'!$A$6:$A$55,0)),"n.a.")),IFNA(INDEX('Growth inputs'!$U$6:$U$55,MATCH(A52,'Growth inputs'!$A$6:$A$55,0)),"n.a.")&lt;&gt;""),G52-IFNA(INDEX('Growth inputs'!$T$6:$T$55,MATCH(A52,'Growth inputs'!$A$6:$A$55,0)),"n.a."),"n.a."))</f>
        <v/>
      </c>
      <c r="P52" s="93" t="str">
        <f t="shared" si="5"/>
        <v/>
      </c>
      <c r="Q52" s="93">
        <f t="array" ref="Q52">IF(A52="",0,IFERROR(IF(AND(COUNTIF('Growth inputs'!$A$6:$A$55,A52)=1,IFNA(INDEX('Growth inputs'!$W$6:$W$55,MATCH(A52,'Growth inputs'!$A$6:$A$55,0)),"n.a.")=1,COUNT(F52:G52)=2),1,0),0))</f>
        <v>0</v>
      </c>
      <c r="R52" s="104" t="str">
        <f t="array" ref="R52">IF(A52="","",IFNA(INDEX('Growth inputs'!$E$6:$E$55,MATCH(A52,'Growth inputs'!$A$6:$A$55,0)),"n.a."))</f>
        <v/>
      </c>
    </row>
    <row r="53">
      <c r="A53" s="93" t="str">
        <f>IF(Companies!A44="","",Companies!A44)</f>
        <v/>
      </c>
      <c r="B53" s="93" t="str">
        <f>IF(A53="","",Companies!C44)</f>
        <v/>
      </c>
      <c r="C53" s="93" t="str">
        <f t="array" ref="C53">IF(A53="","",IFNA(INDEX('Growth inputs'!$C$6:$C$55,MATCH(A53,'Growth inputs'!$A$6:$A$55,0)),"n.a."))</f>
        <v/>
      </c>
      <c r="D53" s="93" t="str">
        <f t="array" ref="D53">IF(A53="","",IFNA(INDEX('Growth inputs'!$R$6:$R$55,MATCH(A53,'Growth inputs'!$A$6:$A$55,0)),"n.a."))</f>
        <v/>
      </c>
      <c r="E53" s="93" t="str">
        <f t="array" ref="E53">IF(A53="","",IFNA(INDEX('Growth inputs'!$D$6:$D$55,MATCH(A53,'Growth inputs'!$A$6:$A$55,0)),"n.a."))</f>
        <v/>
      </c>
      <c r="F53" s="100" t="str">
        <f t="array" ref="F53">IF(A53="","",IF(COUNTIF('Growth inputs'!$A$6:$A$55,A53)&lt;&gt;1,"n.a.",IF(AND(COUNT(IFNA(INDEX('Growth inputs'!$F$6:$F$55,MATCH(A53,'Growth inputs'!$A$6:$A$55,0)),"n.a."),IFNA(INDEX('Growth inputs'!$H$6:$H$55,MATCH(A53,'Growth inputs'!$A$6:$A$55,0)),"n.a."))=2,IFNA(INDEX('Growth inputs'!$F$6:$F$55,MATCH(A53,'Growth inputs'!$A$6:$A$55,0)),"n.a.")&gt;0,IFNA(INDEX('Growth inputs'!$H$6:$H$55,MATCH(A53,'Growth inputs'!$A$6:$A$55,0)),"n.a.")&gt;0,IFNA(INDEX('Growth inputs'!$D$6:$D$55,MATCH(A53,'Growth inputs'!$A$6:$A$55,0)),"n.a.")=IFNA(INDEX('Growth inputs'!$Z$6:$Z$55,MATCH(A53,'Growth inputs'!$A$6:$A$55,0)),"n.a."),IFNA(INDEX('Growth inputs'!$AB$6:$AB$55,MATCH(A53,'Growth inputs'!$A$6:$A$55,0)),"n.a.")="Yes"),(IFNA(INDEX('Growth inputs'!$F$6:$F$55,MATCH(A53,'Growth inputs'!$A$6:$A$55,0)),"n.a.")/IFNA(INDEX('Growth inputs'!$H$6:$H$55,MATCH(A53,'Growth inputs'!$A$6:$A$55,0)),"n.a."))^(1/3)-1,"n.a.")))</f>
        <v/>
      </c>
      <c r="G53" s="100" t="str">
        <f t="array" ref="G53">IF(A53="","",IF(COUNTIF('Growth inputs'!$A$6:$A$55,A53)&lt;&gt;1,"n.a.",IF(AND(COUNT(IFNA(INDEX('Growth inputs'!$K$6:$K$55,MATCH(A53,'Growth inputs'!$A$6:$A$55,0)),"n.a."),IFNA(INDEX('Growth inputs'!$L$6:$L$55,MATCH(A53,'Growth inputs'!$A$6:$A$55,0)),"n.a."),IFNA(INDEX('Growth inputs'!$F$6:$F$55,MATCH(A53,'Growth inputs'!$A$6:$A$55,0)),"n.a."))=3,IFNA(INDEX('Growth inputs'!$F$6:$F$55,MATCH(A53,'Growth inputs'!$A$6:$A$55,0)),"n.a.")&gt;0,IFNA(INDEX('Growth inputs'!$K$6:$K$55,MATCH(A53,'Growth inputs'!$A$6:$A$55,0)),"n.a.")&lt;=IFNA(INDEX('Growth inputs'!$L$6:$L$55,MATCH(A53,'Growth inputs'!$A$6:$A$55,0)),"n.a."),IFNA(INDEX('Growth inputs'!$D$6:$D$55,MATCH(A53,'Growth inputs'!$A$6:$A$55,0)),"n.a.")=IFNA(INDEX('Growth inputs'!$Y$6:$Y$55,MATCH(A53,'Growth inputs'!$A$6:$A$55,0)),"n.a."),IFNA(INDEX('Growth inputs'!$N$6:$N$55,MATCH(A53,'Growth inputs'!$A$6:$A$55,0)),"n.a.")&lt;&gt;"",IFNA(INDEX('Growth inputs'!$P$6:$P$55,MATCH(A53,'Growth inputs'!$A$6:$A$55,0)),"n.a.")&lt;&gt;"",ISNUMBER(IFNA(INDEX('Growth inputs'!$M$6:$M$55,MATCH(A53,'Growth inputs'!$A$6:$A$55,0)),"n.a.")),IFNA(INDEX('Growth inputs'!$M$6:$M$55,MATCH(A53,'Growth inputs'!$A$6:$A$55,0)),"n.a.")&lt;=Rules!$B$6,ISNUMBER(IFNA(INDEX('Growth inputs'!$I$6:$I$55,MATCH(A53,'Growth inputs'!$A$6:$A$55,0)),"n.a.")),IFNA(INDEX('Growth inputs'!$I$6:$I$55,MATCH(A53,'Growth inputs'!$A$6:$A$55,0)),"n.a.")&lt;=Rules!$B$6),AVERAGE(IFNA(INDEX('Growth inputs'!$K$6:$K$55,MATCH(A53,'Growth inputs'!$A$6:$A$55,0)),"n.a."),IFNA(INDEX('Growth inputs'!$L$6:$L$55,MATCH(A53,'Growth inputs'!$A$6:$A$55,0)),"n.a."))/IFNA(INDEX('Growth inputs'!$F$6:$F$55,MATCH(A53,'Growth inputs'!$A$6:$A$55,0)),"n.a.")-1,"n.a.")))</f>
        <v/>
      </c>
      <c r="H53" s="101" t="str">
        <f t="shared" si="1"/>
        <v/>
      </c>
      <c r="I53" s="101" t="str">
        <f t="shared" si="2"/>
        <v/>
      </c>
      <c r="J53" s="101" t="str">
        <f t="shared" si="3"/>
        <v/>
      </c>
      <c r="K53" s="93" t="str">
        <f t="shared" si="4"/>
        <v/>
      </c>
      <c r="L53" s="93" t="str">
        <f t="array" ref="L53">IF(A53="","",IF(Q53&lt;&gt;1,IFNA(INDEX('Growth inputs'!$X$6:$X$55,MATCH(A53,'Growth inputs'!$A$6:$A$55,0)),"n.a."),IF($B$9&lt;&gt;"Ready",$B$9,IF(K53&lt;$B$5,"Too few comparable growth records","Ready"))))</f>
        <v/>
      </c>
      <c r="M53" s="104" t="str">
        <f t="array" ref="M53">IF(A53="","",IFNA(INDEX('Growth inputs'!$J$6:$J$55,MATCH(A53,'Growth inputs'!$A$6:$A$55,0)),"n.a."))</f>
        <v/>
      </c>
      <c r="N53" s="93" t="str">
        <f t="array" ref="N53">IF(A53="","",IF(ISNUMBER(G53),100*(IFNA(INDEX('Growth inputs'!$L$6:$L$55,MATCH(A53,'Growth inputs'!$A$6:$A$55,0)),"n.a.")-IFNA(INDEX('Growth inputs'!$K$6:$K$55,MATCH(A53,'Growth inputs'!$A$6:$A$55,0)),"n.a."))/IFNA(INDEX('Growth inputs'!$F$6:$F$55,MATCH(A53,'Growth inputs'!$A$6:$A$55,0)),"n.a."),"n.a."))</f>
        <v/>
      </c>
      <c r="O53" s="100" t="str">
        <f t="array" ref="O53">IF(A53="","",IF(AND(ISNUMBER(G53),ISNUMBER(IFNA(INDEX('Growth inputs'!$T$6:$T$55,MATCH(A53,'Growth inputs'!$A$6:$A$55,0)),"n.a.")),IFNA(INDEX('Growth inputs'!$U$6:$U$55,MATCH(A53,'Growth inputs'!$A$6:$A$55,0)),"n.a.")&lt;&gt;""),G53-IFNA(INDEX('Growth inputs'!$T$6:$T$55,MATCH(A53,'Growth inputs'!$A$6:$A$55,0)),"n.a."),"n.a."))</f>
        <v/>
      </c>
      <c r="P53" s="93" t="str">
        <f t="shared" si="5"/>
        <v/>
      </c>
      <c r="Q53" s="93">
        <f t="array" ref="Q53">IF(A53="",0,IFERROR(IF(AND(COUNTIF('Growth inputs'!$A$6:$A$55,A53)=1,IFNA(INDEX('Growth inputs'!$W$6:$W$55,MATCH(A53,'Growth inputs'!$A$6:$A$55,0)),"n.a.")=1,COUNT(F53:G53)=2),1,0),0))</f>
        <v>0</v>
      </c>
      <c r="R53" s="104" t="str">
        <f t="array" ref="R53">IF(A53="","",IFNA(INDEX('Growth inputs'!$E$6:$E$55,MATCH(A53,'Growth inputs'!$A$6:$A$55,0)),"n.a."))</f>
        <v/>
      </c>
    </row>
    <row r="54">
      <c r="A54" s="93" t="str">
        <f>IF(Companies!A45="","",Companies!A45)</f>
        <v/>
      </c>
      <c r="B54" s="93" t="str">
        <f>IF(A54="","",Companies!C45)</f>
        <v/>
      </c>
      <c r="C54" s="93" t="str">
        <f t="array" ref="C54">IF(A54="","",IFNA(INDEX('Growth inputs'!$C$6:$C$55,MATCH(A54,'Growth inputs'!$A$6:$A$55,0)),"n.a."))</f>
        <v/>
      </c>
      <c r="D54" s="93" t="str">
        <f t="array" ref="D54">IF(A54="","",IFNA(INDEX('Growth inputs'!$R$6:$R$55,MATCH(A54,'Growth inputs'!$A$6:$A$55,0)),"n.a."))</f>
        <v/>
      </c>
      <c r="E54" s="93" t="str">
        <f t="array" ref="E54">IF(A54="","",IFNA(INDEX('Growth inputs'!$D$6:$D$55,MATCH(A54,'Growth inputs'!$A$6:$A$55,0)),"n.a."))</f>
        <v/>
      </c>
      <c r="F54" s="100" t="str">
        <f t="array" ref="F54">IF(A54="","",IF(COUNTIF('Growth inputs'!$A$6:$A$55,A54)&lt;&gt;1,"n.a.",IF(AND(COUNT(IFNA(INDEX('Growth inputs'!$F$6:$F$55,MATCH(A54,'Growth inputs'!$A$6:$A$55,0)),"n.a."),IFNA(INDEX('Growth inputs'!$H$6:$H$55,MATCH(A54,'Growth inputs'!$A$6:$A$55,0)),"n.a."))=2,IFNA(INDEX('Growth inputs'!$F$6:$F$55,MATCH(A54,'Growth inputs'!$A$6:$A$55,0)),"n.a.")&gt;0,IFNA(INDEX('Growth inputs'!$H$6:$H$55,MATCH(A54,'Growth inputs'!$A$6:$A$55,0)),"n.a.")&gt;0,IFNA(INDEX('Growth inputs'!$D$6:$D$55,MATCH(A54,'Growth inputs'!$A$6:$A$55,0)),"n.a.")=IFNA(INDEX('Growth inputs'!$Z$6:$Z$55,MATCH(A54,'Growth inputs'!$A$6:$A$55,0)),"n.a."),IFNA(INDEX('Growth inputs'!$AB$6:$AB$55,MATCH(A54,'Growth inputs'!$A$6:$A$55,0)),"n.a.")="Yes"),(IFNA(INDEX('Growth inputs'!$F$6:$F$55,MATCH(A54,'Growth inputs'!$A$6:$A$55,0)),"n.a.")/IFNA(INDEX('Growth inputs'!$H$6:$H$55,MATCH(A54,'Growth inputs'!$A$6:$A$55,0)),"n.a."))^(1/3)-1,"n.a.")))</f>
        <v/>
      </c>
      <c r="G54" s="100" t="str">
        <f t="array" ref="G54">IF(A54="","",IF(COUNTIF('Growth inputs'!$A$6:$A$55,A54)&lt;&gt;1,"n.a.",IF(AND(COUNT(IFNA(INDEX('Growth inputs'!$K$6:$K$55,MATCH(A54,'Growth inputs'!$A$6:$A$55,0)),"n.a."),IFNA(INDEX('Growth inputs'!$L$6:$L$55,MATCH(A54,'Growth inputs'!$A$6:$A$55,0)),"n.a."),IFNA(INDEX('Growth inputs'!$F$6:$F$55,MATCH(A54,'Growth inputs'!$A$6:$A$55,0)),"n.a."))=3,IFNA(INDEX('Growth inputs'!$F$6:$F$55,MATCH(A54,'Growth inputs'!$A$6:$A$55,0)),"n.a.")&gt;0,IFNA(INDEX('Growth inputs'!$K$6:$K$55,MATCH(A54,'Growth inputs'!$A$6:$A$55,0)),"n.a.")&lt;=IFNA(INDEX('Growth inputs'!$L$6:$L$55,MATCH(A54,'Growth inputs'!$A$6:$A$55,0)),"n.a."),IFNA(INDEX('Growth inputs'!$D$6:$D$55,MATCH(A54,'Growth inputs'!$A$6:$A$55,0)),"n.a.")=IFNA(INDEX('Growth inputs'!$Y$6:$Y$55,MATCH(A54,'Growth inputs'!$A$6:$A$55,0)),"n.a."),IFNA(INDEX('Growth inputs'!$N$6:$N$55,MATCH(A54,'Growth inputs'!$A$6:$A$55,0)),"n.a.")&lt;&gt;"",IFNA(INDEX('Growth inputs'!$P$6:$P$55,MATCH(A54,'Growth inputs'!$A$6:$A$55,0)),"n.a.")&lt;&gt;"",ISNUMBER(IFNA(INDEX('Growth inputs'!$M$6:$M$55,MATCH(A54,'Growth inputs'!$A$6:$A$55,0)),"n.a.")),IFNA(INDEX('Growth inputs'!$M$6:$M$55,MATCH(A54,'Growth inputs'!$A$6:$A$55,0)),"n.a.")&lt;=Rules!$B$6,ISNUMBER(IFNA(INDEX('Growth inputs'!$I$6:$I$55,MATCH(A54,'Growth inputs'!$A$6:$A$55,0)),"n.a.")),IFNA(INDEX('Growth inputs'!$I$6:$I$55,MATCH(A54,'Growth inputs'!$A$6:$A$55,0)),"n.a.")&lt;=Rules!$B$6),AVERAGE(IFNA(INDEX('Growth inputs'!$K$6:$K$55,MATCH(A54,'Growth inputs'!$A$6:$A$55,0)),"n.a."),IFNA(INDEX('Growth inputs'!$L$6:$L$55,MATCH(A54,'Growth inputs'!$A$6:$A$55,0)),"n.a."))/IFNA(INDEX('Growth inputs'!$F$6:$F$55,MATCH(A54,'Growth inputs'!$A$6:$A$55,0)),"n.a.")-1,"n.a.")))</f>
        <v/>
      </c>
      <c r="H54" s="101" t="str">
        <f t="shared" si="1"/>
        <v/>
      </c>
      <c r="I54" s="101" t="str">
        <f t="shared" si="2"/>
        <v/>
      </c>
      <c r="J54" s="101" t="str">
        <f t="shared" si="3"/>
        <v/>
      </c>
      <c r="K54" s="93" t="str">
        <f t="shared" si="4"/>
        <v/>
      </c>
      <c r="L54" s="93" t="str">
        <f t="array" ref="L54">IF(A54="","",IF(Q54&lt;&gt;1,IFNA(INDEX('Growth inputs'!$X$6:$X$55,MATCH(A54,'Growth inputs'!$A$6:$A$55,0)),"n.a."),IF($B$9&lt;&gt;"Ready",$B$9,IF(K54&lt;$B$5,"Too few comparable growth records","Ready"))))</f>
        <v/>
      </c>
      <c r="M54" s="104" t="str">
        <f t="array" ref="M54">IF(A54="","",IFNA(INDEX('Growth inputs'!$J$6:$J$55,MATCH(A54,'Growth inputs'!$A$6:$A$55,0)),"n.a."))</f>
        <v/>
      </c>
      <c r="N54" s="93" t="str">
        <f t="array" ref="N54">IF(A54="","",IF(ISNUMBER(G54),100*(IFNA(INDEX('Growth inputs'!$L$6:$L$55,MATCH(A54,'Growth inputs'!$A$6:$A$55,0)),"n.a.")-IFNA(INDEX('Growth inputs'!$K$6:$K$55,MATCH(A54,'Growth inputs'!$A$6:$A$55,0)),"n.a."))/IFNA(INDEX('Growth inputs'!$F$6:$F$55,MATCH(A54,'Growth inputs'!$A$6:$A$55,0)),"n.a."),"n.a."))</f>
        <v/>
      </c>
      <c r="O54" s="100" t="str">
        <f t="array" ref="O54">IF(A54="","",IF(AND(ISNUMBER(G54),ISNUMBER(IFNA(INDEX('Growth inputs'!$T$6:$T$55,MATCH(A54,'Growth inputs'!$A$6:$A$55,0)),"n.a.")),IFNA(INDEX('Growth inputs'!$U$6:$U$55,MATCH(A54,'Growth inputs'!$A$6:$A$55,0)),"n.a.")&lt;&gt;""),G54-IFNA(INDEX('Growth inputs'!$T$6:$T$55,MATCH(A54,'Growth inputs'!$A$6:$A$55,0)),"n.a."),"n.a."))</f>
        <v/>
      </c>
      <c r="P54" s="93" t="str">
        <f t="shared" si="5"/>
        <v/>
      </c>
      <c r="Q54" s="93">
        <f t="array" ref="Q54">IF(A54="",0,IFERROR(IF(AND(COUNTIF('Growth inputs'!$A$6:$A$55,A54)=1,IFNA(INDEX('Growth inputs'!$W$6:$W$55,MATCH(A54,'Growth inputs'!$A$6:$A$55,0)),"n.a.")=1,COUNT(F54:G54)=2),1,0),0))</f>
        <v>0</v>
      </c>
      <c r="R54" s="104" t="str">
        <f t="array" ref="R54">IF(A54="","",IFNA(INDEX('Growth inputs'!$E$6:$E$55,MATCH(A54,'Growth inputs'!$A$6:$A$55,0)),"n.a."))</f>
        <v/>
      </c>
    </row>
    <row r="55">
      <c r="A55" s="93" t="str">
        <f>IF(Companies!A46="","",Companies!A46)</f>
        <v/>
      </c>
      <c r="B55" s="93" t="str">
        <f>IF(A55="","",Companies!C46)</f>
        <v/>
      </c>
      <c r="C55" s="93" t="str">
        <f t="array" ref="C55">IF(A55="","",IFNA(INDEX('Growth inputs'!$C$6:$C$55,MATCH(A55,'Growth inputs'!$A$6:$A$55,0)),"n.a."))</f>
        <v/>
      </c>
      <c r="D55" s="93" t="str">
        <f t="array" ref="D55">IF(A55="","",IFNA(INDEX('Growth inputs'!$R$6:$R$55,MATCH(A55,'Growth inputs'!$A$6:$A$55,0)),"n.a."))</f>
        <v/>
      </c>
      <c r="E55" s="93" t="str">
        <f t="array" ref="E55">IF(A55="","",IFNA(INDEX('Growth inputs'!$D$6:$D$55,MATCH(A55,'Growth inputs'!$A$6:$A$55,0)),"n.a."))</f>
        <v/>
      </c>
      <c r="F55" s="100" t="str">
        <f t="array" ref="F55">IF(A55="","",IF(COUNTIF('Growth inputs'!$A$6:$A$55,A55)&lt;&gt;1,"n.a.",IF(AND(COUNT(IFNA(INDEX('Growth inputs'!$F$6:$F$55,MATCH(A55,'Growth inputs'!$A$6:$A$55,0)),"n.a."),IFNA(INDEX('Growth inputs'!$H$6:$H$55,MATCH(A55,'Growth inputs'!$A$6:$A$55,0)),"n.a."))=2,IFNA(INDEX('Growth inputs'!$F$6:$F$55,MATCH(A55,'Growth inputs'!$A$6:$A$55,0)),"n.a.")&gt;0,IFNA(INDEX('Growth inputs'!$H$6:$H$55,MATCH(A55,'Growth inputs'!$A$6:$A$55,0)),"n.a.")&gt;0,IFNA(INDEX('Growth inputs'!$D$6:$D$55,MATCH(A55,'Growth inputs'!$A$6:$A$55,0)),"n.a.")=IFNA(INDEX('Growth inputs'!$Z$6:$Z$55,MATCH(A55,'Growth inputs'!$A$6:$A$55,0)),"n.a."),IFNA(INDEX('Growth inputs'!$AB$6:$AB$55,MATCH(A55,'Growth inputs'!$A$6:$A$55,0)),"n.a.")="Yes"),(IFNA(INDEX('Growth inputs'!$F$6:$F$55,MATCH(A55,'Growth inputs'!$A$6:$A$55,0)),"n.a.")/IFNA(INDEX('Growth inputs'!$H$6:$H$55,MATCH(A55,'Growth inputs'!$A$6:$A$55,0)),"n.a."))^(1/3)-1,"n.a.")))</f>
        <v/>
      </c>
      <c r="G55" s="100" t="str">
        <f t="array" ref="G55">IF(A55="","",IF(COUNTIF('Growth inputs'!$A$6:$A$55,A55)&lt;&gt;1,"n.a.",IF(AND(COUNT(IFNA(INDEX('Growth inputs'!$K$6:$K$55,MATCH(A55,'Growth inputs'!$A$6:$A$55,0)),"n.a."),IFNA(INDEX('Growth inputs'!$L$6:$L$55,MATCH(A55,'Growth inputs'!$A$6:$A$55,0)),"n.a."),IFNA(INDEX('Growth inputs'!$F$6:$F$55,MATCH(A55,'Growth inputs'!$A$6:$A$55,0)),"n.a."))=3,IFNA(INDEX('Growth inputs'!$F$6:$F$55,MATCH(A55,'Growth inputs'!$A$6:$A$55,0)),"n.a.")&gt;0,IFNA(INDEX('Growth inputs'!$K$6:$K$55,MATCH(A55,'Growth inputs'!$A$6:$A$55,0)),"n.a.")&lt;=IFNA(INDEX('Growth inputs'!$L$6:$L$55,MATCH(A55,'Growth inputs'!$A$6:$A$55,0)),"n.a."),IFNA(INDEX('Growth inputs'!$D$6:$D$55,MATCH(A55,'Growth inputs'!$A$6:$A$55,0)),"n.a.")=IFNA(INDEX('Growth inputs'!$Y$6:$Y$55,MATCH(A55,'Growth inputs'!$A$6:$A$55,0)),"n.a."),IFNA(INDEX('Growth inputs'!$N$6:$N$55,MATCH(A55,'Growth inputs'!$A$6:$A$55,0)),"n.a.")&lt;&gt;"",IFNA(INDEX('Growth inputs'!$P$6:$P$55,MATCH(A55,'Growth inputs'!$A$6:$A$55,0)),"n.a.")&lt;&gt;"",ISNUMBER(IFNA(INDEX('Growth inputs'!$M$6:$M$55,MATCH(A55,'Growth inputs'!$A$6:$A$55,0)),"n.a.")),IFNA(INDEX('Growth inputs'!$M$6:$M$55,MATCH(A55,'Growth inputs'!$A$6:$A$55,0)),"n.a.")&lt;=Rules!$B$6,ISNUMBER(IFNA(INDEX('Growth inputs'!$I$6:$I$55,MATCH(A55,'Growth inputs'!$A$6:$A$55,0)),"n.a.")),IFNA(INDEX('Growth inputs'!$I$6:$I$55,MATCH(A55,'Growth inputs'!$A$6:$A$55,0)),"n.a.")&lt;=Rules!$B$6),AVERAGE(IFNA(INDEX('Growth inputs'!$K$6:$K$55,MATCH(A55,'Growth inputs'!$A$6:$A$55,0)),"n.a."),IFNA(INDEX('Growth inputs'!$L$6:$L$55,MATCH(A55,'Growth inputs'!$A$6:$A$55,0)),"n.a."))/IFNA(INDEX('Growth inputs'!$F$6:$F$55,MATCH(A55,'Growth inputs'!$A$6:$A$55,0)),"n.a.")-1,"n.a.")))</f>
        <v/>
      </c>
      <c r="H55" s="101" t="str">
        <f t="shared" si="1"/>
        <v/>
      </c>
      <c r="I55" s="101" t="str">
        <f t="shared" si="2"/>
        <v/>
      </c>
      <c r="J55" s="101" t="str">
        <f t="shared" si="3"/>
        <v/>
      </c>
      <c r="K55" s="93" t="str">
        <f t="shared" si="4"/>
        <v/>
      </c>
      <c r="L55" s="93" t="str">
        <f t="array" ref="L55">IF(A55="","",IF(Q55&lt;&gt;1,IFNA(INDEX('Growth inputs'!$X$6:$X$55,MATCH(A55,'Growth inputs'!$A$6:$A$55,0)),"n.a."),IF($B$9&lt;&gt;"Ready",$B$9,IF(K55&lt;$B$5,"Too few comparable growth records","Ready"))))</f>
        <v/>
      </c>
      <c r="M55" s="104" t="str">
        <f t="array" ref="M55">IF(A55="","",IFNA(INDEX('Growth inputs'!$J$6:$J$55,MATCH(A55,'Growth inputs'!$A$6:$A$55,0)),"n.a."))</f>
        <v/>
      </c>
      <c r="N55" s="93" t="str">
        <f t="array" ref="N55">IF(A55="","",IF(ISNUMBER(G55),100*(IFNA(INDEX('Growth inputs'!$L$6:$L$55,MATCH(A55,'Growth inputs'!$A$6:$A$55,0)),"n.a.")-IFNA(INDEX('Growth inputs'!$K$6:$K$55,MATCH(A55,'Growth inputs'!$A$6:$A$55,0)),"n.a."))/IFNA(INDEX('Growth inputs'!$F$6:$F$55,MATCH(A55,'Growth inputs'!$A$6:$A$55,0)),"n.a."),"n.a."))</f>
        <v/>
      </c>
      <c r="O55" s="100" t="str">
        <f t="array" ref="O55">IF(A55="","",IF(AND(ISNUMBER(G55),ISNUMBER(IFNA(INDEX('Growth inputs'!$T$6:$T$55,MATCH(A55,'Growth inputs'!$A$6:$A$55,0)),"n.a.")),IFNA(INDEX('Growth inputs'!$U$6:$U$55,MATCH(A55,'Growth inputs'!$A$6:$A$55,0)),"n.a.")&lt;&gt;""),G55-IFNA(INDEX('Growth inputs'!$T$6:$T$55,MATCH(A55,'Growth inputs'!$A$6:$A$55,0)),"n.a."),"n.a."))</f>
        <v/>
      </c>
      <c r="P55" s="93" t="str">
        <f t="shared" si="5"/>
        <v/>
      </c>
      <c r="Q55" s="93">
        <f t="array" ref="Q55">IF(A55="",0,IFERROR(IF(AND(COUNTIF('Growth inputs'!$A$6:$A$55,A55)=1,IFNA(INDEX('Growth inputs'!$W$6:$W$55,MATCH(A55,'Growth inputs'!$A$6:$A$55,0)),"n.a.")=1,COUNT(F55:G55)=2),1,0),0))</f>
        <v>0</v>
      </c>
      <c r="R55" s="104" t="str">
        <f t="array" ref="R55">IF(A55="","",IFNA(INDEX('Growth inputs'!$E$6:$E$55,MATCH(A55,'Growth inputs'!$A$6:$A$55,0)),"n.a."))</f>
        <v/>
      </c>
    </row>
    <row r="56">
      <c r="A56" s="93" t="str">
        <f>IF(Companies!A47="","",Companies!A47)</f>
        <v/>
      </c>
      <c r="B56" s="93" t="str">
        <f>IF(A56="","",Companies!C47)</f>
        <v/>
      </c>
      <c r="C56" s="93" t="str">
        <f t="array" ref="C56">IF(A56="","",IFNA(INDEX('Growth inputs'!$C$6:$C$55,MATCH(A56,'Growth inputs'!$A$6:$A$55,0)),"n.a."))</f>
        <v/>
      </c>
      <c r="D56" s="93" t="str">
        <f t="array" ref="D56">IF(A56="","",IFNA(INDEX('Growth inputs'!$R$6:$R$55,MATCH(A56,'Growth inputs'!$A$6:$A$55,0)),"n.a."))</f>
        <v/>
      </c>
      <c r="E56" s="93" t="str">
        <f t="array" ref="E56">IF(A56="","",IFNA(INDEX('Growth inputs'!$D$6:$D$55,MATCH(A56,'Growth inputs'!$A$6:$A$55,0)),"n.a."))</f>
        <v/>
      </c>
      <c r="F56" s="100" t="str">
        <f t="array" ref="F56">IF(A56="","",IF(COUNTIF('Growth inputs'!$A$6:$A$55,A56)&lt;&gt;1,"n.a.",IF(AND(COUNT(IFNA(INDEX('Growth inputs'!$F$6:$F$55,MATCH(A56,'Growth inputs'!$A$6:$A$55,0)),"n.a."),IFNA(INDEX('Growth inputs'!$H$6:$H$55,MATCH(A56,'Growth inputs'!$A$6:$A$55,0)),"n.a."))=2,IFNA(INDEX('Growth inputs'!$F$6:$F$55,MATCH(A56,'Growth inputs'!$A$6:$A$55,0)),"n.a.")&gt;0,IFNA(INDEX('Growth inputs'!$H$6:$H$55,MATCH(A56,'Growth inputs'!$A$6:$A$55,0)),"n.a.")&gt;0,IFNA(INDEX('Growth inputs'!$D$6:$D$55,MATCH(A56,'Growth inputs'!$A$6:$A$55,0)),"n.a.")=IFNA(INDEX('Growth inputs'!$Z$6:$Z$55,MATCH(A56,'Growth inputs'!$A$6:$A$55,0)),"n.a."),IFNA(INDEX('Growth inputs'!$AB$6:$AB$55,MATCH(A56,'Growth inputs'!$A$6:$A$55,0)),"n.a.")="Yes"),(IFNA(INDEX('Growth inputs'!$F$6:$F$55,MATCH(A56,'Growth inputs'!$A$6:$A$55,0)),"n.a.")/IFNA(INDEX('Growth inputs'!$H$6:$H$55,MATCH(A56,'Growth inputs'!$A$6:$A$55,0)),"n.a."))^(1/3)-1,"n.a.")))</f>
        <v/>
      </c>
      <c r="G56" s="100" t="str">
        <f t="array" ref="G56">IF(A56="","",IF(COUNTIF('Growth inputs'!$A$6:$A$55,A56)&lt;&gt;1,"n.a.",IF(AND(COUNT(IFNA(INDEX('Growth inputs'!$K$6:$K$55,MATCH(A56,'Growth inputs'!$A$6:$A$55,0)),"n.a."),IFNA(INDEX('Growth inputs'!$L$6:$L$55,MATCH(A56,'Growth inputs'!$A$6:$A$55,0)),"n.a."),IFNA(INDEX('Growth inputs'!$F$6:$F$55,MATCH(A56,'Growth inputs'!$A$6:$A$55,0)),"n.a."))=3,IFNA(INDEX('Growth inputs'!$F$6:$F$55,MATCH(A56,'Growth inputs'!$A$6:$A$55,0)),"n.a.")&gt;0,IFNA(INDEX('Growth inputs'!$K$6:$K$55,MATCH(A56,'Growth inputs'!$A$6:$A$55,0)),"n.a.")&lt;=IFNA(INDEX('Growth inputs'!$L$6:$L$55,MATCH(A56,'Growth inputs'!$A$6:$A$55,0)),"n.a."),IFNA(INDEX('Growth inputs'!$D$6:$D$55,MATCH(A56,'Growth inputs'!$A$6:$A$55,0)),"n.a.")=IFNA(INDEX('Growth inputs'!$Y$6:$Y$55,MATCH(A56,'Growth inputs'!$A$6:$A$55,0)),"n.a."),IFNA(INDEX('Growth inputs'!$N$6:$N$55,MATCH(A56,'Growth inputs'!$A$6:$A$55,0)),"n.a.")&lt;&gt;"",IFNA(INDEX('Growth inputs'!$P$6:$P$55,MATCH(A56,'Growth inputs'!$A$6:$A$55,0)),"n.a.")&lt;&gt;"",ISNUMBER(IFNA(INDEX('Growth inputs'!$M$6:$M$55,MATCH(A56,'Growth inputs'!$A$6:$A$55,0)),"n.a.")),IFNA(INDEX('Growth inputs'!$M$6:$M$55,MATCH(A56,'Growth inputs'!$A$6:$A$55,0)),"n.a.")&lt;=Rules!$B$6,ISNUMBER(IFNA(INDEX('Growth inputs'!$I$6:$I$55,MATCH(A56,'Growth inputs'!$A$6:$A$55,0)),"n.a.")),IFNA(INDEX('Growth inputs'!$I$6:$I$55,MATCH(A56,'Growth inputs'!$A$6:$A$55,0)),"n.a.")&lt;=Rules!$B$6),AVERAGE(IFNA(INDEX('Growth inputs'!$K$6:$K$55,MATCH(A56,'Growth inputs'!$A$6:$A$55,0)),"n.a."),IFNA(INDEX('Growth inputs'!$L$6:$L$55,MATCH(A56,'Growth inputs'!$A$6:$A$55,0)),"n.a."))/IFNA(INDEX('Growth inputs'!$F$6:$F$55,MATCH(A56,'Growth inputs'!$A$6:$A$55,0)),"n.a.")-1,"n.a.")))</f>
        <v/>
      </c>
      <c r="H56" s="101" t="str">
        <f t="shared" si="1"/>
        <v/>
      </c>
      <c r="I56" s="101" t="str">
        <f t="shared" si="2"/>
        <v/>
      </c>
      <c r="J56" s="101" t="str">
        <f t="shared" si="3"/>
        <v/>
      </c>
      <c r="K56" s="93" t="str">
        <f t="shared" si="4"/>
        <v/>
      </c>
      <c r="L56" s="93" t="str">
        <f t="array" ref="L56">IF(A56="","",IF(Q56&lt;&gt;1,IFNA(INDEX('Growth inputs'!$X$6:$X$55,MATCH(A56,'Growth inputs'!$A$6:$A$55,0)),"n.a."),IF($B$9&lt;&gt;"Ready",$B$9,IF(K56&lt;$B$5,"Too few comparable growth records","Ready"))))</f>
        <v/>
      </c>
      <c r="M56" s="104" t="str">
        <f t="array" ref="M56">IF(A56="","",IFNA(INDEX('Growth inputs'!$J$6:$J$55,MATCH(A56,'Growth inputs'!$A$6:$A$55,0)),"n.a."))</f>
        <v/>
      </c>
      <c r="N56" s="93" t="str">
        <f t="array" ref="N56">IF(A56="","",IF(ISNUMBER(G56),100*(IFNA(INDEX('Growth inputs'!$L$6:$L$55,MATCH(A56,'Growth inputs'!$A$6:$A$55,0)),"n.a.")-IFNA(INDEX('Growth inputs'!$K$6:$K$55,MATCH(A56,'Growth inputs'!$A$6:$A$55,0)),"n.a."))/IFNA(INDEX('Growth inputs'!$F$6:$F$55,MATCH(A56,'Growth inputs'!$A$6:$A$55,0)),"n.a."),"n.a."))</f>
        <v/>
      </c>
      <c r="O56" s="100" t="str">
        <f t="array" ref="O56">IF(A56="","",IF(AND(ISNUMBER(G56),ISNUMBER(IFNA(INDEX('Growth inputs'!$T$6:$T$55,MATCH(A56,'Growth inputs'!$A$6:$A$55,0)),"n.a.")),IFNA(INDEX('Growth inputs'!$U$6:$U$55,MATCH(A56,'Growth inputs'!$A$6:$A$55,0)),"n.a.")&lt;&gt;""),G56-IFNA(INDEX('Growth inputs'!$T$6:$T$55,MATCH(A56,'Growth inputs'!$A$6:$A$55,0)),"n.a."),"n.a."))</f>
        <v/>
      </c>
      <c r="P56" s="93" t="str">
        <f t="shared" si="5"/>
        <v/>
      </c>
      <c r="Q56" s="93">
        <f t="array" ref="Q56">IF(A56="",0,IFERROR(IF(AND(COUNTIF('Growth inputs'!$A$6:$A$55,A56)=1,IFNA(INDEX('Growth inputs'!$W$6:$W$55,MATCH(A56,'Growth inputs'!$A$6:$A$55,0)),"n.a.")=1,COUNT(F56:G56)=2),1,0),0))</f>
        <v>0</v>
      </c>
      <c r="R56" s="104" t="str">
        <f t="array" ref="R56">IF(A56="","",IFNA(INDEX('Growth inputs'!$E$6:$E$55,MATCH(A56,'Growth inputs'!$A$6:$A$55,0)),"n.a."))</f>
        <v/>
      </c>
    </row>
    <row r="57">
      <c r="A57" s="93" t="str">
        <f>IF(Companies!A48="","",Companies!A48)</f>
        <v/>
      </c>
      <c r="B57" s="93" t="str">
        <f>IF(A57="","",Companies!C48)</f>
        <v/>
      </c>
      <c r="C57" s="93" t="str">
        <f t="array" ref="C57">IF(A57="","",IFNA(INDEX('Growth inputs'!$C$6:$C$55,MATCH(A57,'Growth inputs'!$A$6:$A$55,0)),"n.a."))</f>
        <v/>
      </c>
      <c r="D57" s="93" t="str">
        <f t="array" ref="D57">IF(A57="","",IFNA(INDEX('Growth inputs'!$R$6:$R$55,MATCH(A57,'Growth inputs'!$A$6:$A$55,0)),"n.a."))</f>
        <v/>
      </c>
      <c r="E57" s="93" t="str">
        <f t="array" ref="E57">IF(A57="","",IFNA(INDEX('Growth inputs'!$D$6:$D$55,MATCH(A57,'Growth inputs'!$A$6:$A$55,0)),"n.a."))</f>
        <v/>
      </c>
      <c r="F57" s="100" t="str">
        <f t="array" ref="F57">IF(A57="","",IF(COUNTIF('Growth inputs'!$A$6:$A$55,A57)&lt;&gt;1,"n.a.",IF(AND(COUNT(IFNA(INDEX('Growth inputs'!$F$6:$F$55,MATCH(A57,'Growth inputs'!$A$6:$A$55,0)),"n.a."),IFNA(INDEX('Growth inputs'!$H$6:$H$55,MATCH(A57,'Growth inputs'!$A$6:$A$55,0)),"n.a."))=2,IFNA(INDEX('Growth inputs'!$F$6:$F$55,MATCH(A57,'Growth inputs'!$A$6:$A$55,0)),"n.a.")&gt;0,IFNA(INDEX('Growth inputs'!$H$6:$H$55,MATCH(A57,'Growth inputs'!$A$6:$A$55,0)),"n.a.")&gt;0,IFNA(INDEX('Growth inputs'!$D$6:$D$55,MATCH(A57,'Growth inputs'!$A$6:$A$55,0)),"n.a.")=IFNA(INDEX('Growth inputs'!$Z$6:$Z$55,MATCH(A57,'Growth inputs'!$A$6:$A$55,0)),"n.a."),IFNA(INDEX('Growth inputs'!$AB$6:$AB$55,MATCH(A57,'Growth inputs'!$A$6:$A$55,0)),"n.a.")="Yes"),(IFNA(INDEX('Growth inputs'!$F$6:$F$55,MATCH(A57,'Growth inputs'!$A$6:$A$55,0)),"n.a.")/IFNA(INDEX('Growth inputs'!$H$6:$H$55,MATCH(A57,'Growth inputs'!$A$6:$A$55,0)),"n.a."))^(1/3)-1,"n.a.")))</f>
        <v/>
      </c>
      <c r="G57" s="100" t="str">
        <f t="array" ref="G57">IF(A57="","",IF(COUNTIF('Growth inputs'!$A$6:$A$55,A57)&lt;&gt;1,"n.a.",IF(AND(COUNT(IFNA(INDEX('Growth inputs'!$K$6:$K$55,MATCH(A57,'Growth inputs'!$A$6:$A$55,0)),"n.a."),IFNA(INDEX('Growth inputs'!$L$6:$L$55,MATCH(A57,'Growth inputs'!$A$6:$A$55,0)),"n.a."),IFNA(INDEX('Growth inputs'!$F$6:$F$55,MATCH(A57,'Growth inputs'!$A$6:$A$55,0)),"n.a."))=3,IFNA(INDEX('Growth inputs'!$F$6:$F$55,MATCH(A57,'Growth inputs'!$A$6:$A$55,0)),"n.a.")&gt;0,IFNA(INDEX('Growth inputs'!$K$6:$K$55,MATCH(A57,'Growth inputs'!$A$6:$A$55,0)),"n.a.")&lt;=IFNA(INDEX('Growth inputs'!$L$6:$L$55,MATCH(A57,'Growth inputs'!$A$6:$A$55,0)),"n.a."),IFNA(INDEX('Growth inputs'!$D$6:$D$55,MATCH(A57,'Growth inputs'!$A$6:$A$55,0)),"n.a.")=IFNA(INDEX('Growth inputs'!$Y$6:$Y$55,MATCH(A57,'Growth inputs'!$A$6:$A$55,0)),"n.a."),IFNA(INDEX('Growth inputs'!$N$6:$N$55,MATCH(A57,'Growth inputs'!$A$6:$A$55,0)),"n.a.")&lt;&gt;"",IFNA(INDEX('Growth inputs'!$P$6:$P$55,MATCH(A57,'Growth inputs'!$A$6:$A$55,0)),"n.a.")&lt;&gt;"",ISNUMBER(IFNA(INDEX('Growth inputs'!$M$6:$M$55,MATCH(A57,'Growth inputs'!$A$6:$A$55,0)),"n.a.")),IFNA(INDEX('Growth inputs'!$M$6:$M$55,MATCH(A57,'Growth inputs'!$A$6:$A$55,0)),"n.a.")&lt;=Rules!$B$6,ISNUMBER(IFNA(INDEX('Growth inputs'!$I$6:$I$55,MATCH(A57,'Growth inputs'!$A$6:$A$55,0)),"n.a.")),IFNA(INDEX('Growth inputs'!$I$6:$I$55,MATCH(A57,'Growth inputs'!$A$6:$A$55,0)),"n.a.")&lt;=Rules!$B$6),AVERAGE(IFNA(INDEX('Growth inputs'!$K$6:$K$55,MATCH(A57,'Growth inputs'!$A$6:$A$55,0)),"n.a."),IFNA(INDEX('Growth inputs'!$L$6:$L$55,MATCH(A57,'Growth inputs'!$A$6:$A$55,0)),"n.a."))/IFNA(INDEX('Growth inputs'!$F$6:$F$55,MATCH(A57,'Growth inputs'!$A$6:$A$55,0)),"n.a.")-1,"n.a.")))</f>
        <v/>
      </c>
      <c r="H57" s="101" t="str">
        <f t="shared" si="1"/>
        <v/>
      </c>
      <c r="I57" s="101" t="str">
        <f t="shared" si="2"/>
        <v/>
      </c>
      <c r="J57" s="101" t="str">
        <f t="shared" si="3"/>
        <v/>
      </c>
      <c r="K57" s="93" t="str">
        <f t="shared" si="4"/>
        <v/>
      </c>
      <c r="L57" s="93" t="str">
        <f t="array" ref="L57">IF(A57="","",IF(Q57&lt;&gt;1,IFNA(INDEX('Growth inputs'!$X$6:$X$55,MATCH(A57,'Growth inputs'!$A$6:$A$55,0)),"n.a."),IF($B$9&lt;&gt;"Ready",$B$9,IF(K57&lt;$B$5,"Too few comparable growth records","Ready"))))</f>
        <v/>
      </c>
      <c r="M57" s="104" t="str">
        <f t="array" ref="M57">IF(A57="","",IFNA(INDEX('Growth inputs'!$J$6:$J$55,MATCH(A57,'Growth inputs'!$A$6:$A$55,0)),"n.a."))</f>
        <v/>
      </c>
      <c r="N57" s="93" t="str">
        <f t="array" ref="N57">IF(A57="","",IF(ISNUMBER(G57),100*(IFNA(INDEX('Growth inputs'!$L$6:$L$55,MATCH(A57,'Growth inputs'!$A$6:$A$55,0)),"n.a.")-IFNA(INDEX('Growth inputs'!$K$6:$K$55,MATCH(A57,'Growth inputs'!$A$6:$A$55,0)),"n.a."))/IFNA(INDEX('Growth inputs'!$F$6:$F$55,MATCH(A57,'Growth inputs'!$A$6:$A$55,0)),"n.a."),"n.a."))</f>
        <v/>
      </c>
      <c r="O57" s="100" t="str">
        <f t="array" ref="O57">IF(A57="","",IF(AND(ISNUMBER(G57),ISNUMBER(IFNA(INDEX('Growth inputs'!$T$6:$T$55,MATCH(A57,'Growth inputs'!$A$6:$A$55,0)),"n.a.")),IFNA(INDEX('Growth inputs'!$U$6:$U$55,MATCH(A57,'Growth inputs'!$A$6:$A$55,0)),"n.a.")&lt;&gt;""),G57-IFNA(INDEX('Growth inputs'!$T$6:$T$55,MATCH(A57,'Growth inputs'!$A$6:$A$55,0)),"n.a."),"n.a."))</f>
        <v/>
      </c>
      <c r="P57" s="93" t="str">
        <f t="shared" si="5"/>
        <v/>
      </c>
      <c r="Q57" s="93">
        <f t="array" ref="Q57">IF(A57="",0,IFERROR(IF(AND(COUNTIF('Growth inputs'!$A$6:$A$55,A57)=1,IFNA(INDEX('Growth inputs'!$W$6:$W$55,MATCH(A57,'Growth inputs'!$A$6:$A$55,0)),"n.a.")=1,COUNT(F57:G57)=2),1,0),0))</f>
        <v>0</v>
      </c>
      <c r="R57" s="104" t="str">
        <f t="array" ref="R57">IF(A57="","",IFNA(INDEX('Growth inputs'!$E$6:$E$55,MATCH(A57,'Growth inputs'!$A$6:$A$55,0)),"n.a."))</f>
        <v/>
      </c>
    </row>
    <row r="58">
      <c r="A58" s="93" t="str">
        <f>IF(Companies!A49="","",Companies!A49)</f>
        <v/>
      </c>
      <c r="B58" s="93" t="str">
        <f>IF(A58="","",Companies!C49)</f>
        <v/>
      </c>
      <c r="C58" s="93" t="str">
        <f t="array" ref="C58">IF(A58="","",IFNA(INDEX('Growth inputs'!$C$6:$C$55,MATCH(A58,'Growth inputs'!$A$6:$A$55,0)),"n.a."))</f>
        <v/>
      </c>
      <c r="D58" s="93" t="str">
        <f t="array" ref="D58">IF(A58="","",IFNA(INDEX('Growth inputs'!$R$6:$R$55,MATCH(A58,'Growth inputs'!$A$6:$A$55,0)),"n.a."))</f>
        <v/>
      </c>
      <c r="E58" s="93" t="str">
        <f t="array" ref="E58">IF(A58="","",IFNA(INDEX('Growth inputs'!$D$6:$D$55,MATCH(A58,'Growth inputs'!$A$6:$A$55,0)),"n.a."))</f>
        <v/>
      </c>
      <c r="F58" s="100" t="str">
        <f t="array" ref="F58">IF(A58="","",IF(COUNTIF('Growth inputs'!$A$6:$A$55,A58)&lt;&gt;1,"n.a.",IF(AND(COUNT(IFNA(INDEX('Growth inputs'!$F$6:$F$55,MATCH(A58,'Growth inputs'!$A$6:$A$55,0)),"n.a."),IFNA(INDEX('Growth inputs'!$H$6:$H$55,MATCH(A58,'Growth inputs'!$A$6:$A$55,0)),"n.a."))=2,IFNA(INDEX('Growth inputs'!$F$6:$F$55,MATCH(A58,'Growth inputs'!$A$6:$A$55,0)),"n.a.")&gt;0,IFNA(INDEX('Growth inputs'!$H$6:$H$55,MATCH(A58,'Growth inputs'!$A$6:$A$55,0)),"n.a.")&gt;0,IFNA(INDEX('Growth inputs'!$D$6:$D$55,MATCH(A58,'Growth inputs'!$A$6:$A$55,0)),"n.a.")=IFNA(INDEX('Growth inputs'!$Z$6:$Z$55,MATCH(A58,'Growth inputs'!$A$6:$A$55,0)),"n.a."),IFNA(INDEX('Growth inputs'!$AB$6:$AB$55,MATCH(A58,'Growth inputs'!$A$6:$A$55,0)),"n.a.")="Yes"),(IFNA(INDEX('Growth inputs'!$F$6:$F$55,MATCH(A58,'Growth inputs'!$A$6:$A$55,0)),"n.a.")/IFNA(INDEX('Growth inputs'!$H$6:$H$55,MATCH(A58,'Growth inputs'!$A$6:$A$55,0)),"n.a."))^(1/3)-1,"n.a.")))</f>
        <v/>
      </c>
      <c r="G58" s="100" t="str">
        <f t="array" ref="G58">IF(A58="","",IF(COUNTIF('Growth inputs'!$A$6:$A$55,A58)&lt;&gt;1,"n.a.",IF(AND(COUNT(IFNA(INDEX('Growth inputs'!$K$6:$K$55,MATCH(A58,'Growth inputs'!$A$6:$A$55,0)),"n.a."),IFNA(INDEX('Growth inputs'!$L$6:$L$55,MATCH(A58,'Growth inputs'!$A$6:$A$55,0)),"n.a."),IFNA(INDEX('Growth inputs'!$F$6:$F$55,MATCH(A58,'Growth inputs'!$A$6:$A$55,0)),"n.a."))=3,IFNA(INDEX('Growth inputs'!$F$6:$F$55,MATCH(A58,'Growth inputs'!$A$6:$A$55,0)),"n.a.")&gt;0,IFNA(INDEX('Growth inputs'!$K$6:$K$55,MATCH(A58,'Growth inputs'!$A$6:$A$55,0)),"n.a.")&lt;=IFNA(INDEX('Growth inputs'!$L$6:$L$55,MATCH(A58,'Growth inputs'!$A$6:$A$55,0)),"n.a."),IFNA(INDEX('Growth inputs'!$D$6:$D$55,MATCH(A58,'Growth inputs'!$A$6:$A$55,0)),"n.a.")=IFNA(INDEX('Growth inputs'!$Y$6:$Y$55,MATCH(A58,'Growth inputs'!$A$6:$A$55,0)),"n.a."),IFNA(INDEX('Growth inputs'!$N$6:$N$55,MATCH(A58,'Growth inputs'!$A$6:$A$55,0)),"n.a.")&lt;&gt;"",IFNA(INDEX('Growth inputs'!$P$6:$P$55,MATCH(A58,'Growth inputs'!$A$6:$A$55,0)),"n.a.")&lt;&gt;"",ISNUMBER(IFNA(INDEX('Growth inputs'!$M$6:$M$55,MATCH(A58,'Growth inputs'!$A$6:$A$55,0)),"n.a.")),IFNA(INDEX('Growth inputs'!$M$6:$M$55,MATCH(A58,'Growth inputs'!$A$6:$A$55,0)),"n.a.")&lt;=Rules!$B$6,ISNUMBER(IFNA(INDEX('Growth inputs'!$I$6:$I$55,MATCH(A58,'Growth inputs'!$A$6:$A$55,0)),"n.a.")),IFNA(INDEX('Growth inputs'!$I$6:$I$55,MATCH(A58,'Growth inputs'!$A$6:$A$55,0)),"n.a.")&lt;=Rules!$B$6),AVERAGE(IFNA(INDEX('Growth inputs'!$K$6:$K$55,MATCH(A58,'Growth inputs'!$A$6:$A$55,0)),"n.a."),IFNA(INDEX('Growth inputs'!$L$6:$L$55,MATCH(A58,'Growth inputs'!$A$6:$A$55,0)),"n.a."))/IFNA(INDEX('Growth inputs'!$F$6:$F$55,MATCH(A58,'Growth inputs'!$A$6:$A$55,0)),"n.a.")-1,"n.a.")))</f>
        <v/>
      </c>
      <c r="H58" s="101" t="str">
        <f t="shared" si="1"/>
        <v/>
      </c>
      <c r="I58" s="101" t="str">
        <f t="shared" si="2"/>
        <v/>
      </c>
      <c r="J58" s="101" t="str">
        <f t="shared" si="3"/>
        <v/>
      </c>
      <c r="K58" s="93" t="str">
        <f t="shared" si="4"/>
        <v/>
      </c>
      <c r="L58" s="93" t="str">
        <f t="array" ref="L58">IF(A58="","",IF(Q58&lt;&gt;1,IFNA(INDEX('Growth inputs'!$X$6:$X$55,MATCH(A58,'Growth inputs'!$A$6:$A$55,0)),"n.a."),IF($B$9&lt;&gt;"Ready",$B$9,IF(K58&lt;$B$5,"Too few comparable growth records","Ready"))))</f>
        <v/>
      </c>
      <c r="M58" s="104" t="str">
        <f t="array" ref="M58">IF(A58="","",IFNA(INDEX('Growth inputs'!$J$6:$J$55,MATCH(A58,'Growth inputs'!$A$6:$A$55,0)),"n.a."))</f>
        <v/>
      </c>
      <c r="N58" s="93" t="str">
        <f t="array" ref="N58">IF(A58="","",IF(ISNUMBER(G58),100*(IFNA(INDEX('Growth inputs'!$L$6:$L$55,MATCH(A58,'Growth inputs'!$A$6:$A$55,0)),"n.a.")-IFNA(INDEX('Growth inputs'!$K$6:$K$55,MATCH(A58,'Growth inputs'!$A$6:$A$55,0)),"n.a."))/IFNA(INDEX('Growth inputs'!$F$6:$F$55,MATCH(A58,'Growth inputs'!$A$6:$A$55,0)),"n.a."),"n.a."))</f>
        <v/>
      </c>
      <c r="O58" s="100" t="str">
        <f t="array" ref="O58">IF(A58="","",IF(AND(ISNUMBER(G58),ISNUMBER(IFNA(INDEX('Growth inputs'!$T$6:$T$55,MATCH(A58,'Growth inputs'!$A$6:$A$55,0)),"n.a.")),IFNA(INDEX('Growth inputs'!$U$6:$U$55,MATCH(A58,'Growth inputs'!$A$6:$A$55,0)),"n.a.")&lt;&gt;""),G58-IFNA(INDEX('Growth inputs'!$T$6:$T$55,MATCH(A58,'Growth inputs'!$A$6:$A$55,0)),"n.a."),"n.a."))</f>
        <v/>
      </c>
      <c r="P58" s="93" t="str">
        <f t="shared" si="5"/>
        <v/>
      </c>
      <c r="Q58" s="93">
        <f t="array" ref="Q58">IF(A58="",0,IFERROR(IF(AND(COUNTIF('Growth inputs'!$A$6:$A$55,A58)=1,IFNA(INDEX('Growth inputs'!$W$6:$W$55,MATCH(A58,'Growth inputs'!$A$6:$A$55,0)),"n.a.")=1,COUNT(F58:G58)=2),1,0),0))</f>
        <v>0</v>
      </c>
      <c r="R58" s="104" t="str">
        <f t="array" ref="R58">IF(A58="","",IFNA(INDEX('Growth inputs'!$E$6:$E$55,MATCH(A58,'Growth inputs'!$A$6:$A$55,0)),"n.a."))</f>
        <v/>
      </c>
    </row>
    <row r="59">
      <c r="A59" s="93" t="str">
        <f>IF(Companies!A50="","",Companies!A50)</f>
        <v/>
      </c>
      <c r="B59" s="93" t="str">
        <f>IF(A59="","",Companies!C50)</f>
        <v/>
      </c>
      <c r="C59" s="93" t="str">
        <f t="array" ref="C59">IF(A59="","",IFNA(INDEX('Growth inputs'!$C$6:$C$55,MATCH(A59,'Growth inputs'!$A$6:$A$55,0)),"n.a."))</f>
        <v/>
      </c>
      <c r="D59" s="93" t="str">
        <f t="array" ref="D59">IF(A59="","",IFNA(INDEX('Growth inputs'!$R$6:$R$55,MATCH(A59,'Growth inputs'!$A$6:$A$55,0)),"n.a."))</f>
        <v/>
      </c>
      <c r="E59" s="93" t="str">
        <f t="array" ref="E59">IF(A59="","",IFNA(INDEX('Growth inputs'!$D$6:$D$55,MATCH(A59,'Growth inputs'!$A$6:$A$55,0)),"n.a."))</f>
        <v/>
      </c>
      <c r="F59" s="100" t="str">
        <f t="array" ref="F59">IF(A59="","",IF(COUNTIF('Growth inputs'!$A$6:$A$55,A59)&lt;&gt;1,"n.a.",IF(AND(COUNT(IFNA(INDEX('Growth inputs'!$F$6:$F$55,MATCH(A59,'Growth inputs'!$A$6:$A$55,0)),"n.a."),IFNA(INDEX('Growth inputs'!$H$6:$H$55,MATCH(A59,'Growth inputs'!$A$6:$A$55,0)),"n.a."))=2,IFNA(INDEX('Growth inputs'!$F$6:$F$55,MATCH(A59,'Growth inputs'!$A$6:$A$55,0)),"n.a.")&gt;0,IFNA(INDEX('Growth inputs'!$H$6:$H$55,MATCH(A59,'Growth inputs'!$A$6:$A$55,0)),"n.a.")&gt;0,IFNA(INDEX('Growth inputs'!$D$6:$D$55,MATCH(A59,'Growth inputs'!$A$6:$A$55,0)),"n.a.")=IFNA(INDEX('Growth inputs'!$Z$6:$Z$55,MATCH(A59,'Growth inputs'!$A$6:$A$55,0)),"n.a."),IFNA(INDEX('Growth inputs'!$AB$6:$AB$55,MATCH(A59,'Growth inputs'!$A$6:$A$55,0)),"n.a.")="Yes"),(IFNA(INDEX('Growth inputs'!$F$6:$F$55,MATCH(A59,'Growth inputs'!$A$6:$A$55,0)),"n.a.")/IFNA(INDEX('Growth inputs'!$H$6:$H$55,MATCH(A59,'Growth inputs'!$A$6:$A$55,0)),"n.a."))^(1/3)-1,"n.a.")))</f>
        <v/>
      </c>
      <c r="G59" s="100" t="str">
        <f t="array" ref="G59">IF(A59="","",IF(COUNTIF('Growth inputs'!$A$6:$A$55,A59)&lt;&gt;1,"n.a.",IF(AND(COUNT(IFNA(INDEX('Growth inputs'!$K$6:$K$55,MATCH(A59,'Growth inputs'!$A$6:$A$55,0)),"n.a."),IFNA(INDEX('Growth inputs'!$L$6:$L$55,MATCH(A59,'Growth inputs'!$A$6:$A$55,0)),"n.a."),IFNA(INDEX('Growth inputs'!$F$6:$F$55,MATCH(A59,'Growth inputs'!$A$6:$A$55,0)),"n.a."))=3,IFNA(INDEX('Growth inputs'!$F$6:$F$55,MATCH(A59,'Growth inputs'!$A$6:$A$55,0)),"n.a.")&gt;0,IFNA(INDEX('Growth inputs'!$K$6:$K$55,MATCH(A59,'Growth inputs'!$A$6:$A$55,0)),"n.a.")&lt;=IFNA(INDEX('Growth inputs'!$L$6:$L$55,MATCH(A59,'Growth inputs'!$A$6:$A$55,0)),"n.a."),IFNA(INDEX('Growth inputs'!$D$6:$D$55,MATCH(A59,'Growth inputs'!$A$6:$A$55,0)),"n.a.")=IFNA(INDEX('Growth inputs'!$Y$6:$Y$55,MATCH(A59,'Growth inputs'!$A$6:$A$55,0)),"n.a."),IFNA(INDEX('Growth inputs'!$N$6:$N$55,MATCH(A59,'Growth inputs'!$A$6:$A$55,0)),"n.a.")&lt;&gt;"",IFNA(INDEX('Growth inputs'!$P$6:$P$55,MATCH(A59,'Growth inputs'!$A$6:$A$55,0)),"n.a.")&lt;&gt;"",ISNUMBER(IFNA(INDEX('Growth inputs'!$M$6:$M$55,MATCH(A59,'Growth inputs'!$A$6:$A$55,0)),"n.a.")),IFNA(INDEX('Growth inputs'!$M$6:$M$55,MATCH(A59,'Growth inputs'!$A$6:$A$55,0)),"n.a.")&lt;=Rules!$B$6,ISNUMBER(IFNA(INDEX('Growth inputs'!$I$6:$I$55,MATCH(A59,'Growth inputs'!$A$6:$A$55,0)),"n.a.")),IFNA(INDEX('Growth inputs'!$I$6:$I$55,MATCH(A59,'Growth inputs'!$A$6:$A$55,0)),"n.a.")&lt;=Rules!$B$6),AVERAGE(IFNA(INDEX('Growth inputs'!$K$6:$K$55,MATCH(A59,'Growth inputs'!$A$6:$A$55,0)),"n.a."),IFNA(INDEX('Growth inputs'!$L$6:$L$55,MATCH(A59,'Growth inputs'!$A$6:$A$55,0)),"n.a."))/IFNA(INDEX('Growth inputs'!$F$6:$F$55,MATCH(A59,'Growth inputs'!$A$6:$A$55,0)),"n.a.")-1,"n.a.")))</f>
        <v/>
      </c>
      <c r="H59" s="101" t="str">
        <f t="shared" si="1"/>
        <v/>
      </c>
      <c r="I59" s="101" t="str">
        <f t="shared" si="2"/>
        <v/>
      </c>
      <c r="J59" s="101" t="str">
        <f t="shared" si="3"/>
        <v/>
      </c>
      <c r="K59" s="93" t="str">
        <f t="shared" si="4"/>
        <v/>
      </c>
      <c r="L59" s="93" t="str">
        <f t="array" ref="L59">IF(A59="","",IF(Q59&lt;&gt;1,IFNA(INDEX('Growth inputs'!$X$6:$X$55,MATCH(A59,'Growth inputs'!$A$6:$A$55,0)),"n.a."),IF($B$9&lt;&gt;"Ready",$B$9,IF(K59&lt;$B$5,"Too few comparable growth records","Ready"))))</f>
        <v/>
      </c>
      <c r="M59" s="104" t="str">
        <f t="array" ref="M59">IF(A59="","",IFNA(INDEX('Growth inputs'!$J$6:$J$55,MATCH(A59,'Growth inputs'!$A$6:$A$55,0)),"n.a."))</f>
        <v/>
      </c>
      <c r="N59" s="93" t="str">
        <f t="array" ref="N59">IF(A59="","",IF(ISNUMBER(G59),100*(IFNA(INDEX('Growth inputs'!$L$6:$L$55,MATCH(A59,'Growth inputs'!$A$6:$A$55,0)),"n.a.")-IFNA(INDEX('Growth inputs'!$K$6:$K$55,MATCH(A59,'Growth inputs'!$A$6:$A$55,0)),"n.a."))/IFNA(INDEX('Growth inputs'!$F$6:$F$55,MATCH(A59,'Growth inputs'!$A$6:$A$55,0)),"n.a."),"n.a."))</f>
        <v/>
      </c>
      <c r="O59" s="100" t="str">
        <f t="array" ref="O59">IF(A59="","",IF(AND(ISNUMBER(G59),ISNUMBER(IFNA(INDEX('Growth inputs'!$T$6:$T$55,MATCH(A59,'Growth inputs'!$A$6:$A$55,0)),"n.a.")),IFNA(INDEX('Growth inputs'!$U$6:$U$55,MATCH(A59,'Growth inputs'!$A$6:$A$55,0)),"n.a.")&lt;&gt;""),G59-IFNA(INDEX('Growth inputs'!$T$6:$T$55,MATCH(A59,'Growth inputs'!$A$6:$A$55,0)),"n.a."),"n.a."))</f>
        <v/>
      </c>
      <c r="P59" s="93" t="str">
        <f t="shared" si="5"/>
        <v/>
      </c>
      <c r="Q59" s="93">
        <f t="array" ref="Q59">IF(A59="",0,IFERROR(IF(AND(COUNTIF('Growth inputs'!$A$6:$A$55,A59)=1,IFNA(INDEX('Growth inputs'!$W$6:$W$55,MATCH(A59,'Growth inputs'!$A$6:$A$55,0)),"n.a.")=1,COUNT(F59:G59)=2),1,0),0))</f>
        <v>0</v>
      </c>
      <c r="R59" s="104" t="str">
        <f t="array" ref="R59">IF(A59="","",IFNA(INDEX('Growth inputs'!$E$6:$E$55,MATCH(A59,'Growth inputs'!$A$6:$A$55,0)),"n.a."))</f>
        <v/>
      </c>
    </row>
    <row r="60">
      <c r="A60" s="93" t="str">
        <f>IF(Companies!A51="","",Companies!A51)</f>
        <v/>
      </c>
      <c r="B60" s="93" t="str">
        <f>IF(A60="","",Companies!C51)</f>
        <v/>
      </c>
      <c r="C60" s="93" t="str">
        <f t="array" ref="C60">IF(A60="","",IFNA(INDEX('Growth inputs'!$C$6:$C$55,MATCH(A60,'Growth inputs'!$A$6:$A$55,0)),"n.a."))</f>
        <v/>
      </c>
      <c r="D60" s="93" t="str">
        <f t="array" ref="D60">IF(A60="","",IFNA(INDEX('Growth inputs'!$R$6:$R$55,MATCH(A60,'Growth inputs'!$A$6:$A$55,0)),"n.a."))</f>
        <v/>
      </c>
      <c r="E60" s="93" t="str">
        <f t="array" ref="E60">IF(A60="","",IFNA(INDEX('Growth inputs'!$D$6:$D$55,MATCH(A60,'Growth inputs'!$A$6:$A$55,0)),"n.a."))</f>
        <v/>
      </c>
      <c r="F60" s="100" t="str">
        <f t="array" ref="F60">IF(A60="","",IF(COUNTIF('Growth inputs'!$A$6:$A$55,A60)&lt;&gt;1,"n.a.",IF(AND(COUNT(IFNA(INDEX('Growth inputs'!$F$6:$F$55,MATCH(A60,'Growth inputs'!$A$6:$A$55,0)),"n.a."),IFNA(INDEX('Growth inputs'!$H$6:$H$55,MATCH(A60,'Growth inputs'!$A$6:$A$55,0)),"n.a."))=2,IFNA(INDEX('Growth inputs'!$F$6:$F$55,MATCH(A60,'Growth inputs'!$A$6:$A$55,0)),"n.a.")&gt;0,IFNA(INDEX('Growth inputs'!$H$6:$H$55,MATCH(A60,'Growth inputs'!$A$6:$A$55,0)),"n.a.")&gt;0,IFNA(INDEX('Growth inputs'!$D$6:$D$55,MATCH(A60,'Growth inputs'!$A$6:$A$55,0)),"n.a.")=IFNA(INDEX('Growth inputs'!$Z$6:$Z$55,MATCH(A60,'Growth inputs'!$A$6:$A$55,0)),"n.a."),IFNA(INDEX('Growth inputs'!$AB$6:$AB$55,MATCH(A60,'Growth inputs'!$A$6:$A$55,0)),"n.a.")="Yes"),(IFNA(INDEX('Growth inputs'!$F$6:$F$55,MATCH(A60,'Growth inputs'!$A$6:$A$55,0)),"n.a.")/IFNA(INDEX('Growth inputs'!$H$6:$H$55,MATCH(A60,'Growth inputs'!$A$6:$A$55,0)),"n.a."))^(1/3)-1,"n.a.")))</f>
        <v/>
      </c>
      <c r="G60" s="100" t="str">
        <f t="array" ref="G60">IF(A60="","",IF(COUNTIF('Growth inputs'!$A$6:$A$55,A60)&lt;&gt;1,"n.a.",IF(AND(COUNT(IFNA(INDEX('Growth inputs'!$K$6:$K$55,MATCH(A60,'Growth inputs'!$A$6:$A$55,0)),"n.a."),IFNA(INDEX('Growth inputs'!$L$6:$L$55,MATCH(A60,'Growth inputs'!$A$6:$A$55,0)),"n.a."),IFNA(INDEX('Growth inputs'!$F$6:$F$55,MATCH(A60,'Growth inputs'!$A$6:$A$55,0)),"n.a."))=3,IFNA(INDEX('Growth inputs'!$F$6:$F$55,MATCH(A60,'Growth inputs'!$A$6:$A$55,0)),"n.a.")&gt;0,IFNA(INDEX('Growth inputs'!$K$6:$K$55,MATCH(A60,'Growth inputs'!$A$6:$A$55,0)),"n.a.")&lt;=IFNA(INDEX('Growth inputs'!$L$6:$L$55,MATCH(A60,'Growth inputs'!$A$6:$A$55,0)),"n.a."),IFNA(INDEX('Growth inputs'!$D$6:$D$55,MATCH(A60,'Growth inputs'!$A$6:$A$55,0)),"n.a.")=IFNA(INDEX('Growth inputs'!$Y$6:$Y$55,MATCH(A60,'Growth inputs'!$A$6:$A$55,0)),"n.a."),IFNA(INDEX('Growth inputs'!$N$6:$N$55,MATCH(A60,'Growth inputs'!$A$6:$A$55,0)),"n.a.")&lt;&gt;"",IFNA(INDEX('Growth inputs'!$P$6:$P$55,MATCH(A60,'Growth inputs'!$A$6:$A$55,0)),"n.a.")&lt;&gt;"",ISNUMBER(IFNA(INDEX('Growth inputs'!$M$6:$M$55,MATCH(A60,'Growth inputs'!$A$6:$A$55,0)),"n.a.")),IFNA(INDEX('Growth inputs'!$M$6:$M$55,MATCH(A60,'Growth inputs'!$A$6:$A$55,0)),"n.a.")&lt;=Rules!$B$6,ISNUMBER(IFNA(INDEX('Growth inputs'!$I$6:$I$55,MATCH(A60,'Growth inputs'!$A$6:$A$55,0)),"n.a.")),IFNA(INDEX('Growth inputs'!$I$6:$I$55,MATCH(A60,'Growth inputs'!$A$6:$A$55,0)),"n.a.")&lt;=Rules!$B$6),AVERAGE(IFNA(INDEX('Growth inputs'!$K$6:$K$55,MATCH(A60,'Growth inputs'!$A$6:$A$55,0)),"n.a."),IFNA(INDEX('Growth inputs'!$L$6:$L$55,MATCH(A60,'Growth inputs'!$A$6:$A$55,0)),"n.a."))/IFNA(INDEX('Growth inputs'!$F$6:$F$55,MATCH(A60,'Growth inputs'!$A$6:$A$55,0)),"n.a.")-1,"n.a.")))</f>
        <v/>
      </c>
      <c r="H60" s="101" t="str">
        <f t="shared" si="1"/>
        <v/>
      </c>
      <c r="I60" s="101" t="str">
        <f t="shared" si="2"/>
        <v/>
      </c>
      <c r="J60" s="101" t="str">
        <f t="shared" si="3"/>
        <v/>
      </c>
      <c r="K60" s="93" t="str">
        <f t="shared" si="4"/>
        <v/>
      </c>
      <c r="L60" s="93" t="str">
        <f t="array" ref="L60">IF(A60="","",IF(Q60&lt;&gt;1,IFNA(INDEX('Growth inputs'!$X$6:$X$55,MATCH(A60,'Growth inputs'!$A$6:$A$55,0)),"n.a."),IF($B$9&lt;&gt;"Ready",$B$9,IF(K60&lt;$B$5,"Too few comparable growth records","Ready"))))</f>
        <v/>
      </c>
      <c r="M60" s="104" t="str">
        <f t="array" ref="M60">IF(A60="","",IFNA(INDEX('Growth inputs'!$J$6:$J$55,MATCH(A60,'Growth inputs'!$A$6:$A$55,0)),"n.a."))</f>
        <v/>
      </c>
      <c r="N60" s="93" t="str">
        <f t="array" ref="N60">IF(A60="","",IF(ISNUMBER(G60),100*(IFNA(INDEX('Growth inputs'!$L$6:$L$55,MATCH(A60,'Growth inputs'!$A$6:$A$55,0)),"n.a.")-IFNA(INDEX('Growth inputs'!$K$6:$K$55,MATCH(A60,'Growth inputs'!$A$6:$A$55,0)),"n.a."))/IFNA(INDEX('Growth inputs'!$F$6:$F$55,MATCH(A60,'Growth inputs'!$A$6:$A$55,0)),"n.a."),"n.a."))</f>
        <v/>
      </c>
      <c r="O60" s="100" t="str">
        <f t="array" ref="O60">IF(A60="","",IF(AND(ISNUMBER(G60),ISNUMBER(IFNA(INDEX('Growth inputs'!$T$6:$T$55,MATCH(A60,'Growth inputs'!$A$6:$A$55,0)),"n.a.")),IFNA(INDEX('Growth inputs'!$U$6:$U$55,MATCH(A60,'Growth inputs'!$A$6:$A$55,0)),"n.a.")&lt;&gt;""),G60-IFNA(INDEX('Growth inputs'!$T$6:$T$55,MATCH(A60,'Growth inputs'!$A$6:$A$55,0)),"n.a."),"n.a."))</f>
        <v/>
      </c>
      <c r="P60" s="93" t="str">
        <f t="shared" si="5"/>
        <v/>
      </c>
      <c r="Q60" s="93">
        <f t="array" ref="Q60">IF(A60="",0,IFERROR(IF(AND(COUNTIF('Growth inputs'!$A$6:$A$55,A60)=1,IFNA(INDEX('Growth inputs'!$W$6:$W$55,MATCH(A60,'Growth inputs'!$A$6:$A$55,0)),"n.a.")=1,COUNT(F60:G60)=2),1,0),0))</f>
        <v>0</v>
      </c>
      <c r="R60" s="104" t="str">
        <f t="array" ref="R60">IF(A60="","",IFNA(INDEX('Growth inputs'!$E$6:$E$55,MATCH(A60,'Growth inputs'!$A$6:$A$55,0)),"n.a."))</f>
        <v/>
      </c>
    </row>
    <row r="61">
      <c r="A61" s="93" t="str">
        <f>IF(Companies!A52="","",Companies!A52)</f>
        <v/>
      </c>
      <c r="B61" s="93" t="str">
        <f>IF(A61="","",Companies!C52)</f>
        <v/>
      </c>
      <c r="C61" s="93" t="str">
        <f t="array" ref="C61">IF(A61="","",IFNA(INDEX('Growth inputs'!$C$6:$C$55,MATCH(A61,'Growth inputs'!$A$6:$A$55,0)),"n.a."))</f>
        <v/>
      </c>
      <c r="D61" s="93" t="str">
        <f t="array" ref="D61">IF(A61="","",IFNA(INDEX('Growth inputs'!$R$6:$R$55,MATCH(A61,'Growth inputs'!$A$6:$A$55,0)),"n.a."))</f>
        <v/>
      </c>
      <c r="E61" s="93" t="str">
        <f t="array" ref="E61">IF(A61="","",IFNA(INDEX('Growth inputs'!$D$6:$D$55,MATCH(A61,'Growth inputs'!$A$6:$A$55,0)),"n.a."))</f>
        <v/>
      </c>
      <c r="F61" s="100" t="str">
        <f t="array" ref="F61">IF(A61="","",IF(COUNTIF('Growth inputs'!$A$6:$A$55,A61)&lt;&gt;1,"n.a.",IF(AND(COUNT(IFNA(INDEX('Growth inputs'!$F$6:$F$55,MATCH(A61,'Growth inputs'!$A$6:$A$55,0)),"n.a."),IFNA(INDEX('Growth inputs'!$H$6:$H$55,MATCH(A61,'Growth inputs'!$A$6:$A$55,0)),"n.a."))=2,IFNA(INDEX('Growth inputs'!$F$6:$F$55,MATCH(A61,'Growth inputs'!$A$6:$A$55,0)),"n.a.")&gt;0,IFNA(INDEX('Growth inputs'!$H$6:$H$55,MATCH(A61,'Growth inputs'!$A$6:$A$55,0)),"n.a.")&gt;0,IFNA(INDEX('Growth inputs'!$D$6:$D$55,MATCH(A61,'Growth inputs'!$A$6:$A$55,0)),"n.a.")=IFNA(INDEX('Growth inputs'!$Z$6:$Z$55,MATCH(A61,'Growth inputs'!$A$6:$A$55,0)),"n.a."),IFNA(INDEX('Growth inputs'!$AB$6:$AB$55,MATCH(A61,'Growth inputs'!$A$6:$A$55,0)),"n.a.")="Yes"),(IFNA(INDEX('Growth inputs'!$F$6:$F$55,MATCH(A61,'Growth inputs'!$A$6:$A$55,0)),"n.a.")/IFNA(INDEX('Growth inputs'!$H$6:$H$55,MATCH(A61,'Growth inputs'!$A$6:$A$55,0)),"n.a."))^(1/3)-1,"n.a.")))</f>
        <v/>
      </c>
      <c r="G61" s="100" t="str">
        <f t="array" ref="G61">IF(A61="","",IF(COUNTIF('Growth inputs'!$A$6:$A$55,A61)&lt;&gt;1,"n.a.",IF(AND(COUNT(IFNA(INDEX('Growth inputs'!$K$6:$K$55,MATCH(A61,'Growth inputs'!$A$6:$A$55,0)),"n.a."),IFNA(INDEX('Growth inputs'!$L$6:$L$55,MATCH(A61,'Growth inputs'!$A$6:$A$55,0)),"n.a."),IFNA(INDEX('Growth inputs'!$F$6:$F$55,MATCH(A61,'Growth inputs'!$A$6:$A$55,0)),"n.a."))=3,IFNA(INDEX('Growth inputs'!$F$6:$F$55,MATCH(A61,'Growth inputs'!$A$6:$A$55,0)),"n.a.")&gt;0,IFNA(INDEX('Growth inputs'!$K$6:$K$55,MATCH(A61,'Growth inputs'!$A$6:$A$55,0)),"n.a.")&lt;=IFNA(INDEX('Growth inputs'!$L$6:$L$55,MATCH(A61,'Growth inputs'!$A$6:$A$55,0)),"n.a."),IFNA(INDEX('Growth inputs'!$D$6:$D$55,MATCH(A61,'Growth inputs'!$A$6:$A$55,0)),"n.a.")=IFNA(INDEX('Growth inputs'!$Y$6:$Y$55,MATCH(A61,'Growth inputs'!$A$6:$A$55,0)),"n.a."),IFNA(INDEX('Growth inputs'!$N$6:$N$55,MATCH(A61,'Growth inputs'!$A$6:$A$55,0)),"n.a.")&lt;&gt;"",IFNA(INDEX('Growth inputs'!$P$6:$P$55,MATCH(A61,'Growth inputs'!$A$6:$A$55,0)),"n.a.")&lt;&gt;"",ISNUMBER(IFNA(INDEX('Growth inputs'!$M$6:$M$55,MATCH(A61,'Growth inputs'!$A$6:$A$55,0)),"n.a.")),IFNA(INDEX('Growth inputs'!$M$6:$M$55,MATCH(A61,'Growth inputs'!$A$6:$A$55,0)),"n.a.")&lt;=Rules!$B$6,ISNUMBER(IFNA(INDEX('Growth inputs'!$I$6:$I$55,MATCH(A61,'Growth inputs'!$A$6:$A$55,0)),"n.a.")),IFNA(INDEX('Growth inputs'!$I$6:$I$55,MATCH(A61,'Growth inputs'!$A$6:$A$55,0)),"n.a.")&lt;=Rules!$B$6),AVERAGE(IFNA(INDEX('Growth inputs'!$K$6:$K$55,MATCH(A61,'Growth inputs'!$A$6:$A$55,0)),"n.a."),IFNA(INDEX('Growth inputs'!$L$6:$L$55,MATCH(A61,'Growth inputs'!$A$6:$A$55,0)),"n.a."))/IFNA(INDEX('Growth inputs'!$F$6:$F$55,MATCH(A61,'Growth inputs'!$A$6:$A$55,0)),"n.a.")-1,"n.a.")))</f>
        <v/>
      </c>
      <c r="H61" s="101" t="str">
        <f t="shared" si="1"/>
        <v/>
      </c>
      <c r="I61" s="101" t="str">
        <f t="shared" si="2"/>
        <v/>
      </c>
      <c r="J61" s="101" t="str">
        <f t="shared" si="3"/>
        <v/>
      </c>
      <c r="K61" s="93" t="str">
        <f t="shared" si="4"/>
        <v/>
      </c>
      <c r="L61" s="93" t="str">
        <f t="array" ref="L61">IF(A61="","",IF(Q61&lt;&gt;1,IFNA(INDEX('Growth inputs'!$X$6:$X$55,MATCH(A61,'Growth inputs'!$A$6:$A$55,0)),"n.a."),IF($B$9&lt;&gt;"Ready",$B$9,IF(K61&lt;$B$5,"Too few comparable growth records","Ready"))))</f>
        <v/>
      </c>
      <c r="M61" s="104" t="str">
        <f t="array" ref="M61">IF(A61="","",IFNA(INDEX('Growth inputs'!$J$6:$J$55,MATCH(A61,'Growth inputs'!$A$6:$A$55,0)),"n.a."))</f>
        <v/>
      </c>
      <c r="N61" s="93" t="str">
        <f t="array" ref="N61">IF(A61="","",IF(ISNUMBER(G61),100*(IFNA(INDEX('Growth inputs'!$L$6:$L$55,MATCH(A61,'Growth inputs'!$A$6:$A$55,0)),"n.a.")-IFNA(INDEX('Growth inputs'!$K$6:$K$55,MATCH(A61,'Growth inputs'!$A$6:$A$55,0)),"n.a."))/IFNA(INDEX('Growth inputs'!$F$6:$F$55,MATCH(A61,'Growth inputs'!$A$6:$A$55,0)),"n.a."),"n.a."))</f>
        <v/>
      </c>
      <c r="O61" s="100" t="str">
        <f t="array" ref="O61">IF(A61="","",IF(AND(ISNUMBER(G61),ISNUMBER(IFNA(INDEX('Growth inputs'!$T$6:$T$55,MATCH(A61,'Growth inputs'!$A$6:$A$55,0)),"n.a.")),IFNA(INDEX('Growth inputs'!$U$6:$U$55,MATCH(A61,'Growth inputs'!$A$6:$A$55,0)),"n.a.")&lt;&gt;""),G61-IFNA(INDEX('Growth inputs'!$T$6:$T$55,MATCH(A61,'Growth inputs'!$A$6:$A$55,0)),"n.a."),"n.a."))</f>
        <v/>
      </c>
      <c r="P61" s="93" t="str">
        <f t="shared" si="5"/>
        <v/>
      </c>
      <c r="Q61" s="93">
        <f t="array" ref="Q61">IF(A61="",0,IFERROR(IF(AND(COUNTIF('Growth inputs'!$A$6:$A$55,A61)=1,IFNA(INDEX('Growth inputs'!$W$6:$W$55,MATCH(A61,'Growth inputs'!$A$6:$A$55,0)),"n.a.")=1,COUNT(F61:G61)=2),1,0),0))</f>
        <v>0</v>
      </c>
      <c r="R61" s="104" t="str">
        <f t="array" ref="R61">IF(A61="","",IFNA(INDEX('Growth inputs'!$E$6:$E$55,MATCH(A61,'Growth inputs'!$A$6:$A$55,0)),"n.a."))</f>
        <v/>
      </c>
    </row>
    <row r="62">
      <c r="A62" s="93" t="str">
        <f>IF(Companies!A53="","",Companies!A53)</f>
        <v/>
      </c>
      <c r="B62" s="93" t="str">
        <f>IF(A62="","",Companies!C53)</f>
        <v/>
      </c>
      <c r="C62" s="93" t="str">
        <f t="array" ref="C62">IF(A62="","",IFNA(INDEX('Growth inputs'!$C$6:$C$55,MATCH(A62,'Growth inputs'!$A$6:$A$55,0)),"n.a."))</f>
        <v/>
      </c>
      <c r="D62" s="93" t="str">
        <f t="array" ref="D62">IF(A62="","",IFNA(INDEX('Growth inputs'!$R$6:$R$55,MATCH(A62,'Growth inputs'!$A$6:$A$55,0)),"n.a."))</f>
        <v/>
      </c>
      <c r="E62" s="93" t="str">
        <f t="array" ref="E62">IF(A62="","",IFNA(INDEX('Growth inputs'!$D$6:$D$55,MATCH(A62,'Growth inputs'!$A$6:$A$55,0)),"n.a."))</f>
        <v/>
      </c>
      <c r="F62" s="100" t="str">
        <f t="array" ref="F62">IF(A62="","",IF(COUNTIF('Growth inputs'!$A$6:$A$55,A62)&lt;&gt;1,"n.a.",IF(AND(COUNT(IFNA(INDEX('Growth inputs'!$F$6:$F$55,MATCH(A62,'Growth inputs'!$A$6:$A$55,0)),"n.a."),IFNA(INDEX('Growth inputs'!$H$6:$H$55,MATCH(A62,'Growth inputs'!$A$6:$A$55,0)),"n.a."))=2,IFNA(INDEX('Growth inputs'!$F$6:$F$55,MATCH(A62,'Growth inputs'!$A$6:$A$55,0)),"n.a.")&gt;0,IFNA(INDEX('Growth inputs'!$H$6:$H$55,MATCH(A62,'Growth inputs'!$A$6:$A$55,0)),"n.a.")&gt;0,IFNA(INDEX('Growth inputs'!$D$6:$D$55,MATCH(A62,'Growth inputs'!$A$6:$A$55,0)),"n.a.")=IFNA(INDEX('Growth inputs'!$Z$6:$Z$55,MATCH(A62,'Growth inputs'!$A$6:$A$55,0)),"n.a."),IFNA(INDEX('Growth inputs'!$AB$6:$AB$55,MATCH(A62,'Growth inputs'!$A$6:$A$55,0)),"n.a.")="Yes"),(IFNA(INDEX('Growth inputs'!$F$6:$F$55,MATCH(A62,'Growth inputs'!$A$6:$A$55,0)),"n.a.")/IFNA(INDEX('Growth inputs'!$H$6:$H$55,MATCH(A62,'Growth inputs'!$A$6:$A$55,0)),"n.a."))^(1/3)-1,"n.a.")))</f>
        <v/>
      </c>
      <c r="G62" s="100" t="str">
        <f t="array" ref="G62">IF(A62="","",IF(COUNTIF('Growth inputs'!$A$6:$A$55,A62)&lt;&gt;1,"n.a.",IF(AND(COUNT(IFNA(INDEX('Growth inputs'!$K$6:$K$55,MATCH(A62,'Growth inputs'!$A$6:$A$55,0)),"n.a."),IFNA(INDEX('Growth inputs'!$L$6:$L$55,MATCH(A62,'Growth inputs'!$A$6:$A$55,0)),"n.a."),IFNA(INDEX('Growth inputs'!$F$6:$F$55,MATCH(A62,'Growth inputs'!$A$6:$A$55,0)),"n.a."))=3,IFNA(INDEX('Growth inputs'!$F$6:$F$55,MATCH(A62,'Growth inputs'!$A$6:$A$55,0)),"n.a.")&gt;0,IFNA(INDEX('Growth inputs'!$K$6:$K$55,MATCH(A62,'Growth inputs'!$A$6:$A$55,0)),"n.a.")&lt;=IFNA(INDEX('Growth inputs'!$L$6:$L$55,MATCH(A62,'Growth inputs'!$A$6:$A$55,0)),"n.a."),IFNA(INDEX('Growth inputs'!$D$6:$D$55,MATCH(A62,'Growth inputs'!$A$6:$A$55,0)),"n.a.")=IFNA(INDEX('Growth inputs'!$Y$6:$Y$55,MATCH(A62,'Growth inputs'!$A$6:$A$55,0)),"n.a."),IFNA(INDEX('Growth inputs'!$N$6:$N$55,MATCH(A62,'Growth inputs'!$A$6:$A$55,0)),"n.a.")&lt;&gt;"",IFNA(INDEX('Growth inputs'!$P$6:$P$55,MATCH(A62,'Growth inputs'!$A$6:$A$55,0)),"n.a.")&lt;&gt;"",ISNUMBER(IFNA(INDEX('Growth inputs'!$M$6:$M$55,MATCH(A62,'Growth inputs'!$A$6:$A$55,0)),"n.a.")),IFNA(INDEX('Growth inputs'!$M$6:$M$55,MATCH(A62,'Growth inputs'!$A$6:$A$55,0)),"n.a.")&lt;=Rules!$B$6,ISNUMBER(IFNA(INDEX('Growth inputs'!$I$6:$I$55,MATCH(A62,'Growth inputs'!$A$6:$A$55,0)),"n.a.")),IFNA(INDEX('Growth inputs'!$I$6:$I$55,MATCH(A62,'Growth inputs'!$A$6:$A$55,0)),"n.a.")&lt;=Rules!$B$6),AVERAGE(IFNA(INDEX('Growth inputs'!$K$6:$K$55,MATCH(A62,'Growth inputs'!$A$6:$A$55,0)),"n.a."),IFNA(INDEX('Growth inputs'!$L$6:$L$55,MATCH(A62,'Growth inputs'!$A$6:$A$55,0)),"n.a."))/IFNA(INDEX('Growth inputs'!$F$6:$F$55,MATCH(A62,'Growth inputs'!$A$6:$A$55,0)),"n.a.")-1,"n.a.")))</f>
        <v/>
      </c>
      <c r="H62" s="101" t="str">
        <f t="shared" si="1"/>
        <v/>
      </c>
      <c r="I62" s="101" t="str">
        <f t="shared" si="2"/>
        <v/>
      </c>
      <c r="J62" s="101" t="str">
        <f t="shared" si="3"/>
        <v/>
      </c>
      <c r="K62" s="93" t="str">
        <f t="shared" si="4"/>
        <v/>
      </c>
      <c r="L62" s="93" t="str">
        <f t="array" ref="L62">IF(A62="","",IF(Q62&lt;&gt;1,IFNA(INDEX('Growth inputs'!$X$6:$X$55,MATCH(A62,'Growth inputs'!$A$6:$A$55,0)),"n.a."),IF($B$9&lt;&gt;"Ready",$B$9,IF(K62&lt;$B$5,"Too few comparable growth records","Ready"))))</f>
        <v/>
      </c>
      <c r="M62" s="104" t="str">
        <f t="array" ref="M62">IF(A62="","",IFNA(INDEX('Growth inputs'!$J$6:$J$55,MATCH(A62,'Growth inputs'!$A$6:$A$55,0)),"n.a."))</f>
        <v/>
      </c>
      <c r="N62" s="93" t="str">
        <f t="array" ref="N62">IF(A62="","",IF(ISNUMBER(G62),100*(IFNA(INDEX('Growth inputs'!$L$6:$L$55,MATCH(A62,'Growth inputs'!$A$6:$A$55,0)),"n.a.")-IFNA(INDEX('Growth inputs'!$K$6:$K$55,MATCH(A62,'Growth inputs'!$A$6:$A$55,0)),"n.a."))/IFNA(INDEX('Growth inputs'!$F$6:$F$55,MATCH(A62,'Growth inputs'!$A$6:$A$55,0)),"n.a."),"n.a."))</f>
        <v/>
      </c>
      <c r="O62" s="100" t="str">
        <f t="array" ref="O62">IF(A62="","",IF(AND(ISNUMBER(G62),ISNUMBER(IFNA(INDEX('Growth inputs'!$T$6:$T$55,MATCH(A62,'Growth inputs'!$A$6:$A$55,0)),"n.a.")),IFNA(INDEX('Growth inputs'!$U$6:$U$55,MATCH(A62,'Growth inputs'!$A$6:$A$55,0)),"n.a.")&lt;&gt;""),G62-IFNA(INDEX('Growth inputs'!$T$6:$T$55,MATCH(A62,'Growth inputs'!$A$6:$A$55,0)),"n.a."),"n.a."))</f>
        <v/>
      </c>
      <c r="P62" s="93" t="str">
        <f t="shared" si="5"/>
        <v/>
      </c>
      <c r="Q62" s="93">
        <f t="array" ref="Q62">IF(A62="",0,IFERROR(IF(AND(COUNTIF('Growth inputs'!$A$6:$A$55,A62)=1,IFNA(INDEX('Growth inputs'!$W$6:$W$55,MATCH(A62,'Growth inputs'!$A$6:$A$55,0)),"n.a.")=1,COUNT(F62:G62)=2),1,0),0))</f>
        <v>0</v>
      </c>
      <c r="R62" s="104" t="str">
        <f t="array" ref="R62">IF(A62="","",IFNA(INDEX('Growth inputs'!$E$6:$E$55,MATCH(A62,'Growth inputs'!$A$6:$A$55,0)),"n.a."))</f>
        <v/>
      </c>
    </row>
    <row r="63">
      <c r="A63" s="93" t="str">
        <f>IF(Companies!A54="","",Companies!A54)</f>
        <v/>
      </c>
      <c r="B63" s="93" t="str">
        <f>IF(A63="","",Companies!C54)</f>
        <v/>
      </c>
      <c r="C63" s="93" t="str">
        <f t="array" ref="C63">IF(A63="","",IFNA(INDEX('Growth inputs'!$C$6:$C$55,MATCH(A63,'Growth inputs'!$A$6:$A$55,0)),"n.a."))</f>
        <v/>
      </c>
      <c r="D63" s="93" t="str">
        <f t="array" ref="D63">IF(A63="","",IFNA(INDEX('Growth inputs'!$R$6:$R$55,MATCH(A63,'Growth inputs'!$A$6:$A$55,0)),"n.a."))</f>
        <v/>
      </c>
      <c r="E63" s="93" t="str">
        <f t="array" ref="E63">IF(A63="","",IFNA(INDEX('Growth inputs'!$D$6:$D$55,MATCH(A63,'Growth inputs'!$A$6:$A$55,0)),"n.a."))</f>
        <v/>
      </c>
      <c r="F63" s="100" t="str">
        <f t="array" ref="F63">IF(A63="","",IF(COUNTIF('Growth inputs'!$A$6:$A$55,A63)&lt;&gt;1,"n.a.",IF(AND(COUNT(IFNA(INDEX('Growth inputs'!$F$6:$F$55,MATCH(A63,'Growth inputs'!$A$6:$A$55,0)),"n.a."),IFNA(INDEX('Growth inputs'!$H$6:$H$55,MATCH(A63,'Growth inputs'!$A$6:$A$55,0)),"n.a."))=2,IFNA(INDEX('Growth inputs'!$F$6:$F$55,MATCH(A63,'Growth inputs'!$A$6:$A$55,0)),"n.a.")&gt;0,IFNA(INDEX('Growth inputs'!$H$6:$H$55,MATCH(A63,'Growth inputs'!$A$6:$A$55,0)),"n.a.")&gt;0,IFNA(INDEX('Growth inputs'!$D$6:$D$55,MATCH(A63,'Growth inputs'!$A$6:$A$55,0)),"n.a.")=IFNA(INDEX('Growth inputs'!$Z$6:$Z$55,MATCH(A63,'Growth inputs'!$A$6:$A$55,0)),"n.a."),IFNA(INDEX('Growth inputs'!$AB$6:$AB$55,MATCH(A63,'Growth inputs'!$A$6:$A$55,0)),"n.a.")="Yes"),(IFNA(INDEX('Growth inputs'!$F$6:$F$55,MATCH(A63,'Growth inputs'!$A$6:$A$55,0)),"n.a.")/IFNA(INDEX('Growth inputs'!$H$6:$H$55,MATCH(A63,'Growth inputs'!$A$6:$A$55,0)),"n.a."))^(1/3)-1,"n.a.")))</f>
        <v/>
      </c>
      <c r="G63" s="100" t="str">
        <f t="array" ref="G63">IF(A63="","",IF(COUNTIF('Growth inputs'!$A$6:$A$55,A63)&lt;&gt;1,"n.a.",IF(AND(COUNT(IFNA(INDEX('Growth inputs'!$K$6:$K$55,MATCH(A63,'Growth inputs'!$A$6:$A$55,0)),"n.a."),IFNA(INDEX('Growth inputs'!$L$6:$L$55,MATCH(A63,'Growth inputs'!$A$6:$A$55,0)),"n.a."),IFNA(INDEX('Growth inputs'!$F$6:$F$55,MATCH(A63,'Growth inputs'!$A$6:$A$55,0)),"n.a."))=3,IFNA(INDEX('Growth inputs'!$F$6:$F$55,MATCH(A63,'Growth inputs'!$A$6:$A$55,0)),"n.a.")&gt;0,IFNA(INDEX('Growth inputs'!$K$6:$K$55,MATCH(A63,'Growth inputs'!$A$6:$A$55,0)),"n.a.")&lt;=IFNA(INDEX('Growth inputs'!$L$6:$L$55,MATCH(A63,'Growth inputs'!$A$6:$A$55,0)),"n.a."),IFNA(INDEX('Growth inputs'!$D$6:$D$55,MATCH(A63,'Growth inputs'!$A$6:$A$55,0)),"n.a.")=IFNA(INDEX('Growth inputs'!$Y$6:$Y$55,MATCH(A63,'Growth inputs'!$A$6:$A$55,0)),"n.a."),IFNA(INDEX('Growth inputs'!$N$6:$N$55,MATCH(A63,'Growth inputs'!$A$6:$A$55,0)),"n.a.")&lt;&gt;"",IFNA(INDEX('Growth inputs'!$P$6:$P$55,MATCH(A63,'Growth inputs'!$A$6:$A$55,0)),"n.a.")&lt;&gt;"",ISNUMBER(IFNA(INDEX('Growth inputs'!$M$6:$M$55,MATCH(A63,'Growth inputs'!$A$6:$A$55,0)),"n.a.")),IFNA(INDEX('Growth inputs'!$M$6:$M$55,MATCH(A63,'Growth inputs'!$A$6:$A$55,0)),"n.a.")&lt;=Rules!$B$6,ISNUMBER(IFNA(INDEX('Growth inputs'!$I$6:$I$55,MATCH(A63,'Growth inputs'!$A$6:$A$55,0)),"n.a.")),IFNA(INDEX('Growth inputs'!$I$6:$I$55,MATCH(A63,'Growth inputs'!$A$6:$A$55,0)),"n.a.")&lt;=Rules!$B$6),AVERAGE(IFNA(INDEX('Growth inputs'!$K$6:$K$55,MATCH(A63,'Growth inputs'!$A$6:$A$55,0)),"n.a."),IFNA(INDEX('Growth inputs'!$L$6:$L$55,MATCH(A63,'Growth inputs'!$A$6:$A$55,0)),"n.a."))/IFNA(INDEX('Growth inputs'!$F$6:$F$55,MATCH(A63,'Growth inputs'!$A$6:$A$55,0)),"n.a.")-1,"n.a.")))</f>
        <v/>
      </c>
      <c r="H63" s="101" t="str">
        <f t="shared" si="1"/>
        <v/>
      </c>
      <c r="I63" s="101" t="str">
        <f t="shared" si="2"/>
        <v/>
      </c>
      <c r="J63" s="101" t="str">
        <f t="shared" si="3"/>
        <v/>
      </c>
      <c r="K63" s="93" t="str">
        <f t="shared" si="4"/>
        <v/>
      </c>
      <c r="L63" s="93" t="str">
        <f t="array" ref="L63">IF(A63="","",IF(Q63&lt;&gt;1,IFNA(INDEX('Growth inputs'!$X$6:$X$55,MATCH(A63,'Growth inputs'!$A$6:$A$55,0)),"n.a."),IF($B$9&lt;&gt;"Ready",$B$9,IF(K63&lt;$B$5,"Too few comparable growth records","Ready"))))</f>
        <v/>
      </c>
      <c r="M63" s="104" t="str">
        <f t="array" ref="M63">IF(A63="","",IFNA(INDEX('Growth inputs'!$J$6:$J$55,MATCH(A63,'Growth inputs'!$A$6:$A$55,0)),"n.a."))</f>
        <v/>
      </c>
      <c r="N63" s="93" t="str">
        <f t="array" ref="N63">IF(A63="","",IF(ISNUMBER(G63),100*(IFNA(INDEX('Growth inputs'!$L$6:$L$55,MATCH(A63,'Growth inputs'!$A$6:$A$55,0)),"n.a.")-IFNA(INDEX('Growth inputs'!$K$6:$K$55,MATCH(A63,'Growth inputs'!$A$6:$A$55,0)),"n.a."))/IFNA(INDEX('Growth inputs'!$F$6:$F$55,MATCH(A63,'Growth inputs'!$A$6:$A$55,0)),"n.a."),"n.a."))</f>
        <v/>
      </c>
      <c r="O63" s="100" t="str">
        <f t="array" ref="O63">IF(A63="","",IF(AND(ISNUMBER(G63),ISNUMBER(IFNA(INDEX('Growth inputs'!$T$6:$T$55,MATCH(A63,'Growth inputs'!$A$6:$A$55,0)),"n.a.")),IFNA(INDEX('Growth inputs'!$U$6:$U$55,MATCH(A63,'Growth inputs'!$A$6:$A$55,0)),"n.a.")&lt;&gt;""),G63-IFNA(INDEX('Growth inputs'!$T$6:$T$55,MATCH(A63,'Growth inputs'!$A$6:$A$55,0)),"n.a."),"n.a."))</f>
        <v/>
      </c>
      <c r="P63" s="93" t="str">
        <f t="shared" si="5"/>
        <v/>
      </c>
      <c r="Q63" s="93">
        <f t="array" ref="Q63">IF(A63="",0,IFERROR(IF(AND(COUNTIF('Growth inputs'!$A$6:$A$55,A63)=1,IFNA(INDEX('Growth inputs'!$W$6:$W$55,MATCH(A63,'Growth inputs'!$A$6:$A$55,0)),"n.a.")=1,COUNT(F63:G63)=2),1,0),0))</f>
        <v>0</v>
      </c>
      <c r="R63" s="104" t="str">
        <f t="array" ref="R63">IF(A63="","",IFNA(INDEX('Growth inputs'!$E$6:$E$55,MATCH(A63,'Growth inputs'!$A$6:$A$55,0)),"n.a."))</f>
        <v/>
      </c>
    </row>
    <row r="64">
      <c r="A64" s="93" t="str">
        <f>IF(Companies!A55="","",Companies!A55)</f>
        <v/>
      </c>
      <c r="B64" s="93" t="str">
        <f>IF(A64="","",Companies!C55)</f>
        <v/>
      </c>
      <c r="C64" s="93" t="str">
        <f t="array" ref="C64">IF(A64="","",IFNA(INDEX('Growth inputs'!$C$6:$C$55,MATCH(A64,'Growth inputs'!$A$6:$A$55,0)),"n.a."))</f>
        <v/>
      </c>
      <c r="D64" s="93" t="str">
        <f t="array" ref="D64">IF(A64="","",IFNA(INDEX('Growth inputs'!$R$6:$R$55,MATCH(A64,'Growth inputs'!$A$6:$A$55,0)),"n.a."))</f>
        <v/>
      </c>
      <c r="E64" s="93" t="str">
        <f t="array" ref="E64">IF(A64="","",IFNA(INDEX('Growth inputs'!$D$6:$D$55,MATCH(A64,'Growth inputs'!$A$6:$A$55,0)),"n.a."))</f>
        <v/>
      </c>
      <c r="F64" s="100" t="str">
        <f t="array" ref="F64">IF(A64="","",IF(COUNTIF('Growth inputs'!$A$6:$A$55,A64)&lt;&gt;1,"n.a.",IF(AND(COUNT(IFNA(INDEX('Growth inputs'!$F$6:$F$55,MATCH(A64,'Growth inputs'!$A$6:$A$55,0)),"n.a."),IFNA(INDEX('Growth inputs'!$H$6:$H$55,MATCH(A64,'Growth inputs'!$A$6:$A$55,0)),"n.a."))=2,IFNA(INDEX('Growth inputs'!$F$6:$F$55,MATCH(A64,'Growth inputs'!$A$6:$A$55,0)),"n.a.")&gt;0,IFNA(INDEX('Growth inputs'!$H$6:$H$55,MATCH(A64,'Growth inputs'!$A$6:$A$55,0)),"n.a.")&gt;0,IFNA(INDEX('Growth inputs'!$D$6:$D$55,MATCH(A64,'Growth inputs'!$A$6:$A$55,0)),"n.a.")=IFNA(INDEX('Growth inputs'!$Z$6:$Z$55,MATCH(A64,'Growth inputs'!$A$6:$A$55,0)),"n.a."),IFNA(INDEX('Growth inputs'!$AB$6:$AB$55,MATCH(A64,'Growth inputs'!$A$6:$A$55,0)),"n.a.")="Yes"),(IFNA(INDEX('Growth inputs'!$F$6:$F$55,MATCH(A64,'Growth inputs'!$A$6:$A$55,0)),"n.a.")/IFNA(INDEX('Growth inputs'!$H$6:$H$55,MATCH(A64,'Growth inputs'!$A$6:$A$55,0)),"n.a."))^(1/3)-1,"n.a.")))</f>
        <v/>
      </c>
      <c r="G64" s="100" t="str">
        <f t="array" ref="G64">IF(A64="","",IF(COUNTIF('Growth inputs'!$A$6:$A$55,A64)&lt;&gt;1,"n.a.",IF(AND(COUNT(IFNA(INDEX('Growth inputs'!$K$6:$K$55,MATCH(A64,'Growth inputs'!$A$6:$A$55,0)),"n.a."),IFNA(INDEX('Growth inputs'!$L$6:$L$55,MATCH(A64,'Growth inputs'!$A$6:$A$55,0)),"n.a."),IFNA(INDEX('Growth inputs'!$F$6:$F$55,MATCH(A64,'Growth inputs'!$A$6:$A$55,0)),"n.a."))=3,IFNA(INDEX('Growth inputs'!$F$6:$F$55,MATCH(A64,'Growth inputs'!$A$6:$A$55,0)),"n.a.")&gt;0,IFNA(INDEX('Growth inputs'!$K$6:$K$55,MATCH(A64,'Growth inputs'!$A$6:$A$55,0)),"n.a.")&lt;=IFNA(INDEX('Growth inputs'!$L$6:$L$55,MATCH(A64,'Growth inputs'!$A$6:$A$55,0)),"n.a."),IFNA(INDEX('Growth inputs'!$D$6:$D$55,MATCH(A64,'Growth inputs'!$A$6:$A$55,0)),"n.a.")=IFNA(INDEX('Growth inputs'!$Y$6:$Y$55,MATCH(A64,'Growth inputs'!$A$6:$A$55,0)),"n.a."),IFNA(INDEX('Growth inputs'!$N$6:$N$55,MATCH(A64,'Growth inputs'!$A$6:$A$55,0)),"n.a.")&lt;&gt;"",IFNA(INDEX('Growth inputs'!$P$6:$P$55,MATCH(A64,'Growth inputs'!$A$6:$A$55,0)),"n.a.")&lt;&gt;"",ISNUMBER(IFNA(INDEX('Growth inputs'!$M$6:$M$55,MATCH(A64,'Growth inputs'!$A$6:$A$55,0)),"n.a.")),IFNA(INDEX('Growth inputs'!$M$6:$M$55,MATCH(A64,'Growth inputs'!$A$6:$A$55,0)),"n.a.")&lt;=Rules!$B$6,ISNUMBER(IFNA(INDEX('Growth inputs'!$I$6:$I$55,MATCH(A64,'Growth inputs'!$A$6:$A$55,0)),"n.a.")),IFNA(INDEX('Growth inputs'!$I$6:$I$55,MATCH(A64,'Growth inputs'!$A$6:$A$55,0)),"n.a.")&lt;=Rules!$B$6),AVERAGE(IFNA(INDEX('Growth inputs'!$K$6:$K$55,MATCH(A64,'Growth inputs'!$A$6:$A$55,0)),"n.a."),IFNA(INDEX('Growth inputs'!$L$6:$L$55,MATCH(A64,'Growth inputs'!$A$6:$A$55,0)),"n.a."))/IFNA(INDEX('Growth inputs'!$F$6:$F$55,MATCH(A64,'Growth inputs'!$A$6:$A$55,0)),"n.a.")-1,"n.a.")))</f>
        <v/>
      </c>
      <c r="H64" s="101" t="str">
        <f t="shared" si="1"/>
        <v/>
      </c>
      <c r="I64" s="101" t="str">
        <f t="shared" si="2"/>
        <v/>
      </c>
      <c r="J64" s="101" t="str">
        <f t="shared" si="3"/>
        <v/>
      </c>
      <c r="K64" s="93" t="str">
        <f t="shared" si="4"/>
        <v/>
      </c>
      <c r="L64" s="93" t="str">
        <f t="array" ref="L64">IF(A64="","",IF(Q64&lt;&gt;1,IFNA(INDEX('Growth inputs'!$X$6:$X$55,MATCH(A64,'Growth inputs'!$A$6:$A$55,0)),"n.a."),IF($B$9&lt;&gt;"Ready",$B$9,IF(K64&lt;$B$5,"Too few comparable growth records","Ready"))))</f>
        <v/>
      </c>
      <c r="M64" s="104" t="str">
        <f t="array" ref="M64">IF(A64="","",IFNA(INDEX('Growth inputs'!$J$6:$J$55,MATCH(A64,'Growth inputs'!$A$6:$A$55,0)),"n.a."))</f>
        <v/>
      </c>
      <c r="N64" s="93" t="str">
        <f t="array" ref="N64">IF(A64="","",IF(ISNUMBER(G64),100*(IFNA(INDEX('Growth inputs'!$L$6:$L$55,MATCH(A64,'Growth inputs'!$A$6:$A$55,0)),"n.a.")-IFNA(INDEX('Growth inputs'!$K$6:$K$55,MATCH(A64,'Growth inputs'!$A$6:$A$55,0)),"n.a."))/IFNA(INDEX('Growth inputs'!$F$6:$F$55,MATCH(A64,'Growth inputs'!$A$6:$A$55,0)),"n.a."),"n.a."))</f>
        <v/>
      </c>
      <c r="O64" s="100" t="str">
        <f t="array" ref="O64">IF(A64="","",IF(AND(ISNUMBER(G64),ISNUMBER(IFNA(INDEX('Growth inputs'!$T$6:$T$55,MATCH(A64,'Growth inputs'!$A$6:$A$55,0)),"n.a.")),IFNA(INDEX('Growth inputs'!$U$6:$U$55,MATCH(A64,'Growth inputs'!$A$6:$A$55,0)),"n.a.")&lt;&gt;""),G64-IFNA(INDEX('Growth inputs'!$T$6:$T$55,MATCH(A64,'Growth inputs'!$A$6:$A$55,0)),"n.a."),"n.a."))</f>
        <v/>
      </c>
      <c r="P64" s="93" t="str">
        <f t="shared" si="5"/>
        <v/>
      </c>
      <c r="Q64" s="93">
        <f t="array" ref="Q64">IF(A64="",0,IFERROR(IF(AND(COUNTIF('Growth inputs'!$A$6:$A$55,A64)=1,IFNA(INDEX('Growth inputs'!$W$6:$W$55,MATCH(A64,'Growth inputs'!$A$6:$A$55,0)),"n.a.")=1,COUNT(F64:G64)=2),1,0),0))</f>
        <v>0</v>
      </c>
      <c r="R64" s="104" t="str">
        <f t="array" ref="R64">IF(A64="","",IFNA(INDEX('Growth inputs'!$E$6:$E$55,MATCH(A64,'Growth inputs'!$A$6:$A$55,0)),"n.a."))</f>
        <v/>
      </c>
    </row>
    <row r="78">
      <c r="A78" s="120" t="s">
        <v>1143</v>
      </c>
      <c r="B78" s="120" t="s">
        <v>1144</v>
      </c>
      <c r="C78" s="120" t="s">
        <v>1145</v>
      </c>
      <c r="D78" s="120" t="s">
        <v>1146</v>
      </c>
      <c r="E78" s="120" t="s">
        <v>1147</v>
      </c>
      <c r="F78" s="120" t="s">
        <v>757</v>
      </c>
      <c r="G78" s="120" t="s">
        <v>1148</v>
      </c>
    </row>
    <row r="79">
      <c r="A79" s="121" t="s">
        <v>1149</v>
      </c>
      <c r="B79" s="121">
        <v>12.0</v>
      </c>
      <c r="C79" s="122">
        <v>1.0581916697619802</v>
      </c>
      <c r="D79" s="122">
        <v>1.181176374211494</v>
      </c>
      <c r="E79" s="123">
        <v>0.11622157683132862</v>
      </c>
      <c r="F79" s="121" t="s">
        <v>1150</v>
      </c>
      <c r="G79" s="121" t="s">
        <v>1151</v>
      </c>
    </row>
    <row r="80">
      <c r="A80" s="121" t="s">
        <v>1152</v>
      </c>
      <c r="B80" s="121">
        <v>14.0</v>
      </c>
      <c r="C80" s="122">
        <v>1.2160916069727183</v>
      </c>
      <c r="D80" s="122">
        <v>1.3215070679294445</v>
      </c>
      <c r="E80" s="123">
        <v>0.08668381588385632</v>
      </c>
      <c r="F80" s="121" t="s">
        <v>1153</v>
      </c>
      <c r="G80" s="121" t="s">
        <v>1154</v>
      </c>
    </row>
  </sheetData>
  <mergeCells count="2">
    <mergeCell ref="C3:O3"/>
    <mergeCell ref="C12:O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25.13"/>
    <col customWidth="1" min="3" max="3" width="35.13"/>
    <col customWidth="1" min="4" max="5" width="18.88"/>
    <col customWidth="1" min="6" max="6" width="20.5"/>
    <col customWidth="1" min="7" max="10" width="18.88"/>
    <col customWidth="1" min="11" max="11" width="19.13"/>
    <col customWidth="1" min="12" max="12" width="19.75"/>
    <col customWidth="1" min="13" max="13" width="18.88"/>
    <col customWidth="1" min="14" max="16" width="35.13"/>
    <col customWidth="1" min="17" max="18" width="18.88"/>
    <col customWidth="1" min="19" max="19" width="35.13"/>
    <col customWidth="1" min="20" max="20" width="19.0"/>
    <col customWidth="1" min="21" max="21" width="35.13"/>
    <col customWidth="1" min="22" max="22" width="19.0"/>
    <col customWidth="1" min="23" max="23" width="20.75"/>
    <col customWidth="1" min="24" max="24" width="35.13"/>
    <col customWidth="1" min="25" max="28" width="18.8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>
      <c r="A2" s="94" t="s">
        <v>704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</row>
    <row r="3" ht="30.0" customHeight="1">
      <c r="A3" s="93"/>
      <c r="B3" s="93"/>
      <c r="C3" s="95" t="s">
        <v>972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</row>
    <row r="5" ht="55.5" customHeight="1">
      <c r="A5" s="102" t="s">
        <v>139</v>
      </c>
      <c r="B5" s="102" t="s">
        <v>141</v>
      </c>
      <c r="C5" s="102" t="s">
        <v>959</v>
      </c>
      <c r="D5" s="102" t="s">
        <v>973</v>
      </c>
      <c r="E5" s="102" t="s">
        <v>974</v>
      </c>
      <c r="F5" s="102" t="s">
        <v>975</v>
      </c>
      <c r="G5" s="102" t="s">
        <v>976</v>
      </c>
      <c r="H5" s="102" t="s">
        <v>977</v>
      </c>
      <c r="I5" s="102" t="s">
        <v>978</v>
      </c>
      <c r="J5" s="102" t="s">
        <v>979</v>
      </c>
      <c r="K5" s="102" t="s">
        <v>980</v>
      </c>
      <c r="L5" s="102" t="s">
        <v>981</v>
      </c>
      <c r="M5" s="102" t="s">
        <v>982</v>
      </c>
      <c r="N5" s="102" t="s">
        <v>983</v>
      </c>
      <c r="O5" s="102" t="s">
        <v>984</v>
      </c>
      <c r="P5" s="102" t="s">
        <v>985</v>
      </c>
      <c r="Q5" s="102" t="s">
        <v>986</v>
      </c>
      <c r="R5" s="102" t="s">
        <v>895</v>
      </c>
      <c r="S5" s="102" t="s">
        <v>987</v>
      </c>
      <c r="T5" s="102" t="s">
        <v>988</v>
      </c>
      <c r="U5" s="102" t="s">
        <v>989</v>
      </c>
      <c r="V5" s="102" t="s">
        <v>990</v>
      </c>
      <c r="W5" s="102" t="s">
        <v>991</v>
      </c>
      <c r="X5" s="102" t="s">
        <v>290</v>
      </c>
      <c r="Y5" s="102" t="s">
        <v>992</v>
      </c>
      <c r="Z5" s="102" t="s">
        <v>993</v>
      </c>
      <c r="AA5" s="102" t="s">
        <v>994</v>
      </c>
      <c r="AB5" s="102" t="s">
        <v>995</v>
      </c>
    </row>
    <row r="6" ht="22.5" customHeight="1">
      <c r="A6" s="103" t="s">
        <v>291</v>
      </c>
      <c r="B6" s="105" t="str">
        <f t="array" ref="B6">IF(A6="","",IF(COUNTIF(Companies!$A$6:$A$55,A6)&lt;&gt;1,"Unmapped issuer",INDEX(Companies!$C$6:$C$55,MATCH(A6,Companies!$A$6:$A$55,0))))</f>
        <v>ExxonMobil</v>
      </c>
      <c r="C6" s="103" t="s">
        <v>295</v>
      </c>
      <c r="D6" s="106" t="s">
        <v>189</v>
      </c>
      <c r="E6" s="107">
        <v>46022.0</v>
      </c>
      <c r="F6" s="108">
        <v>6.99</v>
      </c>
      <c r="G6" s="107"/>
      <c r="H6" s="109"/>
      <c r="I6" s="107">
        <v>46052.0</v>
      </c>
      <c r="J6" s="107"/>
      <c r="K6" s="109"/>
      <c r="L6" s="109"/>
      <c r="M6" s="107"/>
      <c r="N6" s="103" t="s">
        <v>996</v>
      </c>
      <c r="O6" s="103"/>
      <c r="P6" s="103" t="s">
        <v>997</v>
      </c>
      <c r="Q6" s="106" t="s">
        <v>59</v>
      </c>
      <c r="R6" s="106" t="s">
        <v>998</v>
      </c>
      <c r="S6" s="103" t="s">
        <v>999</v>
      </c>
      <c r="T6" s="110"/>
      <c r="U6" s="103"/>
      <c r="V6" s="111">
        <f t="shared" ref="V6:V55" si="1">IF(A6="","",COUNTIF($A$6:$A$55,A6))</f>
        <v>1</v>
      </c>
      <c r="W6" s="111">
        <f t="array" ref="W6">IF(A6="",0,IFERROR(IF(AND(V6=1,COUNTIF(Companies!$A$6:$A$55,A6)=1,INDEX(Companies!$R$6:$R$55,MATCH(A6,Companies!$A$6:$A$55,0))=1,INDEX(Companies!$I$6:$I$55,MATCH(A6,Companies!$A$6:$A$55,0))&gt;=MAX(10,Rules!$B$22),C6&lt;&gt;"",D6=Y6,D6=Z6,OR(D6="Reported",D6="Adjusted",D6="Operating",D6="Core"),OR(R6="US GAAP",R6="IFRS"),Q6="Yes",AB6="Yes",COUNT(E6:I6)=5,F6&gt;0,H6&gt;0,E6&lt;=Rules!$B$6,Rules!$B$6-E6&lt;=Growth!$B$7,I6&gt;=E6,I6&lt;=Rules!$B$6,ABS(G6-EDATE(E6,-36))&lt;=31,ISNUMBER(AA6),AA6&gt;=G6,AA6&lt;=Rules!$B$6,COUNT(J6:M6)=4,J6&gt;Rules!$B$6,ABS(J6-EDATE(E6,12))&lt;=31,K6&lt;=L6,M6&gt;=E6,M6&lt;=Rules!$B$6,Rules!$B$6-M6&lt;=Growth!$B$6,N6&lt;&gt;"",O6&lt;&gt;"",P6&lt;&gt;"",S6&lt;&gt;""),1,0),0))</f>
        <v>0</v>
      </c>
      <c r="X6" s="105" t="str">
        <f t="array" ref="X6">IF(A6="","",IF(V6&lt;&gt;1,"Duplicate growth record",IF(COUNTIF(Companies!$A$6:$A$55,A6)&lt;&gt;1,"Map issuer",IF(INDEX(Companies!$R$6:$R$55,MATCH(A6,Companies!$A$6:$A$55,0))&lt;&gt;1,"Outside selected/approved universe",IF(COUNT(K6:L6)&lt;&gt;2,"Annual EPS guidance missing",IF(OR(Q6&lt;&gt;"Yes",AB6&lt;&gt;"Yes"),"Review scope/basis/history",IF(W6=1,"Ready","Check dates, positive EPS bases and source fields")))))))</f>
        <v>Outside selected/approved universe</v>
      </c>
      <c r="Y6" s="106"/>
      <c r="Z6" s="106"/>
      <c r="AA6" s="107"/>
      <c r="AB6" s="106" t="s">
        <v>59</v>
      </c>
    </row>
    <row r="7" ht="22.5" customHeight="1">
      <c r="A7" s="103" t="s">
        <v>298</v>
      </c>
      <c r="B7" s="105" t="str">
        <f t="array" ref="B7">IF(A7="","",IF(COUNTIF(Companies!$A$6:$A$55,A7)&lt;&gt;1,"Unmapped issuer",INDEX(Companies!$C$6:$C$55,MATCH(A7,Companies!$A$6:$A$55,0))))</f>
        <v>Johnson &amp; Johnson</v>
      </c>
      <c r="C7" s="103" t="s">
        <v>302</v>
      </c>
      <c r="D7" s="106" t="s">
        <v>189</v>
      </c>
      <c r="E7" s="107">
        <v>46019.0</v>
      </c>
      <c r="F7" s="108">
        <v>10.79</v>
      </c>
      <c r="G7" s="107"/>
      <c r="H7" s="109"/>
      <c r="I7" s="107">
        <v>46043.0</v>
      </c>
      <c r="J7" s="107"/>
      <c r="K7" s="108">
        <v>11.6</v>
      </c>
      <c r="L7" s="108">
        <v>11.75</v>
      </c>
      <c r="M7" s="107">
        <v>46218.0</v>
      </c>
      <c r="N7" s="103" t="s">
        <v>1000</v>
      </c>
      <c r="O7" s="103"/>
      <c r="P7" s="103" t="s">
        <v>1001</v>
      </c>
      <c r="Q7" s="106" t="s">
        <v>59</v>
      </c>
      <c r="R7" s="106" t="s">
        <v>998</v>
      </c>
      <c r="S7" s="103" t="s">
        <v>1002</v>
      </c>
      <c r="T7" s="110"/>
      <c r="U7" s="103"/>
      <c r="V7" s="111">
        <f t="shared" si="1"/>
        <v>1</v>
      </c>
      <c r="W7" s="111">
        <f t="array" ref="W7">IF(A7="",0,IFERROR(IF(AND(V7=1,COUNTIF(Companies!$A$6:$A$55,A7)=1,INDEX(Companies!$R$6:$R$55,MATCH(A7,Companies!$A$6:$A$55,0))=1,INDEX(Companies!$I$6:$I$55,MATCH(A7,Companies!$A$6:$A$55,0))&gt;=MAX(10,Rules!$B$22),C7&lt;&gt;"",D7=Y7,D7=Z7,OR(D7="Reported",D7="Adjusted",D7="Operating",D7="Core"),OR(R7="US GAAP",R7="IFRS"),Q7="Yes",AB7="Yes",COUNT(E7:I7)=5,F7&gt;0,H7&gt;0,E7&lt;=Rules!$B$6,Rules!$B$6-E7&lt;=Growth!$B$7,I7&gt;=E7,I7&lt;=Rules!$B$6,ABS(G7-EDATE(E7,-36))&lt;=31,ISNUMBER(AA7),AA7&gt;=G7,AA7&lt;=Rules!$B$6,COUNT(J7:M7)=4,J7&gt;Rules!$B$6,ABS(J7-EDATE(E7,12))&lt;=31,K7&lt;=L7,M7&gt;=E7,M7&lt;=Rules!$B$6,Rules!$B$6-M7&lt;=Growth!$B$6,N7&lt;&gt;"",O7&lt;&gt;"",P7&lt;&gt;"",S7&lt;&gt;""),1,0),0))</f>
        <v>0</v>
      </c>
      <c r="X7" s="105" t="str">
        <f t="array" ref="X7">IF(A7="","",IF(V7&lt;&gt;1,"Duplicate growth record",IF(COUNTIF(Companies!$A$6:$A$55,A7)&lt;&gt;1,"Map issuer",IF(INDEX(Companies!$R$6:$R$55,MATCH(A7,Companies!$A$6:$A$55,0))&lt;&gt;1,"Outside selected/approved universe",IF(COUNT(K7:L7)&lt;&gt;2,"Annual EPS guidance missing",IF(OR(Q7&lt;&gt;"Yes",AB7&lt;&gt;"Yes"),"Review scope/basis/history",IF(W7=1,"Ready","Check dates, positive EPS bases and source fields")))))))</f>
        <v>Outside selected/approved universe</v>
      </c>
      <c r="Y7" s="106" t="s">
        <v>189</v>
      </c>
      <c r="Z7" s="106"/>
      <c r="AA7" s="107"/>
      <c r="AB7" s="106" t="s">
        <v>59</v>
      </c>
    </row>
    <row r="8" ht="22.5" customHeight="1">
      <c r="A8" s="103" t="s">
        <v>304</v>
      </c>
      <c r="B8" s="105" t="str">
        <f t="array" ref="B8">IF(A8="","",IF(COUNTIF(Companies!$A$6:$A$55,A8)&lt;&gt;1,"Unmapped issuer",INDEX(Companies!$C$6:$C$55,MATCH(A8,Companies!$A$6:$A$55,0))))</f>
        <v>Procter &amp; Gamble</v>
      </c>
      <c r="C8" s="103" t="s">
        <v>308</v>
      </c>
      <c r="D8" s="106" t="s">
        <v>1003</v>
      </c>
      <c r="E8" s="107">
        <v>46203.0</v>
      </c>
      <c r="F8" s="108">
        <v>6.89</v>
      </c>
      <c r="G8" s="107"/>
      <c r="H8" s="109"/>
      <c r="I8" s="107">
        <v>46232.0</v>
      </c>
      <c r="J8" s="107"/>
      <c r="K8" s="108">
        <v>6.89</v>
      </c>
      <c r="L8" s="108">
        <v>7.11</v>
      </c>
      <c r="M8" s="107">
        <v>46232.0</v>
      </c>
      <c r="N8" s="103" t="s">
        <v>1004</v>
      </c>
      <c r="O8" s="103"/>
      <c r="P8" s="103" t="s">
        <v>1004</v>
      </c>
      <c r="Q8" s="106" t="s">
        <v>59</v>
      </c>
      <c r="R8" s="106" t="s">
        <v>998</v>
      </c>
      <c r="S8" s="103" t="s">
        <v>1005</v>
      </c>
      <c r="T8" s="110"/>
      <c r="U8" s="103"/>
      <c r="V8" s="111">
        <f t="shared" si="1"/>
        <v>1</v>
      </c>
      <c r="W8" s="111">
        <f t="array" ref="W8">IF(A8="",0,IFERROR(IF(AND(V8=1,COUNTIF(Companies!$A$6:$A$55,A8)=1,INDEX(Companies!$R$6:$R$55,MATCH(A8,Companies!$A$6:$A$55,0))=1,INDEX(Companies!$I$6:$I$55,MATCH(A8,Companies!$A$6:$A$55,0))&gt;=MAX(10,Rules!$B$22),C8&lt;&gt;"",D8=Y8,D8=Z8,OR(D8="Reported",D8="Adjusted",D8="Operating",D8="Core"),OR(R8="US GAAP",R8="IFRS"),Q8="Yes",AB8="Yes",COUNT(E8:I8)=5,F8&gt;0,H8&gt;0,E8&lt;=Rules!$B$6,Rules!$B$6-E8&lt;=Growth!$B$7,I8&gt;=E8,I8&lt;=Rules!$B$6,ABS(G8-EDATE(E8,-36))&lt;=31,ISNUMBER(AA8),AA8&gt;=G8,AA8&lt;=Rules!$B$6,COUNT(J8:M8)=4,J8&gt;Rules!$B$6,ABS(J8-EDATE(E8,12))&lt;=31,K8&lt;=L8,M8&gt;=E8,M8&lt;=Rules!$B$6,Rules!$B$6-M8&lt;=Growth!$B$6,N8&lt;&gt;"",O8&lt;&gt;"",P8&lt;&gt;"",S8&lt;&gt;""),1,0),0))</f>
        <v>0</v>
      </c>
      <c r="X8" s="105" t="str">
        <f t="array" ref="X8">IF(A8="","",IF(V8&lt;&gt;1,"Duplicate growth record",IF(COUNTIF(Companies!$A$6:$A$55,A8)&lt;&gt;1,"Map issuer",IF(INDEX(Companies!$R$6:$R$55,MATCH(A8,Companies!$A$6:$A$55,0))&lt;&gt;1,"Outside selected/approved universe",IF(COUNT(K8:L8)&lt;&gt;2,"Annual EPS guidance missing",IF(OR(Q8&lt;&gt;"Yes",AB8&lt;&gt;"Yes"),"Review scope/basis/history",IF(W8=1,"Ready","Check dates, positive EPS bases and source fields")))))))</f>
        <v>Outside selected/approved universe</v>
      </c>
      <c r="Y8" s="106" t="s">
        <v>1003</v>
      </c>
      <c r="Z8" s="106"/>
      <c r="AA8" s="107"/>
      <c r="AB8" s="106" t="s">
        <v>59</v>
      </c>
    </row>
    <row r="9" ht="22.5" customHeight="1">
      <c r="A9" s="103" t="s">
        <v>310</v>
      </c>
      <c r="B9" s="105" t="str">
        <f t="array" ref="B9">IF(A9="","",IF(COUNTIF(Companies!$A$6:$A$55,A9)&lt;&gt;1,"Unmapped issuer",INDEX(Companies!$C$6:$C$55,MATCH(A9,Companies!$A$6:$A$55,0))))</f>
        <v>Home Depot</v>
      </c>
      <c r="C9" s="103" t="s">
        <v>314</v>
      </c>
      <c r="D9" s="106" t="s">
        <v>189</v>
      </c>
      <c r="E9" s="107">
        <v>46054.0</v>
      </c>
      <c r="F9" s="108">
        <v>14.69</v>
      </c>
      <c r="G9" s="107"/>
      <c r="H9" s="109"/>
      <c r="I9" s="107">
        <v>46077.0</v>
      </c>
      <c r="J9" s="107"/>
      <c r="K9" s="108">
        <v>14.69</v>
      </c>
      <c r="L9" s="108">
        <v>15.2776</v>
      </c>
      <c r="M9" s="107">
        <v>46252.0</v>
      </c>
      <c r="N9" s="103" t="s">
        <v>1006</v>
      </c>
      <c r="O9" s="103"/>
      <c r="P9" s="103" t="s">
        <v>1007</v>
      </c>
      <c r="Q9" s="106" t="s">
        <v>59</v>
      </c>
      <c r="R9" s="106" t="s">
        <v>998</v>
      </c>
      <c r="S9" s="103" t="s">
        <v>1008</v>
      </c>
      <c r="T9" s="110"/>
      <c r="U9" s="103"/>
      <c r="V9" s="111">
        <f t="shared" si="1"/>
        <v>1</v>
      </c>
      <c r="W9" s="111">
        <f t="array" ref="W9">IF(A9="",0,IFERROR(IF(AND(V9=1,COUNTIF(Companies!$A$6:$A$55,A9)=1,INDEX(Companies!$R$6:$R$55,MATCH(A9,Companies!$A$6:$A$55,0))=1,INDEX(Companies!$I$6:$I$55,MATCH(A9,Companies!$A$6:$A$55,0))&gt;=MAX(10,Rules!$B$22),C9&lt;&gt;"",D9=Y9,D9=Z9,OR(D9="Reported",D9="Adjusted",D9="Operating",D9="Core"),OR(R9="US GAAP",R9="IFRS"),Q9="Yes",AB9="Yes",COUNT(E9:I9)=5,F9&gt;0,H9&gt;0,E9&lt;=Rules!$B$6,Rules!$B$6-E9&lt;=Growth!$B$7,I9&gt;=E9,I9&lt;=Rules!$B$6,ABS(G9-EDATE(E9,-36))&lt;=31,ISNUMBER(AA9),AA9&gt;=G9,AA9&lt;=Rules!$B$6,COUNT(J9:M9)=4,J9&gt;Rules!$B$6,ABS(J9-EDATE(E9,12))&lt;=31,K9&lt;=L9,M9&gt;=E9,M9&lt;=Rules!$B$6,Rules!$B$6-M9&lt;=Growth!$B$6,N9&lt;&gt;"",O9&lt;&gt;"",P9&lt;&gt;"",S9&lt;&gt;""),1,0),0))</f>
        <v>0</v>
      </c>
      <c r="X9" s="105" t="str">
        <f t="array" ref="X9">IF(A9="","",IF(V9&lt;&gt;1,"Duplicate growth record",IF(COUNTIF(Companies!$A$6:$A$55,A9)&lt;&gt;1,"Map issuer",IF(INDEX(Companies!$R$6:$R$55,MATCH(A9,Companies!$A$6:$A$55,0))&lt;&gt;1,"Outside selected/approved universe",IF(COUNT(K9:L9)&lt;&gt;2,"Annual EPS guidance missing",IF(OR(Q9&lt;&gt;"Yes",AB9&lt;&gt;"Yes"),"Review scope/basis/history",IF(W9=1,"Ready","Check dates, positive EPS bases and source fields")))))))</f>
        <v>Outside selected/approved universe</v>
      </c>
      <c r="Y9" s="106" t="s">
        <v>189</v>
      </c>
      <c r="Z9" s="106"/>
      <c r="AA9" s="107"/>
      <c r="AB9" s="106" t="s">
        <v>59</v>
      </c>
    </row>
    <row r="10" ht="22.5" customHeight="1">
      <c r="A10" s="103" t="s">
        <v>316</v>
      </c>
      <c r="B10" s="105" t="str">
        <f t="array" ref="B10">IF(A10="","",IF(COUNTIF(Companies!$A$6:$A$55,A10)&lt;&gt;1,"Unmapped issuer",INDEX(Companies!$C$6:$C$55,MATCH(A10,Companies!$A$6:$A$55,0))))</f>
        <v>IBM</v>
      </c>
      <c r="C10" s="103" t="s">
        <v>319</v>
      </c>
      <c r="D10" s="106" t="s">
        <v>1009</v>
      </c>
      <c r="E10" s="107">
        <v>46022.0</v>
      </c>
      <c r="F10" s="108">
        <v>11.59</v>
      </c>
      <c r="G10" s="107"/>
      <c r="H10" s="109"/>
      <c r="I10" s="107">
        <v>46050.0</v>
      </c>
      <c r="J10" s="107"/>
      <c r="K10" s="109"/>
      <c r="L10" s="109"/>
      <c r="M10" s="107">
        <v>46225.0</v>
      </c>
      <c r="N10" s="103" t="s">
        <v>1010</v>
      </c>
      <c r="O10" s="103"/>
      <c r="P10" s="103" t="s">
        <v>1011</v>
      </c>
      <c r="Q10" s="106" t="s">
        <v>59</v>
      </c>
      <c r="R10" s="106" t="s">
        <v>998</v>
      </c>
      <c r="S10" s="103" t="s">
        <v>1012</v>
      </c>
      <c r="T10" s="110"/>
      <c r="U10" s="103"/>
      <c r="V10" s="111">
        <f t="shared" si="1"/>
        <v>1</v>
      </c>
      <c r="W10" s="111">
        <f t="array" ref="W10">IF(A10="",0,IFERROR(IF(AND(V10=1,COUNTIF(Companies!$A$6:$A$55,A10)=1,INDEX(Companies!$R$6:$R$55,MATCH(A10,Companies!$A$6:$A$55,0))=1,INDEX(Companies!$I$6:$I$55,MATCH(A10,Companies!$A$6:$A$55,0))&gt;=MAX(10,Rules!$B$22),C10&lt;&gt;"",D10=Y10,D10=Z10,OR(D10="Reported",D10="Adjusted",D10="Operating",D10="Core"),OR(R10="US GAAP",R10="IFRS"),Q10="Yes",AB10="Yes",COUNT(E10:I10)=5,F10&gt;0,H10&gt;0,E10&lt;=Rules!$B$6,Rules!$B$6-E10&lt;=Growth!$B$7,I10&gt;=E10,I10&lt;=Rules!$B$6,ABS(G10-EDATE(E10,-36))&lt;=31,ISNUMBER(AA10),AA10&gt;=G10,AA10&lt;=Rules!$B$6,COUNT(J10:M10)=4,J10&gt;Rules!$B$6,ABS(J10-EDATE(E10,12))&lt;=31,K10&lt;=L10,M10&gt;=E10,M10&lt;=Rules!$B$6,Rules!$B$6-M10&lt;=Growth!$B$6,N10&lt;&gt;"",O10&lt;&gt;"",P10&lt;&gt;"",S10&lt;&gt;""),1,0),0))</f>
        <v>0</v>
      </c>
      <c r="X10" s="105" t="str">
        <f t="array" ref="X10">IF(A10="","",IF(V10&lt;&gt;1,"Duplicate growth record",IF(COUNTIF(Companies!$A$6:$A$55,A10)&lt;&gt;1,"Map issuer",IF(INDEX(Companies!$R$6:$R$55,MATCH(A10,Companies!$A$6:$A$55,0))&lt;&gt;1,"Outside selected/approved universe",IF(COUNT(K10:L10)&lt;&gt;2,"Annual EPS guidance missing",IF(OR(Q10&lt;&gt;"Yes",AB10&lt;&gt;"Yes"),"Review scope/basis/history",IF(W10=1,"Ready","Check dates, positive EPS bases and source fields")))))))</f>
        <v>Outside selected/approved universe</v>
      </c>
      <c r="Y10" s="106"/>
      <c r="Z10" s="106"/>
      <c r="AA10" s="107"/>
      <c r="AB10" s="106" t="s">
        <v>59</v>
      </c>
    </row>
    <row r="11" ht="22.5" customHeight="1">
      <c r="A11" s="103" t="s">
        <v>321</v>
      </c>
      <c r="B11" s="105" t="str">
        <f t="array" ref="B11">IF(A11="","",IF(COUNTIF(Companies!$A$6:$A$55,A11)&lt;&gt;1,"Unmapped issuer",INDEX(Companies!$C$6:$C$55,MATCH(A11,Companies!$A$6:$A$55,0))))</f>
        <v>Verizon</v>
      </c>
      <c r="C11" s="103" t="s">
        <v>325</v>
      </c>
      <c r="D11" s="106" t="s">
        <v>189</v>
      </c>
      <c r="E11" s="107">
        <v>46022.0</v>
      </c>
      <c r="F11" s="108">
        <v>4.71</v>
      </c>
      <c r="G11" s="107"/>
      <c r="H11" s="109"/>
      <c r="I11" s="107">
        <v>46052.0</v>
      </c>
      <c r="J11" s="107"/>
      <c r="K11" s="108">
        <v>4.99</v>
      </c>
      <c r="L11" s="108">
        <v>5.04</v>
      </c>
      <c r="M11" s="107">
        <v>46227.0</v>
      </c>
      <c r="N11" s="103" t="s">
        <v>1013</v>
      </c>
      <c r="O11" s="103"/>
      <c r="P11" s="103" t="s">
        <v>1014</v>
      </c>
      <c r="Q11" s="106" t="s">
        <v>59</v>
      </c>
      <c r="R11" s="106" t="s">
        <v>998</v>
      </c>
      <c r="S11" s="103" t="s">
        <v>1015</v>
      </c>
      <c r="T11" s="110"/>
      <c r="U11" s="103"/>
      <c r="V11" s="111">
        <f t="shared" si="1"/>
        <v>1</v>
      </c>
      <c r="W11" s="111">
        <f t="array" ref="W11">IF(A11="",0,IFERROR(IF(AND(V11=1,COUNTIF(Companies!$A$6:$A$55,A11)=1,INDEX(Companies!$R$6:$R$55,MATCH(A11,Companies!$A$6:$A$55,0))=1,INDEX(Companies!$I$6:$I$55,MATCH(A11,Companies!$A$6:$A$55,0))&gt;=MAX(10,Rules!$B$22),C11&lt;&gt;"",D11=Y11,D11=Z11,OR(D11="Reported",D11="Adjusted",D11="Operating",D11="Core"),OR(R11="US GAAP",R11="IFRS"),Q11="Yes",AB11="Yes",COUNT(E11:I11)=5,F11&gt;0,H11&gt;0,E11&lt;=Rules!$B$6,Rules!$B$6-E11&lt;=Growth!$B$7,I11&gt;=E11,I11&lt;=Rules!$B$6,ABS(G11-EDATE(E11,-36))&lt;=31,ISNUMBER(AA11),AA11&gt;=G11,AA11&lt;=Rules!$B$6,COUNT(J11:M11)=4,J11&gt;Rules!$B$6,ABS(J11-EDATE(E11,12))&lt;=31,K11&lt;=L11,M11&gt;=E11,M11&lt;=Rules!$B$6,Rules!$B$6-M11&lt;=Growth!$B$6,N11&lt;&gt;"",O11&lt;&gt;"",P11&lt;&gt;"",S11&lt;&gt;""),1,0),0))</f>
        <v>0</v>
      </c>
      <c r="X11" s="105" t="str">
        <f t="array" ref="X11">IF(A11="","",IF(V11&lt;&gt;1,"Duplicate growth record",IF(COUNTIF(Companies!$A$6:$A$55,A11)&lt;&gt;1,"Map issuer",IF(INDEX(Companies!$R$6:$R$55,MATCH(A11,Companies!$A$6:$A$55,0))&lt;&gt;1,"Outside selected/approved universe",IF(COUNT(K11:L11)&lt;&gt;2,"Annual EPS guidance missing",IF(OR(Q11&lt;&gt;"Yes",AB11&lt;&gt;"Yes"),"Review scope/basis/history",IF(W11=1,"Ready","Check dates, positive EPS bases and source fields")))))))</f>
        <v>Outside selected/approved universe</v>
      </c>
      <c r="Y11" s="106" t="s">
        <v>189</v>
      </c>
      <c r="Z11" s="106"/>
      <c r="AA11" s="107"/>
      <c r="AB11" s="106" t="s">
        <v>59</v>
      </c>
    </row>
    <row r="12" ht="22.5" customHeight="1">
      <c r="A12" s="103" t="s">
        <v>327</v>
      </c>
      <c r="B12" s="105" t="str">
        <f t="array" ref="B12">IF(A12="","",IF(COUNTIF(Companies!$A$6:$A$55,A12)&lt;&gt;1,"Unmapped issuer",INDEX(Companies!$C$6:$C$55,MATCH(A12,Companies!$A$6:$A$55,0))))</f>
        <v>Honeywell Technologies</v>
      </c>
      <c r="C12" s="103" t="s">
        <v>331</v>
      </c>
      <c r="D12" s="106" t="s">
        <v>189</v>
      </c>
      <c r="E12" s="107">
        <v>46022.0</v>
      </c>
      <c r="F12" s="108">
        <v>6.46</v>
      </c>
      <c r="G12" s="107"/>
      <c r="H12" s="109"/>
      <c r="I12" s="107">
        <v>46226.0</v>
      </c>
      <c r="J12" s="107"/>
      <c r="K12" s="108">
        <v>8.05</v>
      </c>
      <c r="L12" s="108">
        <v>8.35</v>
      </c>
      <c r="M12" s="107">
        <v>46226.0</v>
      </c>
      <c r="N12" s="103" t="s">
        <v>1016</v>
      </c>
      <c r="O12" s="103"/>
      <c r="P12" s="103" t="s">
        <v>1016</v>
      </c>
      <c r="Q12" s="106" t="s">
        <v>59</v>
      </c>
      <c r="R12" s="106" t="s">
        <v>998</v>
      </c>
      <c r="S12" s="103" t="s">
        <v>1017</v>
      </c>
      <c r="T12" s="110"/>
      <c r="U12" s="103"/>
      <c r="V12" s="111">
        <f t="shared" si="1"/>
        <v>1</v>
      </c>
      <c r="W12" s="111">
        <f t="array" ref="W12">IF(A12="",0,IFERROR(IF(AND(V12=1,COUNTIF(Companies!$A$6:$A$55,A12)=1,INDEX(Companies!$R$6:$R$55,MATCH(A12,Companies!$A$6:$A$55,0))=1,INDEX(Companies!$I$6:$I$55,MATCH(A12,Companies!$A$6:$A$55,0))&gt;=MAX(10,Rules!$B$22),C12&lt;&gt;"",D12=Y12,D12=Z12,OR(D12="Reported",D12="Adjusted",D12="Operating",D12="Core"),OR(R12="US GAAP",R12="IFRS"),Q12="Yes",AB12="Yes",COUNT(E12:I12)=5,F12&gt;0,H12&gt;0,E12&lt;=Rules!$B$6,Rules!$B$6-E12&lt;=Growth!$B$7,I12&gt;=E12,I12&lt;=Rules!$B$6,ABS(G12-EDATE(E12,-36))&lt;=31,ISNUMBER(AA12),AA12&gt;=G12,AA12&lt;=Rules!$B$6,COUNT(J12:M12)=4,J12&gt;Rules!$B$6,ABS(J12-EDATE(E12,12))&lt;=31,K12&lt;=L12,M12&gt;=E12,M12&lt;=Rules!$B$6,Rules!$B$6-M12&lt;=Growth!$B$6,N12&lt;&gt;"",O12&lt;&gt;"",P12&lt;&gt;"",S12&lt;&gt;""),1,0),0))</f>
        <v>0</v>
      </c>
      <c r="X12" s="105" t="str">
        <f t="array" ref="X12">IF(A12="","",IF(V12&lt;&gt;1,"Duplicate growth record",IF(COUNTIF(Companies!$A$6:$A$55,A12)&lt;&gt;1,"Map issuer",IF(INDEX(Companies!$R$6:$R$55,MATCH(A12,Companies!$A$6:$A$55,0))&lt;&gt;1,"Outside selected/approved universe",IF(COUNT(K12:L12)&lt;&gt;2,"Annual EPS guidance missing",IF(OR(Q12&lt;&gt;"Yes",AB12&lt;&gt;"Yes"),"Review scope/basis/history",IF(W12=1,"Ready","Check dates, positive EPS bases and source fields")))))))</f>
        <v>Outside selected/approved universe</v>
      </c>
      <c r="Y12" s="106" t="s">
        <v>189</v>
      </c>
      <c r="Z12" s="106"/>
      <c r="AA12" s="107"/>
      <c r="AB12" s="106" t="s">
        <v>59</v>
      </c>
    </row>
    <row r="13" ht="22.5" customHeight="1">
      <c r="A13" s="103" t="s">
        <v>333</v>
      </c>
      <c r="B13" s="105" t="str">
        <f t="array" ref="B13">IF(A13="","",IF(COUNTIF(Companies!$A$6:$A$55,A13)&lt;&gt;1,"Unmapped issuer",INDEX(Companies!$C$6:$C$55,MATCH(A13,Companies!$A$6:$A$55,0))))</f>
        <v>Sherwin-Williams</v>
      </c>
      <c r="C13" s="103" t="s">
        <v>337</v>
      </c>
      <c r="D13" s="106" t="s">
        <v>189</v>
      </c>
      <c r="E13" s="107">
        <v>46022.0</v>
      </c>
      <c r="F13" s="108">
        <v>11.43</v>
      </c>
      <c r="G13" s="107"/>
      <c r="H13" s="109"/>
      <c r="I13" s="107">
        <v>46051.0</v>
      </c>
      <c r="J13" s="107"/>
      <c r="K13" s="108">
        <v>11.8</v>
      </c>
      <c r="L13" s="108">
        <v>12.2</v>
      </c>
      <c r="M13" s="107">
        <v>46231.0</v>
      </c>
      <c r="N13" s="103" t="s">
        <v>1018</v>
      </c>
      <c r="O13" s="103"/>
      <c r="P13" s="103" t="s">
        <v>1019</v>
      </c>
      <c r="Q13" s="106" t="s">
        <v>59</v>
      </c>
      <c r="R13" s="106" t="s">
        <v>998</v>
      </c>
      <c r="S13" s="103" t="s">
        <v>1020</v>
      </c>
      <c r="T13" s="110"/>
      <c r="U13" s="103"/>
      <c r="V13" s="111">
        <f t="shared" si="1"/>
        <v>1</v>
      </c>
      <c r="W13" s="111">
        <f t="array" ref="W13">IF(A13="",0,IFERROR(IF(AND(V13=1,COUNTIF(Companies!$A$6:$A$55,A13)=1,INDEX(Companies!$R$6:$R$55,MATCH(A13,Companies!$A$6:$A$55,0))=1,INDEX(Companies!$I$6:$I$55,MATCH(A13,Companies!$A$6:$A$55,0))&gt;=MAX(10,Rules!$B$22),C13&lt;&gt;"",D13=Y13,D13=Z13,OR(D13="Reported",D13="Adjusted",D13="Operating",D13="Core"),OR(R13="US GAAP",R13="IFRS"),Q13="Yes",AB13="Yes",COUNT(E13:I13)=5,F13&gt;0,H13&gt;0,E13&lt;=Rules!$B$6,Rules!$B$6-E13&lt;=Growth!$B$7,I13&gt;=E13,I13&lt;=Rules!$B$6,ABS(G13-EDATE(E13,-36))&lt;=31,ISNUMBER(AA13),AA13&gt;=G13,AA13&lt;=Rules!$B$6,COUNT(J13:M13)=4,J13&gt;Rules!$B$6,ABS(J13-EDATE(E13,12))&lt;=31,K13&lt;=L13,M13&gt;=E13,M13&lt;=Rules!$B$6,Rules!$B$6-M13&lt;=Growth!$B$6,N13&lt;&gt;"",O13&lt;&gt;"",P13&lt;&gt;"",S13&lt;&gt;""),1,0),0))</f>
        <v>0</v>
      </c>
      <c r="X13" s="105" t="str">
        <f t="array" ref="X13">IF(A13="","",IF(V13&lt;&gt;1,"Duplicate growth record",IF(COUNTIF(Companies!$A$6:$A$55,A13)&lt;&gt;1,"Map issuer",IF(INDEX(Companies!$R$6:$R$55,MATCH(A13,Companies!$A$6:$A$55,0))&lt;&gt;1,"Outside selected/approved universe",IF(COUNT(K13:L13)&lt;&gt;2,"Annual EPS guidance missing",IF(OR(Q13&lt;&gt;"Yes",AB13&lt;&gt;"Yes"),"Review scope/basis/history",IF(W13=1,"Ready","Check dates, positive EPS bases and source fields")))))))</f>
        <v>Outside selected/approved universe</v>
      </c>
      <c r="Y13" s="106" t="s">
        <v>189</v>
      </c>
      <c r="Z13" s="106"/>
      <c r="AA13" s="107"/>
      <c r="AB13" s="106" t="s">
        <v>59</v>
      </c>
    </row>
    <row r="14" ht="22.5" customHeight="1">
      <c r="A14" s="103" t="s">
        <v>339</v>
      </c>
      <c r="B14" s="105" t="str">
        <f t="array" ref="B14">IF(A14="","",IF(COUNTIF(Companies!$A$6:$A$55,A14)&lt;&gt;1,"Unmapped issuer",INDEX(Companies!$C$6:$C$55,MATCH(A14,Companies!$A$6:$A$55,0))))</f>
        <v>American Electric Power</v>
      </c>
      <c r="C14" s="103" t="s">
        <v>342</v>
      </c>
      <c r="D14" s="106" t="s">
        <v>1009</v>
      </c>
      <c r="E14" s="107">
        <v>46022.0</v>
      </c>
      <c r="F14" s="108">
        <v>5.97</v>
      </c>
      <c r="G14" s="107"/>
      <c r="H14" s="109"/>
      <c r="I14" s="107">
        <v>46065.0</v>
      </c>
      <c r="J14" s="107"/>
      <c r="K14" s="108">
        <v>6.25</v>
      </c>
      <c r="L14" s="108">
        <v>6.55</v>
      </c>
      <c r="M14" s="107">
        <v>46233.0</v>
      </c>
      <c r="N14" s="103" t="s">
        <v>1021</v>
      </c>
      <c r="O14" s="103"/>
      <c r="P14" s="103" t="s">
        <v>1022</v>
      </c>
      <c r="Q14" s="106" t="s">
        <v>59</v>
      </c>
      <c r="R14" s="106" t="s">
        <v>998</v>
      </c>
      <c r="S14" s="103" t="s">
        <v>1023</v>
      </c>
      <c r="T14" s="110"/>
      <c r="U14" s="103"/>
      <c r="V14" s="111">
        <f t="shared" si="1"/>
        <v>1</v>
      </c>
      <c r="W14" s="111">
        <f t="array" ref="W14">IF(A14="",0,IFERROR(IF(AND(V14=1,COUNTIF(Companies!$A$6:$A$55,A14)=1,INDEX(Companies!$R$6:$R$55,MATCH(A14,Companies!$A$6:$A$55,0))=1,INDEX(Companies!$I$6:$I$55,MATCH(A14,Companies!$A$6:$A$55,0))&gt;=MAX(10,Rules!$B$22),C14&lt;&gt;"",D14=Y14,D14=Z14,OR(D14="Reported",D14="Adjusted",D14="Operating",D14="Core"),OR(R14="US GAAP",R14="IFRS"),Q14="Yes",AB14="Yes",COUNT(E14:I14)=5,F14&gt;0,H14&gt;0,E14&lt;=Rules!$B$6,Rules!$B$6-E14&lt;=Growth!$B$7,I14&gt;=E14,I14&lt;=Rules!$B$6,ABS(G14-EDATE(E14,-36))&lt;=31,ISNUMBER(AA14),AA14&gt;=G14,AA14&lt;=Rules!$B$6,COUNT(J14:M14)=4,J14&gt;Rules!$B$6,ABS(J14-EDATE(E14,12))&lt;=31,K14&lt;=L14,M14&gt;=E14,M14&lt;=Rules!$B$6,Rules!$B$6-M14&lt;=Growth!$B$6,N14&lt;&gt;"",O14&lt;&gt;"",P14&lt;&gt;"",S14&lt;&gt;""),1,0),0))</f>
        <v>0</v>
      </c>
      <c r="X14" s="105" t="str">
        <f t="array" ref="X14">IF(A14="","",IF(V14&lt;&gt;1,"Duplicate growth record",IF(COUNTIF(Companies!$A$6:$A$55,A14)&lt;&gt;1,"Map issuer",IF(INDEX(Companies!$R$6:$R$55,MATCH(A14,Companies!$A$6:$A$55,0))&lt;&gt;1,"Outside selected/approved universe",IF(COUNT(K14:L14)&lt;&gt;2,"Annual EPS guidance missing",IF(OR(Q14&lt;&gt;"Yes",AB14&lt;&gt;"Yes"),"Review scope/basis/history",IF(W14=1,"Ready","Check dates, positive EPS bases and source fields")))))))</f>
        <v>Outside selected/approved universe</v>
      </c>
      <c r="Y14" s="106" t="s">
        <v>1009</v>
      </c>
      <c r="Z14" s="106"/>
      <c r="AA14" s="107"/>
      <c r="AB14" s="106" t="s">
        <v>59</v>
      </c>
    </row>
    <row r="15" ht="22.5" customHeight="1">
      <c r="A15" s="103" t="s">
        <v>344</v>
      </c>
      <c r="B15" s="105" t="str">
        <f t="array" ref="B15">IF(A15="","",IF(COUNTIF(Companies!$A$6:$A$55,A15)&lt;&gt;1,"Unmapped issuer",INDEX(Companies!$C$6:$C$55,MATCH(A15,Companies!$A$6:$A$55,0))))</f>
        <v>JPMorgan Chase</v>
      </c>
      <c r="C15" s="103" t="s">
        <v>348</v>
      </c>
      <c r="D15" s="106" t="s">
        <v>182</v>
      </c>
      <c r="E15" s="107">
        <v>46022.0</v>
      </c>
      <c r="F15" s="108">
        <v>20.02</v>
      </c>
      <c r="G15" s="107"/>
      <c r="H15" s="109"/>
      <c r="I15" s="107"/>
      <c r="J15" s="107"/>
      <c r="K15" s="109"/>
      <c r="L15" s="109"/>
      <c r="M15" s="107">
        <v>46217.0</v>
      </c>
      <c r="N15" s="103" t="s">
        <v>1024</v>
      </c>
      <c r="O15" s="103"/>
      <c r="P15" s="103" t="s">
        <v>1025</v>
      </c>
      <c r="Q15" s="106" t="s">
        <v>59</v>
      </c>
      <c r="R15" s="106" t="s">
        <v>998</v>
      </c>
      <c r="S15" s="103" t="s">
        <v>1026</v>
      </c>
      <c r="T15" s="110"/>
      <c r="U15" s="103"/>
      <c r="V15" s="111">
        <f t="shared" si="1"/>
        <v>1</v>
      </c>
      <c r="W15" s="111">
        <f t="array" ref="W15">IF(A15="",0,IFERROR(IF(AND(V15=1,COUNTIF(Companies!$A$6:$A$55,A15)=1,INDEX(Companies!$R$6:$R$55,MATCH(A15,Companies!$A$6:$A$55,0))=1,INDEX(Companies!$I$6:$I$55,MATCH(A15,Companies!$A$6:$A$55,0))&gt;=MAX(10,Rules!$B$22),C15&lt;&gt;"",D15=Y15,D15=Z15,OR(D15="Reported",D15="Adjusted",D15="Operating",D15="Core"),OR(R15="US GAAP",R15="IFRS"),Q15="Yes",AB15="Yes",COUNT(E15:I15)=5,F15&gt;0,H15&gt;0,E15&lt;=Rules!$B$6,Rules!$B$6-E15&lt;=Growth!$B$7,I15&gt;=E15,I15&lt;=Rules!$B$6,ABS(G15-EDATE(E15,-36))&lt;=31,ISNUMBER(AA15),AA15&gt;=G15,AA15&lt;=Rules!$B$6,COUNT(J15:M15)=4,J15&gt;Rules!$B$6,ABS(J15-EDATE(E15,12))&lt;=31,K15&lt;=L15,M15&gt;=E15,M15&lt;=Rules!$B$6,Rules!$B$6-M15&lt;=Growth!$B$6,N15&lt;&gt;"",O15&lt;&gt;"",P15&lt;&gt;"",S15&lt;&gt;""),1,0),0))</f>
        <v>0</v>
      </c>
      <c r="X15" s="105" t="str">
        <f t="array" ref="X15">IF(A15="","",IF(V15&lt;&gt;1,"Duplicate growth record",IF(COUNTIF(Companies!$A$6:$A$55,A15)&lt;&gt;1,"Map issuer",IF(INDEX(Companies!$R$6:$R$55,MATCH(A15,Companies!$A$6:$A$55,0))&lt;&gt;1,"Outside selected/approved universe",IF(COUNT(K15:L15)&lt;&gt;2,"Annual EPS guidance missing",IF(OR(Q15&lt;&gt;"Yes",AB15&lt;&gt;"Yes"),"Review scope/basis/history",IF(W15=1,"Ready","Check dates, positive EPS bases and source fields")))))))</f>
        <v>Outside selected/approved universe</v>
      </c>
      <c r="Y15" s="106"/>
      <c r="Z15" s="106"/>
      <c r="AA15" s="107"/>
      <c r="AB15" s="106" t="s">
        <v>59</v>
      </c>
    </row>
    <row r="16" ht="22.5" customHeight="1">
      <c r="A16" s="103"/>
      <c r="B16" s="105" t="str">
        <f t="array" ref="B16">IF(A16="","",IF(COUNTIF(Companies!$A$6:$A$55,A16)&lt;&gt;1,"Unmapped issuer",INDEX(Companies!$C$6:$C$55,MATCH(A16,Companies!$A$6:$A$55,0))))</f>
        <v/>
      </c>
      <c r="C16" s="103"/>
      <c r="D16" s="106"/>
      <c r="E16" s="107"/>
      <c r="F16" s="109"/>
      <c r="G16" s="107"/>
      <c r="H16" s="109"/>
      <c r="I16" s="107"/>
      <c r="J16" s="107"/>
      <c r="K16" s="109"/>
      <c r="L16" s="109"/>
      <c r="M16" s="107"/>
      <c r="N16" s="103"/>
      <c r="O16" s="103"/>
      <c r="P16" s="103"/>
      <c r="Q16" s="106"/>
      <c r="R16" s="106"/>
      <c r="S16" s="103"/>
      <c r="T16" s="110"/>
      <c r="U16" s="103"/>
      <c r="V16" s="111" t="str">
        <f t="shared" si="1"/>
        <v/>
      </c>
      <c r="W16" s="111">
        <f t="array" ref="W16">IF(A16="",0,IFERROR(IF(AND(V16=1,COUNTIF(Companies!$A$6:$A$55,A16)=1,INDEX(Companies!$R$6:$R$55,MATCH(A16,Companies!$A$6:$A$55,0))=1,INDEX(Companies!$I$6:$I$55,MATCH(A16,Companies!$A$6:$A$55,0))&gt;=MAX(10,Rules!$B$22),C16&lt;&gt;"",D16=Y16,D16=Z16,OR(D16="Reported",D16="Adjusted",D16="Operating",D16="Core"),OR(R16="US GAAP",R16="IFRS"),Q16="Yes",AB16="Yes",COUNT(E16:I16)=5,F16&gt;0,H16&gt;0,E16&lt;=Rules!$B$6,Rules!$B$6-E16&lt;=Growth!$B$7,I16&gt;=E16,I16&lt;=Rules!$B$6,ABS(G16-EDATE(E16,-36))&lt;=31,ISNUMBER(AA16),AA16&gt;=G16,AA16&lt;=Rules!$B$6,COUNT(J16:M16)=4,J16&gt;Rules!$B$6,ABS(J16-EDATE(E16,12))&lt;=31,K16&lt;=L16,M16&gt;=E16,M16&lt;=Rules!$B$6,Rules!$B$6-M16&lt;=Growth!$B$6,N16&lt;&gt;"",O16&lt;&gt;"",P16&lt;&gt;"",S16&lt;&gt;""),1,0),0))</f>
        <v>0</v>
      </c>
      <c r="X16" s="105" t="str">
        <f t="array" ref="X16">IF(A16="","",IF(V16&lt;&gt;1,"Duplicate growth record",IF(COUNTIF(Companies!$A$6:$A$55,A16)&lt;&gt;1,"Map issuer",IF(INDEX(Companies!$R$6:$R$55,MATCH(A16,Companies!$A$6:$A$55,0))&lt;&gt;1,"Outside selected/approved universe",IF(COUNT(K16:L16)&lt;&gt;2,"Annual EPS guidance missing",IF(OR(Q16&lt;&gt;"Yes",AB16&lt;&gt;"Yes"),"Review scope/basis/history",IF(W16=1,"Ready","Check dates, positive EPS bases and source fields")))))))</f>
        <v/>
      </c>
      <c r="Y16" s="106"/>
      <c r="Z16" s="106"/>
      <c r="AA16" s="107"/>
      <c r="AB16" s="106"/>
    </row>
    <row r="17" ht="22.5" customHeight="1">
      <c r="A17" s="103"/>
      <c r="B17" s="105" t="str">
        <f t="array" ref="B17">IF(A17="","",IF(COUNTIF(Companies!$A$6:$A$55,A17)&lt;&gt;1,"Unmapped issuer",INDEX(Companies!$C$6:$C$55,MATCH(A17,Companies!$A$6:$A$55,0))))</f>
        <v/>
      </c>
      <c r="C17" s="103"/>
      <c r="D17" s="106"/>
      <c r="E17" s="107"/>
      <c r="F17" s="109"/>
      <c r="G17" s="107"/>
      <c r="H17" s="109"/>
      <c r="I17" s="107"/>
      <c r="J17" s="107"/>
      <c r="K17" s="109"/>
      <c r="L17" s="109"/>
      <c r="M17" s="107"/>
      <c r="N17" s="103"/>
      <c r="O17" s="103"/>
      <c r="P17" s="103"/>
      <c r="Q17" s="106"/>
      <c r="R17" s="106"/>
      <c r="S17" s="103"/>
      <c r="T17" s="110"/>
      <c r="U17" s="103"/>
      <c r="V17" s="111" t="str">
        <f t="shared" si="1"/>
        <v/>
      </c>
      <c r="W17" s="111">
        <f t="array" ref="W17">IF(A17="",0,IFERROR(IF(AND(V17=1,COUNTIF(Companies!$A$6:$A$55,A17)=1,INDEX(Companies!$R$6:$R$55,MATCH(A17,Companies!$A$6:$A$55,0))=1,INDEX(Companies!$I$6:$I$55,MATCH(A17,Companies!$A$6:$A$55,0))&gt;=MAX(10,Rules!$B$22),C17&lt;&gt;"",D17=Y17,D17=Z17,OR(D17="Reported",D17="Adjusted",D17="Operating",D17="Core"),OR(R17="US GAAP",R17="IFRS"),Q17="Yes",AB17="Yes",COUNT(E17:I17)=5,F17&gt;0,H17&gt;0,E17&lt;=Rules!$B$6,Rules!$B$6-E17&lt;=Growth!$B$7,I17&gt;=E17,I17&lt;=Rules!$B$6,ABS(G17-EDATE(E17,-36))&lt;=31,ISNUMBER(AA17),AA17&gt;=G17,AA17&lt;=Rules!$B$6,COUNT(J17:M17)=4,J17&gt;Rules!$B$6,ABS(J17-EDATE(E17,12))&lt;=31,K17&lt;=L17,M17&gt;=E17,M17&lt;=Rules!$B$6,Rules!$B$6-M17&lt;=Growth!$B$6,N17&lt;&gt;"",O17&lt;&gt;"",P17&lt;&gt;"",S17&lt;&gt;""),1,0),0))</f>
        <v>0</v>
      </c>
      <c r="X17" s="105" t="str">
        <f t="array" ref="X17">IF(A17="","",IF(V17&lt;&gt;1,"Duplicate growth record",IF(COUNTIF(Companies!$A$6:$A$55,A17)&lt;&gt;1,"Map issuer",IF(INDEX(Companies!$R$6:$R$55,MATCH(A17,Companies!$A$6:$A$55,0))&lt;&gt;1,"Outside selected/approved universe",IF(COUNT(K17:L17)&lt;&gt;2,"Annual EPS guidance missing",IF(OR(Q17&lt;&gt;"Yes",AB17&lt;&gt;"Yes"),"Review scope/basis/history",IF(W17=1,"Ready","Check dates, positive EPS bases and source fields")))))))</f>
        <v/>
      </c>
      <c r="Y17" s="106"/>
      <c r="Z17" s="106"/>
      <c r="AA17" s="107"/>
      <c r="AB17" s="106"/>
    </row>
    <row r="18" ht="22.5" customHeight="1">
      <c r="A18" s="103"/>
      <c r="B18" s="105" t="str">
        <f t="array" ref="B18">IF(A18="","",IF(COUNTIF(Companies!$A$6:$A$55,A18)&lt;&gt;1,"Unmapped issuer",INDEX(Companies!$C$6:$C$55,MATCH(A18,Companies!$A$6:$A$55,0))))</f>
        <v/>
      </c>
      <c r="C18" s="103"/>
      <c r="D18" s="106"/>
      <c r="E18" s="107"/>
      <c r="F18" s="109"/>
      <c r="G18" s="107"/>
      <c r="H18" s="109"/>
      <c r="I18" s="107"/>
      <c r="J18" s="107"/>
      <c r="K18" s="109"/>
      <c r="L18" s="109"/>
      <c r="M18" s="107"/>
      <c r="N18" s="103"/>
      <c r="O18" s="103"/>
      <c r="P18" s="103"/>
      <c r="Q18" s="106"/>
      <c r="R18" s="106"/>
      <c r="S18" s="103"/>
      <c r="T18" s="110"/>
      <c r="U18" s="103"/>
      <c r="V18" s="111" t="str">
        <f t="shared" si="1"/>
        <v/>
      </c>
      <c r="W18" s="111">
        <f t="array" ref="W18">IF(A18="",0,IFERROR(IF(AND(V18=1,COUNTIF(Companies!$A$6:$A$55,A18)=1,INDEX(Companies!$R$6:$R$55,MATCH(A18,Companies!$A$6:$A$55,0))=1,INDEX(Companies!$I$6:$I$55,MATCH(A18,Companies!$A$6:$A$55,0))&gt;=MAX(10,Rules!$B$22),C18&lt;&gt;"",D18=Y18,D18=Z18,OR(D18="Reported",D18="Adjusted",D18="Operating",D18="Core"),OR(R18="US GAAP",R18="IFRS"),Q18="Yes",AB18="Yes",COUNT(E18:I18)=5,F18&gt;0,H18&gt;0,E18&lt;=Rules!$B$6,Rules!$B$6-E18&lt;=Growth!$B$7,I18&gt;=E18,I18&lt;=Rules!$B$6,ABS(G18-EDATE(E18,-36))&lt;=31,ISNUMBER(AA18),AA18&gt;=G18,AA18&lt;=Rules!$B$6,COUNT(J18:M18)=4,J18&gt;Rules!$B$6,ABS(J18-EDATE(E18,12))&lt;=31,K18&lt;=L18,M18&gt;=E18,M18&lt;=Rules!$B$6,Rules!$B$6-M18&lt;=Growth!$B$6,N18&lt;&gt;"",O18&lt;&gt;"",P18&lt;&gt;"",S18&lt;&gt;""),1,0),0))</f>
        <v>0</v>
      </c>
      <c r="X18" s="105" t="str">
        <f t="array" ref="X18">IF(A18="","",IF(V18&lt;&gt;1,"Duplicate growth record",IF(COUNTIF(Companies!$A$6:$A$55,A18)&lt;&gt;1,"Map issuer",IF(INDEX(Companies!$R$6:$R$55,MATCH(A18,Companies!$A$6:$A$55,0))&lt;&gt;1,"Outside selected/approved universe",IF(COUNT(K18:L18)&lt;&gt;2,"Annual EPS guidance missing",IF(OR(Q18&lt;&gt;"Yes",AB18&lt;&gt;"Yes"),"Review scope/basis/history",IF(W18=1,"Ready","Check dates, positive EPS bases and source fields")))))))</f>
        <v/>
      </c>
      <c r="Y18" s="106"/>
      <c r="Z18" s="106"/>
      <c r="AA18" s="107"/>
      <c r="AB18" s="106"/>
    </row>
    <row r="19" ht="22.5" customHeight="1">
      <c r="A19" s="103"/>
      <c r="B19" s="105" t="str">
        <f t="array" ref="B19">IF(A19="","",IF(COUNTIF(Companies!$A$6:$A$55,A19)&lt;&gt;1,"Unmapped issuer",INDEX(Companies!$C$6:$C$55,MATCH(A19,Companies!$A$6:$A$55,0))))</f>
        <v/>
      </c>
      <c r="C19" s="103"/>
      <c r="D19" s="106"/>
      <c r="E19" s="107"/>
      <c r="F19" s="109"/>
      <c r="G19" s="107"/>
      <c r="H19" s="109"/>
      <c r="I19" s="107"/>
      <c r="J19" s="107"/>
      <c r="K19" s="109"/>
      <c r="L19" s="109"/>
      <c r="M19" s="107"/>
      <c r="N19" s="103"/>
      <c r="O19" s="103"/>
      <c r="P19" s="103"/>
      <c r="Q19" s="106"/>
      <c r="R19" s="106"/>
      <c r="S19" s="103"/>
      <c r="T19" s="110"/>
      <c r="U19" s="103"/>
      <c r="V19" s="111" t="str">
        <f t="shared" si="1"/>
        <v/>
      </c>
      <c r="W19" s="111">
        <f t="array" ref="W19">IF(A19="",0,IFERROR(IF(AND(V19=1,COUNTIF(Companies!$A$6:$A$55,A19)=1,INDEX(Companies!$R$6:$R$55,MATCH(A19,Companies!$A$6:$A$55,0))=1,INDEX(Companies!$I$6:$I$55,MATCH(A19,Companies!$A$6:$A$55,0))&gt;=MAX(10,Rules!$B$22),C19&lt;&gt;"",D19=Y19,D19=Z19,OR(D19="Reported",D19="Adjusted",D19="Operating",D19="Core"),OR(R19="US GAAP",R19="IFRS"),Q19="Yes",AB19="Yes",COUNT(E19:I19)=5,F19&gt;0,H19&gt;0,E19&lt;=Rules!$B$6,Rules!$B$6-E19&lt;=Growth!$B$7,I19&gt;=E19,I19&lt;=Rules!$B$6,ABS(G19-EDATE(E19,-36))&lt;=31,ISNUMBER(AA19),AA19&gt;=G19,AA19&lt;=Rules!$B$6,COUNT(J19:M19)=4,J19&gt;Rules!$B$6,ABS(J19-EDATE(E19,12))&lt;=31,K19&lt;=L19,M19&gt;=E19,M19&lt;=Rules!$B$6,Rules!$B$6-M19&lt;=Growth!$B$6,N19&lt;&gt;"",O19&lt;&gt;"",P19&lt;&gt;"",S19&lt;&gt;""),1,0),0))</f>
        <v>0</v>
      </c>
      <c r="X19" s="105" t="str">
        <f t="array" ref="X19">IF(A19="","",IF(V19&lt;&gt;1,"Duplicate growth record",IF(COUNTIF(Companies!$A$6:$A$55,A19)&lt;&gt;1,"Map issuer",IF(INDEX(Companies!$R$6:$R$55,MATCH(A19,Companies!$A$6:$A$55,0))&lt;&gt;1,"Outside selected/approved universe",IF(COUNT(K19:L19)&lt;&gt;2,"Annual EPS guidance missing",IF(OR(Q19&lt;&gt;"Yes",AB19&lt;&gt;"Yes"),"Review scope/basis/history",IF(W19=1,"Ready","Check dates, positive EPS bases and source fields")))))))</f>
        <v/>
      </c>
      <c r="Y19" s="106"/>
      <c r="Z19" s="106"/>
      <c r="AA19" s="107"/>
      <c r="AB19" s="106"/>
    </row>
    <row r="20" ht="22.5" customHeight="1">
      <c r="A20" s="103"/>
      <c r="B20" s="105" t="str">
        <f t="array" ref="B20">IF(A20="","",IF(COUNTIF(Companies!$A$6:$A$55,A20)&lt;&gt;1,"Unmapped issuer",INDEX(Companies!$C$6:$C$55,MATCH(A20,Companies!$A$6:$A$55,0))))</f>
        <v/>
      </c>
      <c r="C20" s="103"/>
      <c r="D20" s="106"/>
      <c r="E20" s="107"/>
      <c r="F20" s="109"/>
      <c r="G20" s="107"/>
      <c r="H20" s="109"/>
      <c r="I20" s="107"/>
      <c r="J20" s="107"/>
      <c r="K20" s="109"/>
      <c r="L20" s="109"/>
      <c r="M20" s="107"/>
      <c r="N20" s="103"/>
      <c r="O20" s="103"/>
      <c r="P20" s="103"/>
      <c r="Q20" s="106"/>
      <c r="R20" s="106"/>
      <c r="S20" s="103"/>
      <c r="T20" s="110"/>
      <c r="U20" s="103"/>
      <c r="V20" s="111" t="str">
        <f t="shared" si="1"/>
        <v/>
      </c>
      <c r="W20" s="111">
        <f t="array" ref="W20">IF(A20="",0,IFERROR(IF(AND(V20=1,COUNTIF(Companies!$A$6:$A$55,A20)=1,INDEX(Companies!$R$6:$R$55,MATCH(A20,Companies!$A$6:$A$55,0))=1,INDEX(Companies!$I$6:$I$55,MATCH(A20,Companies!$A$6:$A$55,0))&gt;=MAX(10,Rules!$B$22),C20&lt;&gt;"",D20=Y20,D20=Z20,OR(D20="Reported",D20="Adjusted",D20="Operating",D20="Core"),OR(R20="US GAAP",R20="IFRS"),Q20="Yes",AB20="Yes",COUNT(E20:I20)=5,F20&gt;0,H20&gt;0,E20&lt;=Rules!$B$6,Rules!$B$6-E20&lt;=Growth!$B$7,I20&gt;=E20,I20&lt;=Rules!$B$6,ABS(G20-EDATE(E20,-36))&lt;=31,ISNUMBER(AA20),AA20&gt;=G20,AA20&lt;=Rules!$B$6,COUNT(J20:M20)=4,J20&gt;Rules!$B$6,ABS(J20-EDATE(E20,12))&lt;=31,K20&lt;=L20,M20&gt;=E20,M20&lt;=Rules!$B$6,Rules!$B$6-M20&lt;=Growth!$B$6,N20&lt;&gt;"",O20&lt;&gt;"",P20&lt;&gt;"",S20&lt;&gt;""),1,0),0))</f>
        <v>0</v>
      </c>
      <c r="X20" s="105" t="str">
        <f t="array" ref="X20">IF(A20="","",IF(V20&lt;&gt;1,"Duplicate growth record",IF(COUNTIF(Companies!$A$6:$A$55,A20)&lt;&gt;1,"Map issuer",IF(INDEX(Companies!$R$6:$R$55,MATCH(A20,Companies!$A$6:$A$55,0))&lt;&gt;1,"Outside selected/approved universe",IF(COUNT(K20:L20)&lt;&gt;2,"Annual EPS guidance missing",IF(OR(Q20&lt;&gt;"Yes",AB20&lt;&gt;"Yes"),"Review scope/basis/history",IF(W20=1,"Ready","Check dates, positive EPS bases and source fields")))))))</f>
        <v/>
      </c>
      <c r="Y20" s="106"/>
      <c r="Z20" s="106"/>
      <c r="AA20" s="107"/>
      <c r="AB20" s="106"/>
    </row>
    <row r="21" ht="22.5" customHeight="1">
      <c r="A21" s="103"/>
      <c r="B21" s="105" t="str">
        <f t="array" ref="B21">IF(A21="","",IF(COUNTIF(Companies!$A$6:$A$55,A21)&lt;&gt;1,"Unmapped issuer",INDEX(Companies!$C$6:$C$55,MATCH(A21,Companies!$A$6:$A$55,0))))</f>
        <v/>
      </c>
      <c r="C21" s="103"/>
      <c r="D21" s="106"/>
      <c r="E21" s="107"/>
      <c r="F21" s="109"/>
      <c r="G21" s="107"/>
      <c r="H21" s="109"/>
      <c r="I21" s="107"/>
      <c r="J21" s="107"/>
      <c r="K21" s="109"/>
      <c r="L21" s="109"/>
      <c r="M21" s="107"/>
      <c r="N21" s="103"/>
      <c r="O21" s="103"/>
      <c r="P21" s="103"/>
      <c r="Q21" s="106"/>
      <c r="R21" s="106"/>
      <c r="S21" s="103"/>
      <c r="T21" s="110"/>
      <c r="U21" s="103"/>
      <c r="V21" s="111" t="str">
        <f t="shared" si="1"/>
        <v/>
      </c>
      <c r="W21" s="111">
        <f t="array" ref="W21">IF(A21="",0,IFERROR(IF(AND(V21=1,COUNTIF(Companies!$A$6:$A$55,A21)=1,INDEX(Companies!$R$6:$R$55,MATCH(A21,Companies!$A$6:$A$55,0))=1,INDEX(Companies!$I$6:$I$55,MATCH(A21,Companies!$A$6:$A$55,0))&gt;=MAX(10,Rules!$B$22),C21&lt;&gt;"",D21=Y21,D21=Z21,OR(D21="Reported",D21="Adjusted",D21="Operating",D21="Core"),OR(R21="US GAAP",R21="IFRS"),Q21="Yes",AB21="Yes",COUNT(E21:I21)=5,F21&gt;0,H21&gt;0,E21&lt;=Rules!$B$6,Rules!$B$6-E21&lt;=Growth!$B$7,I21&gt;=E21,I21&lt;=Rules!$B$6,ABS(G21-EDATE(E21,-36))&lt;=31,ISNUMBER(AA21),AA21&gt;=G21,AA21&lt;=Rules!$B$6,COUNT(J21:M21)=4,J21&gt;Rules!$B$6,ABS(J21-EDATE(E21,12))&lt;=31,K21&lt;=L21,M21&gt;=E21,M21&lt;=Rules!$B$6,Rules!$B$6-M21&lt;=Growth!$B$6,N21&lt;&gt;"",O21&lt;&gt;"",P21&lt;&gt;"",S21&lt;&gt;""),1,0),0))</f>
        <v>0</v>
      </c>
      <c r="X21" s="105" t="str">
        <f t="array" ref="X21">IF(A21="","",IF(V21&lt;&gt;1,"Duplicate growth record",IF(COUNTIF(Companies!$A$6:$A$55,A21)&lt;&gt;1,"Map issuer",IF(INDEX(Companies!$R$6:$R$55,MATCH(A21,Companies!$A$6:$A$55,0))&lt;&gt;1,"Outside selected/approved universe",IF(COUNT(K21:L21)&lt;&gt;2,"Annual EPS guidance missing",IF(OR(Q21&lt;&gt;"Yes",AB21&lt;&gt;"Yes"),"Review scope/basis/history",IF(W21=1,"Ready","Check dates, positive EPS bases and source fields")))))))</f>
        <v/>
      </c>
      <c r="Y21" s="106"/>
      <c r="Z21" s="106"/>
      <c r="AA21" s="107"/>
      <c r="AB21" s="106"/>
    </row>
    <row r="22" ht="22.5" customHeight="1">
      <c r="A22" s="103"/>
      <c r="B22" s="105" t="str">
        <f t="array" ref="B22">IF(A22="","",IF(COUNTIF(Companies!$A$6:$A$55,A22)&lt;&gt;1,"Unmapped issuer",INDEX(Companies!$C$6:$C$55,MATCH(A22,Companies!$A$6:$A$55,0))))</f>
        <v/>
      </c>
      <c r="C22" s="103"/>
      <c r="D22" s="106"/>
      <c r="E22" s="107"/>
      <c r="F22" s="109"/>
      <c r="G22" s="107"/>
      <c r="H22" s="109"/>
      <c r="I22" s="107"/>
      <c r="J22" s="107"/>
      <c r="K22" s="109"/>
      <c r="L22" s="109"/>
      <c r="M22" s="107"/>
      <c r="N22" s="103"/>
      <c r="O22" s="103"/>
      <c r="P22" s="103"/>
      <c r="Q22" s="106"/>
      <c r="R22" s="106"/>
      <c r="S22" s="103"/>
      <c r="T22" s="110"/>
      <c r="U22" s="103"/>
      <c r="V22" s="111" t="str">
        <f t="shared" si="1"/>
        <v/>
      </c>
      <c r="W22" s="111">
        <f t="array" ref="W22">IF(A22="",0,IFERROR(IF(AND(V22=1,COUNTIF(Companies!$A$6:$A$55,A22)=1,INDEX(Companies!$R$6:$R$55,MATCH(A22,Companies!$A$6:$A$55,0))=1,INDEX(Companies!$I$6:$I$55,MATCH(A22,Companies!$A$6:$A$55,0))&gt;=MAX(10,Rules!$B$22),C22&lt;&gt;"",D22=Y22,D22=Z22,OR(D22="Reported",D22="Adjusted",D22="Operating",D22="Core"),OR(R22="US GAAP",R22="IFRS"),Q22="Yes",AB22="Yes",COUNT(E22:I22)=5,F22&gt;0,H22&gt;0,E22&lt;=Rules!$B$6,Rules!$B$6-E22&lt;=Growth!$B$7,I22&gt;=E22,I22&lt;=Rules!$B$6,ABS(G22-EDATE(E22,-36))&lt;=31,ISNUMBER(AA22),AA22&gt;=G22,AA22&lt;=Rules!$B$6,COUNT(J22:M22)=4,J22&gt;Rules!$B$6,ABS(J22-EDATE(E22,12))&lt;=31,K22&lt;=L22,M22&gt;=E22,M22&lt;=Rules!$B$6,Rules!$B$6-M22&lt;=Growth!$B$6,N22&lt;&gt;"",O22&lt;&gt;"",P22&lt;&gt;"",S22&lt;&gt;""),1,0),0))</f>
        <v>0</v>
      </c>
      <c r="X22" s="105" t="str">
        <f t="array" ref="X22">IF(A22="","",IF(V22&lt;&gt;1,"Duplicate growth record",IF(COUNTIF(Companies!$A$6:$A$55,A22)&lt;&gt;1,"Map issuer",IF(INDEX(Companies!$R$6:$R$55,MATCH(A22,Companies!$A$6:$A$55,0))&lt;&gt;1,"Outside selected/approved universe",IF(COUNT(K22:L22)&lt;&gt;2,"Annual EPS guidance missing",IF(OR(Q22&lt;&gt;"Yes",AB22&lt;&gt;"Yes"),"Review scope/basis/history",IF(W22=1,"Ready","Check dates, positive EPS bases and source fields")))))))</f>
        <v/>
      </c>
      <c r="Y22" s="106"/>
      <c r="Z22" s="106"/>
      <c r="AA22" s="107"/>
      <c r="AB22" s="106"/>
    </row>
    <row r="23" ht="22.5" customHeight="1">
      <c r="A23" s="103"/>
      <c r="B23" s="105" t="str">
        <f t="array" ref="B23">IF(A23="","",IF(COUNTIF(Companies!$A$6:$A$55,A23)&lt;&gt;1,"Unmapped issuer",INDEX(Companies!$C$6:$C$55,MATCH(A23,Companies!$A$6:$A$55,0))))</f>
        <v/>
      </c>
      <c r="C23" s="103"/>
      <c r="D23" s="106"/>
      <c r="E23" s="107"/>
      <c r="F23" s="109"/>
      <c r="G23" s="107"/>
      <c r="H23" s="109"/>
      <c r="I23" s="107"/>
      <c r="J23" s="107"/>
      <c r="K23" s="109"/>
      <c r="L23" s="109"/>
      <c r="M23" s="107"/>
      <c r="N23" s="103"/>
      <c r="O23" s="103"/>
      <c r="P23" s="103"/>
      <c r="Q23" s="106"/>
      <c r="R23" s="106"/>
      <c r="S23" s="103"/>
      <c r="T23" s="110"/>
      <c r="U23" s="103"/>
      <c r="V23" s="111" t="str">
        <f t="shared" si="1"/>
        <v/>
      </c>
      <c r="W23" s="111">
        <f t="array" ref="W23">IF(A23="",0,IFERROR(IF(AND(V23=1,COUNTIF(Companies!$A$6:$A$55,A23)=1,INDEX(Companies!$R$6:$R$55,MATCH(A23,Companies!$A$6:$A$55,0))=1,INDEX(Companies!$I$6:$I$55,MATCH(A23,Companies!$A$6:$A$55,0))&gt;=MAX(10,Rules!$B$22),C23&lt;&gt;"",D23=Y23,D23=Z23,OR(D23="Reported",D23="Adjusted",D23="Operating",D23="Core"),OR(R23="US GAAP",R23="IFRS"),Q23="Yes",AB23="Yes",COUNT(E23:I23)=5,F23&gt;0,H23&gt;0,E23&lt;=Rules!$B$6,Rules!$B$6-E23&lt;=Growth!$B$7,I23&gt;=E23,I23&lt;=Rules!$B$6,ABS(G23-EDATE(E23,-36))&lt;=31,ISNUMBER(AA23),AA23&gt;=G23,AA23&lt;=Rules!$B$6,COUNT(J23:M23)=4,J23&gt;Rules!$B$6,ABS(J23-EDATE(E23,12))&lt;=31,K23&lt;=L23,M23&gt;=E23,M23&lt;=Rules!$B$6,Rules!$B$6-M23&lt;=Growth!$B$6,N23&lt;&gt;"",O23&lt;&gt;"",P23&lt;&gt;"",S23&lt;&gt;""),1,0),0))</f>
        <v>0</v>
      </c>
      <c r="X23" s="105" t="str">
        <f t="array" ref="X23">IF(A23="","",IF(V23&lt;&gt;1,"Duplicate growth record",IF(COUNTIF(Companies!$A$6:$A$55,A23)&lt;&gt;1,"Map issuer",IF(INDEX(Companies!$R$6:$R$55,MATCH(A23,Companies!$A$6:$A$55,0))&lt;&gt;1,"Outside selected/approved universe",IF(COUNT(K23:L23)&lt;&gt;2,"Annual EPS guidance missing",IF(OR(Q23&lt;&gt;"Yes",AB23&lt;&gt;"Yes"),"Review scope/basis/history",IF(W23=1,"Ready","Check dates, positive EPS bases and source fields")))))))</f>
        <v/>
      </c>
      <c r="Y23" s="106"/>
      <c r="Z23" s="106"/>
      <c r="AA23" s="107"/>
      <c r="AB23" s="106"/>
    </row>
    <row r="24" ht="22.5" customHeight="1">
      <c r="A24" s="103"/>
      <c r="B24" s="105" t="str">
        <f t="array" ref="B24">IF(A24="","",IF(COUNTIF(Companies!$A$6:$A$55,A24)&lt;&gt;1,"Unmapped issuer",INDEX(Companies!$C$6:$C$55,MATCH(A24,Companies!$A$6:$A$55,0))))</f>
        <v/>
      </c>
      <c r="C24" s="103"/>
      <c r="D24" s="106"/>
      <c r="E24" s="107"/>
      <c r="F24" s="109"/>
      <c r="G24" s="107"/>
      <c r="H24" s="109"/>
      <c r="I24" s="107"/>
      <c r="J24" s="107"/>
      <c r="K24" s="109"/>
      <c r="L24" s="109"/>
      <c r="M24" s="107"/>
      <c r="N24" s="103"/>
      <c r="O24" s="103"/>
      <c r="P24" s="103"/>
      <c r="Q24" s="106"/>
      <c r="R24" s="106"/>
      <c r="S24" s="103"/>
      <c r="T24" s="110"/>
      <c r="U24" s="103"/>
      <c r="V24" s="111" t="str">
        <f t="shared" si="1"/>
        <v/>
      </c>
      <c r="W24" s="111">
        <f t="array" ref="W24">IF(A24="",0,IFERROR(IF(AND(V24=1,COUNTIF(Companies!$A$6:$A$55,A24)=1,INDEX(Companies!$R$6:$R$55,MATCH(A24,Companies!$A$6:$A$55,0))=1,INDEX(Companies!$I$6:$I$55,MATCH(A24,Companies!$A$6:$A$55,0))&gt;=MAX(10,Rules!$B$22),C24&lt;&gt;"",D24=Y24,D24=Z24,OR(D24="Reported",D24="Adjusted",D24="Operating",D24="Core"),OR(R24="US GAAP",R24="IFRS"),Q24="Yes",AB24="Yes",COUNT(E24:I24)=5,F24&gt;0,H24&gt;0,E24&lt;=Rules!$B$6,Rules!$B$6-E24&lt;=Growth!$B$7,I24&gt;=E24,I24&lt;=Rules!$B$6,ABS(G24-EDATE(E24,-36))&lt;=31,ISNUMBER(AA24),AA24&gt;=G24,AA24&lt;=Rules!$B$6,COUNT(J24:M24)=4,J24&gt;Rules!$B$6,ABS(J24-EDATE(E24,12))&lt;=31,K24&lt;=L24,M24&gt;=E24,M24&lt;=Rules!$B$6,Rules!$B$6-M24&lt;=Growth!$B$6,N24&lt;&gt;"",O24&lt;&gt;"",P24&lt;&gt;"",S24&lt;&gt;""),1,0),0))</f>
        <v>0</v>
      </c>
      <c r="X24" s="105" t="str">
        <f t="array" ref="X24">IF(A24="","",IF(V24&lt;&gt;1,"Duplicate growth record",IF(COUNTIF(Companies!$A$6:$A$55,A24)&lt;&gt;1,"Map issuer",IF(INDEX(Companies!$R$6:$R$55,MATCH(A24,Companies!$A$6:$A$55,0))&lt;&gt;1,"Outside selected/approved universe",IF(COUNT(K24:L24)&lt;&gt;2,"Annual EPS guidance missing",IF(OR(Q24&lt;&gt;"Yes",AB24&lt;&gt;"Yes"),"Review scope/basis/history",IF(W24=1,"Ready","Check dates, positive EPS bases and source fields")))))))</f>
        <v/>
      </c>
      <c r="Y24" s="106"/>
      <c r="Z24" s="106"/>
      <c r="AA24" s="107"/>
      <c r="AB24" s="106"/>
    </row>
    <row r="25" ht="22.5" customHeight="1">
      <c r="A25" s="103"/>
      <c r="B25" s="105" t="str">
        <f t="array" ref="B25">IF(A25="","",IF(COUNTIF(Companies!$A$6:$A$55,A25)&lt;&gt;1,"Unmapped issuer",INDEX(Companies!$C$6:$C$55,MATCH(A25,Companies!$A$6:$A$55,0))))</f>
        <v/>
      </c>
      <c r="C25" s="103"/>
      <c r="D25" s="106"/>
      <c r="E25" s="107"/>
      <c r="F25" s="109"/>
      <c r="G25" s="107"/>
      <c r="H25" s="109"/>
      <c r="I25" s="107"/>
      <c r="J25" s="107"/>
      <c r="K25" s="109"/>
      <c r="L25" s="109"/>
      <c r="M25" s="107"/>
      <c r="N25" s="103"/>
      <c r="O25" s="103"/>
      <c r="P25" s="103"/>
      <c r="Q25" s="106"/>
      <c r="R25" s="106"/>
      <c r="S25" s="103"/>
      <c r="T25" s="110"/>
      <c r="U25" s="103"/>
      <c r="V25" s="111" t="str">
        <f t="shared" si="1"/>
        <v/>
      </c>
      <c r="W25" s="111">
        <f t="array" ref="W25">IF(A25="",0,IFERROR(IF(AND(V25=1,COUNTIF(Companies!$A$6:$A$55,A25)=1,INDEX(Companies!$R$6:$R$55,MATCH(A25,Companies!$A$6:$A$55,0))=1,INDEX(Companies!$I$6:$I$55,MATCH(A25,Companies!$A$6:$A$55,0))&gt;=MAX(10,Rules!$B$22),C25&lt;&gt;"",D25=Y25,D25=Z25,OR(D25="Reported",D25="Adjusted",D25="Operating",D25="Core"),OR(R25="US GAAP",R25="IFRS"),Q25="Yes",AB25="Yes",COUNT(E25:I25)=5,F25&gt;0,H25&gt;0,E25&lt;=Rules!$B$6,Rules!$B$6-E25&lt;=Growth!$B$7,I25&gt;=E25,I25&lt;=Rules!$B$6,ABS(G25-EDATE(E25,-36))&lt;=31,ISNUMBER(AA25),AA25&gt;=G25,AA25&lt;=Rules!$B$6,COUNT(J25:M25)=4,J25&gt;Rules!$B$6,ABS(J25-EDATE(E25,12))&lt;=31,K25&lt;=L25,M25&gt;=E25,M25&lt;=Rules!$B$6,Rules!$B$6-M25&lt;=Growth!$B$6,N25&lt;&gt;"",O25&lt;&gt;"",P25&lt;&gt;"",S25&lt;&gt;""),1,0),0))</f>
        <v>0</v>
      </c>
      <c r="X25" s="105" t="str">
        <f t="array" ref="X25">IF(A25="","",IF(V25&lt;&gt;1,"Duplicate growth record",IF(COUNTIF(Companies!$A$6:$A$55,A25)&lt;&gt;1,"Map issuer",IF(INDEX(Companies!$R$6:$R$55,MATCH(A25,Companies!$A$6:$A$55,0))&lt;&gt;1,"Outside selected/approved universe",IF(COUNT(K25:L25)&lt;&gt;2,"Annual EPS guidance missing",IF(OR(Q25&lt;&gt;"Yes",AB25&lt;&gt;"Yes"),"Review scope/basis/history",IF(W25=1,"Ready","Check dates, positive EPS bases and source fields")))))))</f>
        <v/>
      </c>
      <c r="Y25" s="106"/>
      <c r="Z25" s="106"/>
      <c r="AA25" s="107"/>
      <c r="AB25" s="106"/>
    </row>
    <row r="26" ht="22.5" customHeight="1">
      <c r="A26" s="103"/>
      <c r="B26" s="105" t="str">
        <f t="array" ref="B26">IF(A26="","",IF(COUNTIF(Companies!$A$6:$A$55,A26)&lt;&gt;1,"Unmapped issuer",INDEX(Companies!$C$6:$C$55,MATCH(A26,Companies!$A$6:$A$55,0))))</f>
        <v/>
      </c>
      <c r="C26" s="103"/>
      <c r="D26" s="106"/>
      <c r="E26" s="107"/>
      <c r="F26" s="109"/>
      <c r="G26" s="107"/>
      <c r="H26" s="109"/>
      <c r="I26" s="107"/>
      <c r="J26" s="107"/>
      <c r="K26" s="109"/>
      <c r="L26" s="109"/>
      <c r="M26" s="107"/>
      <c r="N26" s="103"/>
      <c r="O26" s="103"/>
      <c r="P26" s="103"/>
      <c r="Q26" s="106"/>
      <c r="R26" s="106"/>
      <c r="S26" s="103"/>
      <c r="T26" s="110"/>
      <c r="U26" s="103"/>
      <c r="V26" s="111" t="str">
        <f t="shared" si="1"/>
        <v/>
      </c>
      <c r="W26" s="111">
        <f t="array" ref="W26">IF(A26="",0,IFERROR(IF(AND(V26=1,COUNTIF(Companies!$A$6:$A$55,A26)=1,INDEX(Companies!$R$6:$R$55,MATCH(A26,Companies!$A$6:$A$55,0))=1,INDEX(Companies!$I$6:$I$55,MATCH(A26,Companies!$A$6:$A$55,0))&gt;=MAX(10,Rules!$B$22),C26&lt;&gt;"",D26=Y26,D26=Z26,OR(D26="Reported",D26="Adjusted",D26="Operating",D26="Core"),OR(R26="US GAAP",R26="IFRS"),Q26="Yes",AB26="Yes",COUNT(E26:I26)=5,F26&gt;0,H26&gt;0,E26&lt;=Rules!$B$6,Rules!$B$6-E26&lt;=Growth!$B$7,I26&gt;=E26,I26&lt;=Rules!$B$6,ABS(G26-EDATE(E26,-36))&lt;=31,ISNUMBER(AA26),AA26&gt;=G26,AA26&lt;=Rules!$B$6,COUNT(J26:M26)=4,J26&gt;Rules!$B$6,ABS(J26-EDATE(E26,12))&lt;=31,K26&lt;=L26,M26&gt;=E26,M26&lt;=Rules!$B$6,Rules!$B$6-M26&lt;=Growth!$B$6,N26&lt;&gt;"",O26&lt;&gt;"",P26&lt;&gt;"",S26&lt;&gt;""),1,0),0))</f>
        <v>0</v>
      </c>
      <c r="X26" s="105" t="str">
        <f t="array" ref="X26">IF(A26="","",IF(V26&lt;&gt;1,"Duplicate growth record",IF(COUNTIF(Companies!$A$6:$A$55,A26)&lt;&gt;1,"Map issuer",IF(INDEX(Companies!$R$6:$R$55,MATCH(A26,Companies!$A$6:$A$55,0))&lt;&gt;1,"Outside selected/approved universe",IF(COUNT(K26:L26)&lt;&gt;2,"Annual EPS guidance missing",IF(OR(Q26&lt;&gt;"Yes",AB26&lt;&gt;"Yes"),"Review scope/basis/history",IF(W26=1,"Ready","Check dates, positive EPS bases and source fields")))))))</f>
        <v/>
      </c>
      <c r="Y26" s="106"/>
      <c r="Z26" s="106"/>
      <c r="AA26" s="107"/>
      <c r="AB26" s="106"/>
    </row>
    <row r="27" ht="22.5" customHeight="1">
      <c r="A27" s="103"/>
      <c r="B27" s="105" t="str">
        <f t="array" ref="B27">IF(A27="","",IF(COUNTIF(Companies!$A$6:$A$55,A27)&lt;&gt;1,"Unmapped issuer",INDEX(Companies!$C$6:$C$55,MATCH(A27,Companies!$A$6:$A$55,0))))</f>
        <v/>
      </c>
      <c r="C27" s="103"/>
      <c r="D27" s="106"/>
      <c r="E27" s="107"/>
      <c r="F27" s="109"/>
      <c r="G27" s="107"/>
      <c r="H27" s="109"/>
      <c r="I27" s="107"/>
      <c r="J27" s="107"/>
      <c r="K27" s="109"/>
      <c r="L27" s="109"/>
      <c r="M27" s="107"/>
      <c r="N27" s="103"/>
      <c r="O27" s="103"/>
      <c r="P27" s="103"/>
      <c r="Q27" s="106"/>
      <c r="R27" s="106"/>
      <c r="S27" s="103"/>
      <c r="T27" s="110"/>
      <c r="U27" s="103"/>
      <c r="V27" s="111" t="str">
        <f t="shared" si="1"/>
        <v/>
      </c>
      <c r="W27" s="111">
        <f t="array" ref="W27">IF(A27="",0,IFERROR(IF(AND(V27=1,COUNTIF(Companies!$A$6:$A$55,A27)=1,INDEX(Companies!$R$6:$R$55,MATCH(A27,Companies!$A$6:$A$55,0))=1,INDEX(Companies!$I$6:$I$55,MATCH(A27,Companies!$A$6:$A$55,0))&gt;=MAX(10,Rules!$B$22),C27&lt;&gt;"",D27=Y27,D27=Z27,OR(D27="Reported",D27="Adjusted",D27="Operating",D27="Core"),OR(R27="US GAAP",R27="IFRS"),Q27="Yes",AB27="Yes",COUNT(E27:I27)=5,F27&gt;0,H27&gt;0,E27&lt;=Rules!$B$6,Rules!$B$6-E27&lt;=Growth!$B$7,I27&gt;=E27,I27&lt;=Rules!$B$6,ABS(G27-EDATE(E27,-36))&lt;=31,ISNUMBER(AA27),AA27&gt;=G27,AA27&lt;=Rules!$B$6,COUNT(J27:M27)=4,J27&gt;Rules!$B$6,ABS(J27-EDATE(E27,12))&lt;=31,K27&lt;=L27,M27&gt;=E27,M27&lt;=Rules!$B$6,Rules!$B$6-M27&lt;=Growth!$B$6,N27&lt;&gt;"",O27&lt;&gt;"",P27&lt;&gt;"",S27&lt;&gt;""),1,0),0))</f>
        <v>0</v>
      </c>
      <c r="X27" s="105" t="str">
        <f t="array" ref="X27">IF(A27="","",IF(V27&lt;&gt;1,"Duplicate growth record",IF(COUNTIF(Companies!$A$6:$A$55,A27)&lt;&gt;1,"Map issuer",IF(INDEX(Companies!$R$6:$R$55,MATCH(A27,Companies!$A$6:$A$55,0))&lt;&gt;1,"Outside selected/approved universe",IF(COUNT(K27:L27)&lt;&gt;2,"Annual EPS guidance missing",IF(OR(Q27&lt;&gt;"Yes",AB27&lt;&gt;"Yes"),"Review scope/basis/history",IF(W27=1,"Ready","Check dates, positive EPS bases and source fields")))))))</f>
        <v/>
      </c>
      <c r="Y27" s="106"/>
      <c r="Z27" s="106"/>
      <c r="AA27" s="107"/>
      <c r="AB27" s="106"/>
    </row>
    <row r="28" ht="22.5" customHeight="1">
      <c r="A28" s="103"/>
      <c r="B28" s="105" t="str">
        <f t="array" ref="B28">IF(A28="","",IF(COUNTIF(Companies!$A$6:$A$55,A28)&lt;&gt;1,"Unmapped issuer",INDEX(Companies!$C$6:$C$55,MATCH(A28,Companies!$A$6:$A$55,0))))</f>
        <v/>
      </c>
      <c r="C28" s="103"/>
      <c r="D28" s="106"/>
      <c r="E28" s="107"/>
      <c r="F28" s="109"/>
      <c r="G28" s="107"/>
      <c r="H28" s="109"/>
      <c r="I28" s="107"/>
      <c r="J28" s="107"/>
      <c r="K28" s="109"/>
      <c r="L28" s="109"/>
      <c r="M28" s="107"/>
      <c r="N28" s="103"/>
      <c r="O28" s="103"/>
      <c r="P28" s="103"/>
      <c r="Q28" s="106"/>
      <c r="R28" s="106"/>
      <c r="S28" s="103"/>
      <c r="T28" s="110"/>
      <c r="U28" s="103"/>
      <c r="V28" s="111" t="str">
        <f t="shared" si="1"/>
        <v/>
      </c>
      <c r="W28" s="111">
        <f t="array" ref="W28">IF(A28="",0,IFERROR(IF(AND(V28=1,COUNTIF(Companies!$A$6:$A$55,A28)=1,INDEX(Companies!$R$6:$R$55,MATCH(A28,Companies!$A$6:$A$55,0))=1,INDEX(Companies!$I$6:$I$55,MATCH(A28,Companies!$A$6:$A$55,0))&gt;=MAX(10,Rules!$B$22),C28&lt;&gt;"",D28=Y28,D28=Z28,OR(D28="Reported",D28="Adjusted",D28="Operating",D28="Core"),OR(R28="US GAAP",R28="IFRS"),Q28="Yes",AB28="Yes",COUNT(E28:I28)=5,F28&gt;0,H28&gt;0,E28&lt;=Rules!$B$6,Rules!$B$6-E28&lt;=Growth!$B$7,I28&gt;=E28,I28&lt;=Rules!$B$6,ABS(G28-EDATE(E28,-36))&lt;=31,ISNUMBER(AA28),AA28&gt;=G28,AA28&lt;=Rules!$B$6,COUNT(J28:M28)=4,J28&gt;Rules!$B$6,ABS(J28-EDATE(E28,12))&lt;=31,K28&lt;=L28,M28&gt;=E28,M28&lt;=Rules!$B$6,Rules!$B$6-M28&lt;=Growth!$B$6,N28&lt;&gt;"",O28&lt;&gt;"",P28&lt;&gt;"",S28&lt;&gt;""),1,0),0))</f>
        <v>0</v>
      </c>
      <c r="X28" s="105" t="str">
        <f t="array" ref="X28">IF(A28="","",IF(V28&lt;&gt;1,"Duplicate growth record",IF(COUNTIF(Companies!$A$6:$A$55,A28)&lt;&gt;1,"Map issuer",IF(INDEX(Companies!$R$6:$R$55,MATCH(A28,Companies!$A$6:$A$55,0))&lt;&gt;1,"Outside selected/approved universe",IF(COUNT(K28:L28)&lt;&gt;2,"Annual EPS guidance missing",IF(OR(Q28&lt;&gt;"Yes",AB28&lt;&gt;"Yes"),"Review scope/basis/history",IF(W28=1,"Ready","Check dates, positive EPS bases and source fields")))))))</f>
        <v/>
      </c>
      <c r="Y28" s="106"/>
      <c r="Z28" s="106"/>
      <c r="AA28" s="107"/>
      <c r="AB28" s="106"/>
    </row>
    <row r="29" ht="22.5" customHeight="1">
      <c r="A29" s="103"/>
      <c r="B29" s="105" t="str">
        <f t="array" ref="B29">IF(A29="","",IF(COUNTIF(Companies!$A$6:$A$55,A29)&lt;&gt;1,"Unmapped issuer",INDEX(Companies!$C$6:$C$55,MATCH(A29,Companies!$A$6:$A$55,0))))</f>
        <v/>
      </c>
      <c r="C29" s="103"/>
      <c r="D29" s="106"/>
      <c r="E29" s="107"/>
      <c r="F29" s="109"/>
      <c r="G29" s="107"/>
      <c r="H29" s="109"/>
      <c r="I29" s="107"/>
      <c r="J29" s="107"/>
      <c r="K29" s="109"/>
      <c r="L29" s="109"/>
      <c r="M29" s="107"/>
      <c r="N29" s="103"/>
      <c r="O29" s="103"/>
      <c r="P29" s="103"/>
      <c r="Q29" s="106"/>
      <c r="R29" s="106"/>
      <c r="S29" s="103"/>
      <c r="T29" s="110"/>
      <c r="U29" s="103"/>
      <c r="V29" s="111" t="str">
        <f t="shared" si="1"/>
        <v/>
      </c>
      <c r="W29" s="111">
        <f t="array" ref="W29">IF(A29="",0,IFERROR(IF(AND(V29=1,COUNTIF(Companies!$A$6:$A$55,A29)=1,INDEX(Companies!$R$6:$R$55,MATCH(A29,Companies!$A$6:$A$55,0))=1,INDEX(Companies!$I$6:$I$55,MATCH(A29,Companies!$A$6:$A$55,0))&gt;=MAX(10,Rules!$B$22),C29&lt;&gt;"",D29=Y29,D29=Z29,OR(D29="Reported",D29="Adjusted",D29="Operating",D29="Core"),OR(R29="US GAAP",R29="IFRS"),Q29="Yes",AB29="Yes",COUNT(E29:I29)=5,F29&gt;0,H29&gt;0,E29&lt;=Rules!$B$6,Rules!$B$6-E29&lt;=Growth!$B$7,I29&gt;=E29,I29&lt;=Rules!$B$6,ABS(G29-EDATE(E29,-36))&lt;=31,ISNUMBER(AA29),AA29&gt;=G29,AA29&lt;=Rules!$B$6,COUNT(J29:M29)=4,J29&gt;Rules!$B$6,ABS(J29-EDATE(E29,12))&lt;=31,K29&lt;=L29,M29&gt;=E29,M29&lt;=Rules!$B$6,Rules!$B$6-M29&lt;=Growth!$B$6,N29&lt;&gt;"",O29&lt;&gt;"",P29&lt;&gt;"",S29&lt;&gt;""),1,0),0))</f>
        <v>0</v>
      </c>
      <c r="X29" s="105" t="str">
        <f t="array" ref="X29">IF(A29="","",IF(V29&lt;&gt;1,"Duplicate growth record",IF(COUNTIF(Companies!$A$6:$A$55,A29)&lt;&gt;1,"Map issuer",IF(INDEX(Companies!$R$6:$R$55,MATCH(A29,Companies!$A$6:$A$55,0))&lt;&gt;1,"Outside selected/approved universe",IF(COUNT(K29:L29)&lt;&gt;2,"Annual EPS guidance missing",IF(OR(Q29&lt;&gt;"Yes",AB29&lt;&gt;"Yes"),"Review scope/basis/history",IF(W29=1,"Ready","Check dates, positive EPS bases and source fields")))))))</f>
        <v/>
      </c>
      <c r="Y29" s="106"/>
      <c r="Z29" s="106"/>
      <c r="AA29" s="107"/>
      <c r="AB29" s="106"/>
    </row>
    <row r="30" ht="22.5" customHeight="1">
      <c r="A30" s="103"/>
      <c r="B30" s="105" t="str">
        <f t="array" ref="B30">IF(A30="","",IF(COUNTIF(Companies!$A$6:$A$55,A30)&lt;&gt;1,"Unmapped issuer",INDEX(Companies!$C$6:$C$55,MATCH(A30,Companies!$A$6:$A$55,0))))</f>
        <v/>
      </c>
      <c r="C30" s="103"/>
      <c r="D30" s="106"/>
      <c r="E30" s="107"/>
      <c r="F30" s="109"/>
      <c r="G30" s="107"/>
      <c r="H30" s="109"/>
      <c r="I30" s="107"/>
      <c r="J30" s="107"/>
      <c r="K30" s="109"/>
      <c r="L30" s="109"/>
      <c r="M30" s="107"/>
      <c r="N30" s="103"/>
      <c r="O30" s="103"/>
      <c r="P30" s="103"/>
      <c r="Q30" s="106"/>
      <c r="R30" s="106"/>
      <c r="S30" s="103"/>
      <c r="T30" s="110"/>
      <c r="U30" s="103"/>
      <c r="V30" s="111" t="str">
        <f t="shared" si="1"/>
        <v/>
      </c>
      <c r="W30" s="111">
        <f t="array" ref="W30">IF(A30="",0,IFERROR(IF(AND(V30=1,COUNTIF(Companies!$A$6:$A$55,A30)=1,INDEX(Companies!$R$6:$R$55,MATCH(A30,Companies!$A$6:$A$55,0))=1,INDEX(Companies!$I$6:$I$55,MATCH(A30,Companies!$A$6:$A$55,0))&gt;=MAX(10,Rules!$B$22),C30&lt;&gt;"",D30=Y30,D30=Z30,OR(D30="Reported",D30="Adjusted",D30="Operating",D30="Core"),OR(R30="US GAAP",R30="IFRS"),Q30="Yes",AB30="Yes",COUNT(E30:I30)=5,F30&gt;0,H30&gt;0,E30&lt;=Rules!$B$6,Rules!$B$6-E30&lt;=Growth!$B$7,I30&gt;=E30,I30&lt;=Rules!$B$6,ABS(G30-EDATE(E30,-36))&lt;=31,ISNUMBER(AA30),AA30&gt;=G30,AA30&lt;=Rules!$B$6,COUNT(J30:M30)=4,J30&gt;Rules!$B$6,ABS(J30-EDATE(E30,12))&lt;=31,K30&lt;=L30,M30&gt;=E30,M30&lt;=Rules!$B$6,Rules!$B$6-M30&lt;=Growth!$B$6,N30&lt;&gt;"",O30&lt;&gt;"",P30&lt;&gt;"",S30&lt;&gt;""),1,0),0))</f>
        <v>0</v>
      </c>
      <c r="X30" s="105" t="str">
        <f t="array" ref="X30">IF(A30="","",IF(V30&lt;&gt;1,"Duplicate growth record",IF(COUNTIF(Companies!$A$6:$A$55,A30)&lt;&gt;1,"Map issuer",IF(INDEX(Companies!$R$6:$R$55,MATCH(A30,Companies!$A$6:$A$55,0))&lt;&gt;1,"Outside selected/approved universe",IF(COUNT(K30:L30)&lt;&gt;2,"Annual EPS guidance missing",IF(OR(Q30&lt;&gt;"Yes",AB30&lt;&gt;"Yes"),"Review scope/basis/history",IF(W30=1,"Ready","Check dates, positive EPS bases and source fields")))))))</f>
        <v/>
      </c>
      <c r="Y30" s="106"/>
      <c r="Z30" s="106"/>
      <c r="AA30" s="107"/>
      <c r="AB30" s="106"/>
    </row>
    <row r="31" ht="22.5" customHeight="1">
      <c r="A31" s="103"/>
      <c r="B31" s="105" t="str">
        <f t="array" ref="B31">IF(A31="","",IF(COUNTIF(Companies!$A$6:$A$55,A31)&lt;&gt;1,"Unmapped issuer",INDEX(Companies!$C$6:$C$55,MATCH(A31,Companies!$A$6:$A$55,0))))</f>
        <v/>
      </c>
      <c r="C31" s="103"/>
      <c r="D31" s="106"/>
      <c r="E31" s="107"/>
      <c r="F31" s="109"/>
      <c r="G31" s="107"/>
      <c r="H31" s="109"/>
      <c r="I31" s="107"/>
      <c r="J31" s="107"/>
      <c r="K31" s="109"/>
      <c r="L31" s="109"/>
      <c r="M31" s="107"/>
      <c r="N31" s="103"/>
      <c r="O31" s="103"/>
      <c r="P31" s="103"/>
      <c r="Q31" s="106"/>
      <c r="R31" s="106"/>
      <c r="S31" s="103"/>
      <c r="T31" s="110"/>
      <c r="U31" s="103"/>
      <c r="V31" s="111" t="str">
        <f t="shared" si="1"/>
        <v/>
      </c>
      <c r="W31" s="111">
        <f t="array" ref="W31">IF(A31="",0,IFERROR(IF(AND(V31=1,COUNTIF(Companies!$A$6:$A$55,A31)=1,INDEX(Companies!$R$6:$R$55,MATCH(A31,Companies!$A$6:$A$55,0))=1,INDEX(Companies!$I$6:$I$55,MATCH(A31,Companies!$A$6:$A$55,0))&gt;=MAX(10,Rules!$B$22),C31&lt;&gt;"",D31=Y31,D31=Z31,OR(D31="Reported",D31="Adjusted",D31="Operating",D31="Core"),OR(R31="US GAAP",R31="IFRS"),Q31="Yes",AB31="Yes",COUNT(E31:I31)=5,F31&gt;0,H31&gt;0,E31&lt;=Rules!$B$6,Rules!$B$6-E31&lt;=Growth!$B$7,I31&gt;=E31,I31&lt;=Rules!$B$6,ABS(G31-EDATE(E31,-36))&lt;=31,ISNUMBER(AA31),AA31&gt;=G31,AA31&lt;=Rules!$B$6,COUNT(J31:M31)=4,J31&gt;Rules!$B$6,ABS(J31-EDATE(E31,12))&lt;=31,K31&lt;=L31,M31&gt;=E31,M31&lt;=Rules!$B$6,Rules!$B$6-M31&lt;=Growth!$B$6,N31&lt;&gt;"",O31&lt;&gt;"",P31&lt;&gt;"",S31&lt;&gt;""),1,0),0))</f>
        <v>0</v>
      </c>
      <c r="X31" s="105" t="str">
        <f t="array" ref="X31">IF(A31="","",IF(V31&lt;&gt;1,"Duplicate growth record",IF(COUNTIF(Companies!$A$6:$A$55,A31)&lt;&gt;1,"Map issuer",IF(INDEX(Companies!$R$6:$R$55,MATCH(A31,Companies!$A$6:$A$55,0))&lt;&gt;1,"Outside selected/approved universe",IF(COUNT(K31:L31)&lt;&gt;2,"Annual EPS guidance missing",IF(OR(Q31&lt;&gt;"Yes",AB31&lt;&gt;"Yes"),"Review scope/basis/history",IF(W31=1,"Ready","Check dates, positive EPS bases and source fields")))))))</f>
        <v/>
      </c>
      <c r="Y31" s="106"/>
      <c r="Z31" s="106"/>
      <c r="AA31" s="107"/>
      <c r="AB31" s="106"/>
    </row>
    <row r="32" ht="22.5" customHeight="1">
      <c r="A32" s="103"/>
      <c r="B32" s="105" t="str">
        <f t="array" ref="B32">IF(A32="","",IF(COUNTIF(Companies!$A$6:$A$55,A32)&lt;&gt;1,"Unmapped issuer",INDEX(Companies!$C$6:$C$55,MATCH(A32,Companies!$A$6:$A$55,0))))</f>
        <v/>
      </c>
      <c r="C32" s="103"/>
      <c r="D32" s="106"/>
      <c r="E32" s="107"/>
      <c r="F32" s="109"/>
      <c r="G32" s="107"/>
      <c r="H32" s="109"/>
      <c r="I32" s="107"/>
      <c r="J32" s="107"/>
      <c r="K32" s="109"/>
      <c r="L32" s="109"/>
      <c r="M32" s="107"/>
      <c r="N32" s="103"/>
      <c r="O32" s="103"/>
      <c r="P32" s="103"/>
      <c r="Q32" s="106"/>
      <c r="R32" s="106"/>
      <c r="S32" s="103"/>
      <c r="T32" s="110"/>
      <c r="U32" s="103"/>
      <c r="V32" s="111" t="str">
        <f t="shared" si="1"/>
        <v/>
      </c>
      <c r="W32" s="111">
        <f t="array" ref="W32">IF(A32="",0,IFERROR(IF(AND(V32=1,COUNTIF(Companies!$A$6:$A$55,A32)=1,INDEX(Companies!$R$6:$R$55,MATCH(A32,Companies!$A$6:$A$55,0))=1,INDEX(Companies!$I$6:$I$55,MATCH(A32,Companies!$A$6:$A$55,0))&gt;=MAX(10,Rules!$B$22),C32&lt;&gt;"",D32=Y32,D32=Z32,OR(D32="Reported",D32="Adjusted",D32="Operating",D32="Core"),OR(R32="US GAAP",R32="IFRS"),Q32="Yes",AB32="Yes",COUNT(E32:I32)=5,F32&gt;0,H32&gt;0,E32&lt;=Rules!$B$6,Rules!$B$6-E32&lt;=Growth!$B$7,I32&gt;=E32,I32&lt;=Rules!$B$6,ABS(G32-EDATE(E32,-36))&lt;=31,ISNUMBER(AA32),AA32&gt;=G32,AA32&lt;=Rules!$B$6,COUNT(J32:M32)=4,J32&gt;Rules!$B$6,ABS(J32-EDATE(E32,12))&lt;=31,K32&lt;=L32,M32&gt;=E32,M32&lt;=Rules!$B$6,Rules!$B$6-M32&lt;=Growth!$B$6,N32&lt;&gt;"",O32&lt;&gt;"",P32&lt;&gt;"",S32&lt;&gt;""),1,0),0))</f>
        <v>0</v>
      </c>
      <c r="X32" s="105" t="str">
        <f t="array" ref="X32">IF(A32="","",IF(V32&lt;&gt;1,"Duplicate growth record",IF(COUNTIF(Companies!$A$6:$A$55,A32)&lt;&gt;1,"Map issuer",IF(INDEX(Companies!$R$6:$R$55,MATCH(A32,Companies!$A$6:$A$55,0))&lt;&gt;1,"Outside selected/approved universe",IF(COUNT(K32:L32)&lt;&gt;2,"Annual EPS guidance missing",IF(OR(Q32&lt;&gt;"Yes",AB32&lt;&gt;"Yes"),"Review scope/basis/history",IF(W32=1,"Ready","Check dates, positive EPS bases and source fields")))))))</f>
        <v/>
      </c>
      <c r="Y32" s="106"/>
      <c r="Z32" s="106"/>
      <c r="AA32" s="107"/>
      <c r="AB32" s="106"/>
    </row>
    <row r="33" ht="22.5" customHeight="1">
      <c r="A33" s="103"/>
      <c r="B33" s="105" t="str">
        <f t="array" ref="B33">IF(A33="","",IF(COUNTIF(Companies!$A$6:$A$55,A33)&lt;&gt;1,"Unmapped issuer",INDEX(Companies!$C$6:$C$55,MATCH(A33,Companies!$A$6:$A$55,0))))</f>
        <v/>
      </c>
      <c r="C33" s="103"/>
      <c r="D33" s="106"/>
      <c r="E33" s="107"/>
      <c r="F33" s="109"/>
      <c r="G33" s="107"/>
      <c r="H33" s="109"/>
      <c r="I33" s="107"/>
      <c r="J33" s="107"/>
      <c r="K33" s="109"/>
      <c r="L33" s="109"/>
      <c r="M33" s="107"/>
      <c r="N33" s="103"/>
      <c r="O33" s="103"/>
      <c r="P33" s="103"/>
      <c r="Q33" s="106"/>
      <c r="R33" s="106"/>
      <c r="S33" s="103"/>
      <c r="T33" s="110"/>
      <c r="U33" s="103"/>
      <c r="V33" s="111" t="str">
        <f t="shared" si="1"/>
        <v/>
      </c>
      <c r="W33" s="111">
        <f t="array" ref="W33">IF(A33="",0,IFERROR(IF(AND(V33=1,COUNTIF(Companies!$A$6:$A$55,A33)=1,INDEX(Companies!$R$6:$R$55,MATCH(A33,Companies!$A$6:$A$55,0))=1,INDEX(Companies!$I$6:$I$55,MATCH(A33,Companies!$A$6:$A$55,0))&gt;=MAX(10,Rules!$B$22),C33&lt;&gt;"",D33=Y33,D33=Z33,OR(D33="Reported",D33="Adjusted",D33="Operating",D33="Core"),OR(R33="US GAAP",R33="IFRS"),Q33="Yes",AB33="Yes",COUNT(E33:I33)=5,F33&gt;0,H33&gt;0,E33&lt;=Rules!$B$6,Rules!$B$6-E33&lt;=Growth!$B$7,I33&gt;=E33,I33&lt;=Rules!$B$6,ABS(G33-EDATE(E33,-36))&lt;=31,ISNUMBER(AA33),AA33&gt;=G33,AA33&lt;=Rules!$B$6,COUNT(J33:M33)=4,J33&gt;Rules!$B$6,ABS(J33-EDATE(E33,12))&lt;=31,K33&lt;=L33,M33&gt;=E33,M33&lt;=Rules!$B$6,Rules!$B$6-M33&lt;=Growth!$B$6,N33&lt;&gt;"",O33&lt;&gt;"",P33&lt;&gt;"",S33&lt;&gt;""),1,0),0))</f>
        <v>0</v>
      </c>
      <c r="X33" s="105" t="str">
        <f t="array" ref="X33">IF(A33="","",IF(V33&lt;&gt;1,"Duplicate growth record",IF(COUNTIF(Companies!$A$6:$A$55,A33)&lt;&gt;1,"Map issuer",IF(INDEX(Companies!$R$6:$R$55,MATCH(A33,Companies!$A$6:$A$55,0))&lt;&gt;1,"Outside selected/approved universe",IF(COUNT(K33:L33)&lt;&gt;2,"Annual EPS guidance missing",IF(OR(Q33&lt;&gt;"Yes",AB33&lt;&gt;"Yes"),"Review scope/basis/history",IF(W33=1,"Ready","Check dates, positive EPS bases and source fields")))))))</f>
        <v/>
      </c>
      <c r="Y33" s="106"/>
      <c r="Z33" s="106"/>
      <c r="AA33" s="107"/>
      <c r="AB33" s="106"/>
    </row>
    <row r="34" ht="22.5" customHeight="1">
      <c r="A34" s="103"/>
      <c r="B34" s="105" t="str">
        <f t="array" ref="B34">IF(A34="","",IF(COUNTIF(Companies!$A$6:$A$55,A34)&lt;&gt;1,"Unmapped issuer",INDEX(Companies!$C$6:$C$55,MATCH(A34,Companies!$A$6:$A$55,0))))</f>
        <v/>
      </c>
      <c r="C34" s="103"/>
      <c r="D34" s="106"/>
      <c r="E34" s="107"/>
      <c r="F34" s="109"/>
      <c r="G34" s="107"/>
      <c r="H34" s="109"/>
      <c r="I34" s="107"/>
      <c r="J34" s="107"/>
      <c r="K34" s="109"/>
      <c r="L34" s="109"/>
      <c r="M34" s="107"/>
      <c r="N34" s="103"/>
      <c r="O34" s="103"/>
      <c r="P34" s="103"/>
      <c r="Q34" s="106"/>
      <c r="R34" s="106"/>
      <c r="S34" s="103"/>
      <c r="T34" s="110"/>
      <c r="U34" s="103"/>
      <c r="V34" s="111" t="str">
        <f t="shared" si="1"/>
        <v/>
      </c>
      <c r="W34" s="111">
        <f t="array" ref="W34">IF(A34="",0,IFERROR(IF(AND(V34=1,COUNTIF(Companies!$A$6:$A$55,A34)=1,INDEX(Companies!$R$6:$R$55,MATCH(A34,Companies!$A$6:$A$55,0))=1,INDEX(Companies!$I$6:$I$55,MATCH(A34,Companies!$A$6:$A$55,0))&gt;=MAX(10,Rules!$B$22),C34&lt;&gt;"",D34=Y34,D34=Z34,OR(D34="Reported",D34="Adjusted",D34="Operating",D34="Core"),OR(R34="US GAAP",R34="IFRS"),Q34="Yes",AB34="Yes",COUNT(E34:I34)=5,F34&gt;0,H34&gt;0,E34&lt;=Rules!$B$6,Rules!$B$6-E34&lt;=Growth!$B$7,I34&gt;=E34,I34&lt;=Rules!$B$6,ABS(G34-EDATE(E34,-36))&lt;=31,ISNUMBER(AA34),AA34&gt;=G34,AA34&lt;=Rules!$B$6,COUNT(J34:M34)=4,J34&gt;Rules!$B$6,ABS(J34-EDATE(E34,12))&lt;=31,K34&lt;=L34,M34&gt;=E34,M34&lt;=Rules!$B$6,Rules!$B$6-M34&lt;=Growth!$B$6,N34&lt;&gt;"",O34&lt;&gt;"",P34&lt;&gt;"",S34&lt;&gt;""),1,0),0))</f>
        <v>0</v>
      </c>
      <c r="X34" s="105" t="str">
        <f t="array" ref="X34">IF(A34="","",IF(V34&lt;&gt;1,"Duplicate growth record",IF(COUNTIF(Companies!$A$6:$A$55,A34)&lt;&gt;1,"Map issuer",IF(INDEX(Companies!$R$6:$R$55,MATCH(A34,Companies!$A$6:$A$55,0))&lt;&gt;1,"Outside selected/approved universe",IF(COUNT(K34:L34)&lt;&gt;2,"Annual EPS guidance missing",IF(OR(Q34&lt;&gt;"Yes",AB34&lt;&gt;"Yes"),"Review scope/basis/history",IF(W34=1,"Ready","Check dates, positive EPS bases and source fields")))))))</f>
        <v/>
      </c>
      <c r="Y34" s="106"/>
      <c r="Z34" s="106"/>
      <c r="AA34" s="107"/>
      <c r="AB34" s="106"/>
    </row>
    <row r="35" ht="22.5" customHeight="1">
      <c r="A35" s="103"/>
      <c r="B35" s="105" t="str">
        <f t="array" ref="B35">IF(A35="","",IF(COUNTIF(Companies!$A$6:$A$55,A35)&lt;&gt;1,"Unmapped issuer",INDEX(Companies!$C$6:$C$55,MATCH(A35,Companies!$A$6:$A$55,0))))</f>
        <v/>
      </c>
      <c r="C35" s="103"/>
      <c r="D35" s="106"/>
      <c r="E35" s="107"/>
      <c r="F35" s="109"/>
      <c r="G35" s="107"/>
      <c r="H35" s="109"/>
      <c r="I35" s="107"/>
      <c r="J35" s="107"/>
      <c r="K35" s="109"/>
      <c r="L35" s="109"/>
      <c r="M35" s="107"/>
      <c r="N35" s="103"/>
      <c r="O35" s="103"/>
      <c r="P35" s="103"/>
      <c r="Q35" s="106"/>
      <c r="R35" s="106"/>
      <c r="S35" s="103"/>
      <c r="T35" s="110"/>
      <c r="U35" s="103"/>
      <c r="V35" s="111" t="str">
        <f t="shared" si="1"/>
        <v/>
      </c>
      <c r="W35" s="111">
        <f t="array" ref="W35">IF(A35="",0,IFERROR(IF(AND(V35=1,COUNTIF(Companies!$A$6:$A$55,A35)=1,INDEX(Companies!$R$6:$R$55,MATCH(A35,Companies!$A$6:$A$55,0))=1,INDEX(Companies!$I$6:$I$55,MATCH(A35,Companies!$A$6:$A$55,0))&gt;=MAX(10,Rules!$B$22),C35&lt;&gt;"",D35=Y35,D35=Z35,OR(D35="Reported",D35="Adjusted",D35="Operating",D35="Core"),OR(R35="US GAAP",R35="IFRS"),Q35="Yes",AB35="Yes",COUNT(E35:I35)=5,F35&gt;0,H35&gt;0,E35&lt;=Rules!$B$6,Rules!$B$6-E35&lt;=Growth!$B$7,I35&gt;=E35,I35&lt;=Rules!$B$6,ABS(G35-EDATE(E35,-36))&lt;=31,ISNUMBER(AA35),AA35&gt;=G35,AA35&lt;=Rules!$B$6,COUNT(J35:M35)=4,J35&gt;Rules!$B$6,ABS(J35-EDATE(E35,12))&lt;=31,K35&lt;=L35,M35&gt;=E35,M35&lt;=Rules!$B$6,Rules!$B$6-M35&lt;=Growth!$B$6,N35&lt;&gt;"",O35&lt;&gt;"",P35&lt;&gt;"",S35&lt;&gt;""),1,0),0))</f>
        <v>0</v>
      </c>
      <c r="X35" s="105" t="str">
        <f t="array" ref="X35">IF(A35="","",IF(V35&lt;&gt;1,"Duplicate growth record",IF(COUNTIF(Companies!$A$6:$A$55,A35)&lt;&gt;1,"Map issuer",IF(INDEX(Companies!$R$6:$R$55,MATCH(A35,Companies!$A$6:$A$55,0))&lt;&gt;1,"Outside selected/approved universe",IF(COUNT(K35:L35)&lt;&gt;2,"Annual EPS guidance missing",IF(OR(Q35&lt;&gt;"Yes",AB35&lt;&gt;"Yes"),"Review scope/basis/history",IF(W35=1,"Ready","Check dates, positive EPS bases and source fields")))))))</f>
        <v/>
      </c>
      <c r="Y35" s="106"/>
      <c r="Z35" s="106"/>
      <c r="AA35" s="107"/>
      <c r="AB35" s="106"/>
    </row>
    <row r="36" ht="22.5" customHeight="1">
      <c r="A36" s="103"/>
      <c r="B36" s="105" t="str">
        <f t="array" ref="B36">IF(A36="","",IF(COUNTIF(Companies!$A$6:$A$55,A36)&lt;&gt;1,"Unmapped issuer",INDEX(Companies!$C$6:$C$55,MATCH(A36,Companies!$A$6:$A$55,0))))</f>
        <v/>
      </c>
      <c r="C36" s="103"/>
      <c r="D36" s="106"/>
      <c r="E36" s="107"/>
      <c r="F36" s="109"/>
      <c r="G36" s="107"/>
      <c r="H36" s="109"/>
      <c r="I36" s="107"/>
      <c r="J36" s="107"/>
      <c r="K36" s="109"/>
      <c r="L36" s="109"/>
      <c r="M36" s="107"/>
      <c r="N36" s="103"/>
      <c r="O36" s="103"/>
      <c r="P36" s="103"/>
      <c r="Q36" s="106"/>
      <c r="R36" s="106"/>
      <c r="S36" s="103"/>
      <c r="T36" s="110"/>
      <c r="U36" s="103"/>
      <c r="V36" s="111" t="str">
        <f t="shared" si="1"/>
        <v/>
      </c>
      <c r="W36" s="111">
        <f t="array" ref="W36">IF(A36="",0,IFERROR(IF(AND(V36=1,COUNTIF(Companies!$A$6:$A$55,A36)=1,INDEX(Companies!$R$6:$R$55,MATCH(A36,Companies!$A$6:$A$55,0))=1,INDEX(Companies!$I$6:$I$55,MATCH(A36,Companies!$A$6:$A$55,0))&gt;=MAX(10,Rules!$B$22),C36&lt;&gt;"",D36=Y36,D36=Z36,OR(D36="Reported",D36="Adjusted",D36="Operating",D36="Core"),OR(R36="US GAAP",R36="IFRS"),Q36="Yes",AB36="Yes",COUNT(E36:I36)=5,F36&gt;0,H36&gt;0,E36&lt;=Rules!$B$6,Rules!$B$6-E36&lt;=Growth!$B$7,I36&gt;=E36,I36&lt;=Rules!$B$6,ABS(G36-EDATE(E36,-36))&lt;=31,ISNUMBER(AA36),AA36&gt;=G36,AA36&lt;=Rules!$B$6,COUNT(J36:M36)=4,J36&gt;Rules!$B$6,ABS(J36-EDATE(E36,12))&lt;=31,K36&lt;=L36,M36&gt;=E36,M36&lt;=Rules!$B$6,Rules!$B$6-M36&lt;=Growth!$B$6,N36&lt;&gt;"",O36&lt;&gt;"",P36&lt;&gt;"",S36&lt;&gt;""),1,0),0))</f>
        <v>0</v>
      </c>
      <c r="X36" s="105" t="str">
        <f t="array" ref="X36">IF(A36="","",IF(V36&lt;&gt;1,"Duplicate growth record",IF(COUNTIF(Companies!$A$6:$A$55,A36)&lt;&gt;1,"Map issuer",IF(INDEX(Companies!$R$6:$R$55,MATCH(A36,Companies!$A$6:$A$55,0))&lt;&gt;1,"Outside selected/approved universe",IF(COUNT(K36:L36)&lt;&gt;2,"Annual EPS guidance missing",IF(OR(Q36&lt;&gt;"Yes",AB36&lt;&gt;"Yes"),"Review scope/basis/history",IF(W36=1,"Ready","Check dates, positive EPS bases and source fields")))))))</f>
        <v/>
      </c>
      <c r="Y36" s="106"/>
      <c r="Z36" s="106"/>
      <c r="AA36" s="107"/>
      <c r="AB36" s="106"/>
    </row>
    <row r="37" ht="22.5" customHeight="1">
      <c r="A37" s="103"/>
      <c r="B37" s="105" t="str">
        <f t="array" ref="B37">IF(A37="","",IF(COUNTIF(Companies!$A$6:$A$55,A37)&lt;&gt;1,"Unmapped issuer",INDEX(Companies!$C$6:$C$55,MATCH(A37,Companies!$A$6:$A$55,0))))</f>
        <v/>
      </c>
      <c r="C37" s="103"/>
      <c r="D37" s="106"/>
      <c r="E37" s="107"/>
      <c r="F37" s="109"/>
      <c r="G37" s="107"/>
      <c r="H37" s="109"/>
      <c r="I37" s="107"/>
      <c r="J37" s="107"/>
      <c r="K37" s="109"/>
      <c r="L37" s="109"/>
      <c r="M37" s="107"/>
      <c r="N37" s="103"/>
      <c r="O37" s="103"/>
      <c r="P37" s="103"/>
      <c r="Q37" s="106"/>
      <c r="R37" s="106"/>
      <c r="S37" s="103"/>
      <c r="T37" s="110"/>
      <c r="U37" s="103"/>
      <c r="V37" s="111" t="str">
        <f t="shared" si="1"/>
        <v/>
      </c>
      <c r="W37" s="111">
        <f t="array" ref="W37">IF(A37="",0,IFERROR(IF(AND(V37=1,COUNTIF(Companies!$A$6:$A$55,A37)=1,INDEX(Companies!$R$6:$R$55,MATCH(A37,Companies!$A$6:$A$55,0))=1,INDEX(Companies!$I$6:$I$55,MATCH(A37,Companies!$A$6:$A$55,0))&gt;=MAX(10,Rules!$B$22),C37&lt;&gt;"",D37=Y37,D37=Z37,OR(D37="Reported",D37="Adjusted",D37="Operating",D37="Core"),OR(R37="US GAAP",R37="IFRS"),Q37="Yes",AB37="Yes",COUNT(E37:I37)=5,F37&gt;0,H37&gt;0,E37&lt;=Rules!$B$6,Rules!$B$6-E37&lt;=Growth!$B$7,I37&gt;=E37,I37&lt;=Rules!$B$6,ABS(G37-EDATE(E37,-36))&lt;=31,ISNUMBER(AA37),AA37&gt;=G37,AA37&lt;=Rules!$B$6,COUNT(J37:M37)=4,J37&gt;Rules!$B$6,ABS(J37-EDATE(E37,12))&lt;=31,K37&lt;=L37,M37&gt;=E37,M37&lt;=Rules!$B$6,Rules!$B$6-M37&lt;=Growth!$B$6,N37&lt;&gt;"",O37&lt;&gt;"",P37&lt;&gt;"",S37&lt;&gt;""),1,0),0))</f>
        <v>0</v>
      </c>
      <c r="X37" s="105" t="str">
        <f t="array" ref="X37">IF(A37="","",IF(V37&lt;&gt;1,"Duplicate growth record",IF(COUNTIF(Companies!$A$6:$A$55,A37)&lt;&gt;1,"Map issuer",IF(INDEX(Companies!$R$6:$R$55,MATCH(A37,Companies!$A$6:$A$55,0))&lt;&gt;1,"Outside selected/approved universe",IF(COUNT(K37:L37)&lt;&gt;2,"Annual EPS guidance missing",IF(OR(Q37&lt;&gt;"Yes",AB37&lt;&gt;"Yes"),"Review scope/basis/history",IF(W37=1,"Ready","Check dates, positive EPS bases and source fields")))))))</f>
        <v/>
      </c>
      <c r="Y37" s="106"/>
      <c r="Z37" s="106"/>
      <c r="AA37" s="107"/>
      <c r="AB37" s="106"/>
    </row>
    <row r="38" ht="22.5" customHeight="1">
      <c r="A38" s="103"/>
      <c r="B38" s="105" t="str">
        <f t="array" ref="B38">IF(A38="","",IF(COUNTIF(Companies!$A$6:$A$55,A38)&lt;&gt;1,"Unmapped issuer",INDEX(Companies!$C$6:$C$55,MATCH(A38,Companies!$A$6:$A$55,0))))</f>
        <v/>
      </c>
      <c r="C38" s="103"/>
      <c r="D38" s="106"/>
      <c r="E38" s="107"/>
      <c r="F38" s="109"/>
      <c r="G38" s="107"/>
      <c r="H38" s="109"/>
      <c r="I38" s="107"/>
      <c r="J38" s="107"/>
      <c r="K38" s="109"/>
      <c r="L38" s="109"/>
      <c r="M38" s="107"/>
      <c r="N38" s="103"/>
      <c r="O38" s="103"/>
      <c r="P38" s="103"/>
      <c r="Q38" s="106"/>
      <c r="R38" s="106"/>
      <c r="S38" s="103"/>
      <c r="T38" s="110"/>
      <c r="U38" s="103"/>
      <c r="V38" s="111" t="str">
        <f t="shared" si="1"/>
        <v/>
      </c>
      <c r="W38" s="111">
        <f t="array" ref="W38">IF(A38="",0,IFERROR(IF(AND(V38=1,COUNTIF(Companies!$A$6:$A$55,A38)=1,INDEX(Companies!$R$6:$R$55,MATCH(A38,Companies!$A$6:$A$55,0))=1,INDEX(Companies!$I$6:$I$55,MATCH(A38,Companies!$A$6:$A$55,0))&gt;=MAX(10,Rules!$B$22),C38&lt;&gt;"",D38=Y38,D38=Z38,OR(D38="Reported",D38="Adjusted",D38="Operating",D38="Core"),OR(R38="US GAAP",R38="IFRS"),Q38="Yes",AB38="Yes",COUNT(E38:I38)=5,F38&gt;0,H38&gt;0,E38&lt;=Rules!$B$6,Rules!$B$6-E38&lt;=Growth!$B$7,I38&gt;=E38,I38&lt;=Rules!$B$6,ABS(G38-EDATE(E38,-36))&lt;=31,ISNUMBER(AA38),AA38&gt;=G38,AA38&lt;=Rules!$B$6,COUNT(J38:M38)=4,J38&gt;Rules!$B$6,ABS(J38-EDATE(E38,12))&lt;=31,K38&lt;=L38,M38&gt;=E38,M38&lt;=Rules!$B$6,Rules!$B$6-M38&lt;=Growth!$B$6,N38&lt;&gt;"",O38&lt;&gt;"",P38&lt;&gt;"",S38&lt;&gt;""),1,0),0))</f>
        <v>0</v>
      </c>
      <c r="X38" s="105" t="str">
        <f t="array" ref="X38">IF(A38="","",IF(V38&lt;&gt;1,"Duplicate growth record",IF(COUNTIF(Companies!$A$6:$A$55,A38)&lt;&gt;1,"Map issuer",IF(INDEX(Companies!$R$6:$R$55,MATCH(A38,Companies!$A$6:$A$55,0))&lt;&gt;1,"Outside selected/approved universe",IF(COUNT(K38:L38)&lt;&gt;2,"Annual EPS guidance missing",IF(OR(Q38&lt;&gt;"Yes",AB38&lt;&gt;"Yes"),"Review scope/basis/history",IF(W38=1,"Ready","Check dates, positive EPS bases and source fields")))))))</f>
        <v/>
      </c>
      <c r="Y38" s="106"/>
      <c r="Z38" s="106"/>
      <c r="AA38" s="107"/>
      <c r="AB38" s="106"/>
    </row>
    <row r="39" ht="22.5" customHeight="1">
      <c r="A39" s="103"/>
      <c r="B39" s="105" t="str">
        <f t="array" ref="B39">IF(A39="","",IF(COUNTIF(Companies!$A$6:$A$55,A39)&lt;&gt;1,"Unmapped issuer",INDEX(Companies!$C$6:$C$55,MATCH(A39,Companies!$A$6:$A$55,0))))</f>
        <v/>
      </c>
      <c r="C39" s="103"/>
      <c r="D39" s="106"/>
      <c r="E39" s="107"/>
      <c r="F39" s="109"/>
      <c r="G39" s="107"/>
      <c r="H39" s="109"/>
      <c r="I39" s="107"/>
      <c r="J39" s="107"/>
      <c r="K39" s="109"/>
      <c r="L39" s="109"/>
      <c r="M39" s="107"/>
      <c r="N39" s="103"/>
      <c r="O39" s="103"/>
      <c r="P39" s="103"/>
      <c r="Q39" s="106"/>
      <c r="R39" s="106"/>
      <c r="S39" s="103"/>
      <c r="T39" s="110"/>
      <c r="U39" s="103"/>
      <c r="V39" s="111" t="str">
        <f t="shared" si="1"/>
        <v/>
      </c>
      <c r="W39" s="111">
        <f t="array" ref="W39">IF(A39="",0,IFERROR(IF(AND(V39=1,COUNTIF(Companies!$A$6:$A$55,A39)=1,INDEX(Companies!$R$6:$R$55,MATCH(A39,Companies!$A$6:$A$55,0))=1,INDEX(Companies!$I$6:$I$55,MATCH(A39,Companies!$A$6:$A$55,0))&gt;=MAX(10,Rules!$B$22),C39&lt;&gt;"",D39=Y39,D39=Z39,OR(D39="Reported",D39="Adjusted",D39="Operating",D39="Core"),OR(R39="US GAAP",R39="IFRS"),Q39="Yes",AB39="Yes",COUNT(E39:I39)=5,F39&gt;0,H39&gt;0,E39&lt;=Rules!$B$6,Rules!$B$6-E39&lt;=Growth!$B$7,I39&gt;=E39,I39&lt;=Rules!$B$6,ABS(G39-EDATE(E39,-36))&lt;=31,ISNUMBER(AA39),AA39&gt;=G39,AA39&lt;=Rules!$B$6,COUNT(J39:M39)=4,J39&gt;Rules!$B$6,ABS(J39-EDATE(E39,12))&lt;=31,K39&lt;=L39,M39&gt;=E39,M39&lt;=Rules!$B$6,Rules!$B$6-M39&lt;=Growth!$B$6,N39&lt;&gt;"",O39&lt;&gt;"",P39&lt;&gt;"",S39&lt;&gt;""),1,0),0))</f>
        <v>0</v>
      </c>
      <c r="X39" s="105" t="str">
        <f t="array" ref="X39">IF(A39="","",IF(V39&lt;&gt;1,"Duplicate growth record",IF(COUNTIF(Companies!$A$6:$A$55,A39)&lt;&gt;1,"Map issuer",IF(INDEX(Companies!$R$6:$R$55,MATCH(A39,Companies!$A$6:$A$55,0))&lt;&gt;1,"Outside selected/approved universe",IF(COUNT(K39:L39)&lt;&gt;2,"Annual EPS guidance missing",IF(OR(Q39&lt;&gt;"Yes",AB39&lt;&gt;"Yes"),"Review scope/basis/history",IF(W39=1,"Ready","Check dates, positive EPS bases and source fields")))))))</f>
        <v/>
      </c>
      <c r="Y39" s="106"/>
      <c r="Z39" s="106"/>
      <c r="AA39" s="107"/>
      <c r="AB39" s="106"/>
    </row>
    <row r="40" ht="22.5" customHeight="1">
      <c r="A40" s="103"/>
      <c r="B40" s="105" t="str">
        <f t="array" ref="B40">IF(A40="","",IF(COUNTIF(Companies!$A$6:$A$55,A40)&lt;&gt;1,"Unmapped issuer",INDEX(Companies!$C$6:$C$55,MATCH(A40,Companies!$A$6:$A$55,0))))</f>
        <v/>
      </c>
      <c r="C40" s="103"/>
      <c r="D40" s="106"/>
      <c r="E40" s="107"/>
      <c r="F40" s="109"/>
      <c r="G40" s="107"/>
      <c r="H40" s="109"/>
      <c r="I40" s="107"/>
      <c r="J40" s="107"/>
      <c r="K40" s="109"/>
      <c r="L40" s="109"/>
      <c r="M40" s="107"/>
      <c r="N40" s="103"/>
      <c r="O40" s="103"/>
      <c r="P40" s="103"/>
      <c r="Q40" s="106"/>
      <c r="R40" s="106"/>
      <c r="S40" s="103"/>
      <c r="T40" s="110"/>
      <c r="U40" s="103"/>
      <c r="V40" s="111" t="str">
        <f t="shared" si="1"/>
        <v/>
      </c>
      <c r="W40" s="111">
        <f t="array" ref="W40">IF(A40="",0,IFERROR(IF(AND(V40=1,COUNTIF(Companies!$A$6:$A$55,A40)=1,INDEX(Companies!$R$6:$R$55,MATCH(A40,Companies!$A$6:$A$55,0))=1,INDEX(Companies!$I$6:$I$55,MATCH(A40,Companies!$A$6:$A$55,0))&gt;=MAX(10,Rules!$B$22),C40&lt;&gt;"",D40=Y40,D40=Z40,OR(D40="Reported",D40="Adjusted",D40="Operating",D40="Core"),OR(R40="US GAAP",R40="IFRS"),Q40="Yes",AB40="Yes",COUNT(E40:I40)=5,F40&gt;0,H40&gt;0,E40&lt;=Rules!$B$6,Rules!$B$6-E40&lt;=Growth!$B$7,I40&gt;=E40,I40&lt;=Rules!$B$6,ABS(G40-EDATE(E40,-36))&lt;=31,ISNUMBER(AA40),AA40&gt;=G40,AA40&lt;=Rules!$B$6,COUNT(J40:M40)=4,J40&gt;Rules!$B$6,ABS(J40-EDATE(E40,12))&lt;=31,K40&lt;=L40,M40&gt;=E40,M40&lt;=Rules!$B$6,Rules!$B$6-M40&lt;=Growth!$B$6,N40&lt;&gt;"",O40&lt;&gt;"",P40&lt;&gt;"",S40&lt;&gt;""),1,0),0))</f>
        <v>0</v>
      </c>
      <c r="X40" s="105" t="str">
        <f t="array" ref="X40">IF(A40="","",IF(V40&lt;&gt;1,"Duplicate growth record",IF(COUNTIF(Companies!$A$6:$A$55,A40)&lt;&gt;1,"Map issuer",IF(INDEX(Companies!$R$6:$R$55,MATCH(A40,Companies!$A$6:$A$55,0))&lt;&gt;1,"Outside selected/approved universe",IF(COUNT(K40:L40)&lt;&gt;2,"Annual EPS guidance missing",IF(OR(Q40&lt;&gt;"Yes",AB40&lt;&gt;"Yes"),"Review scope/basis/history",IF(W40=1,"Ready","Check dates, positive EPS bases and source fields")))))))</f>
        <v/>
      </c>
      <c r="Y40" s="106"/>
      <c r="Z40" s="106"/>
      <c r="AA40" s="107"/>
      <c r="AB40" s="106"/>
    </row>
    <row r="41" ht="22.5" customHeight="1">
      <c r="A41" s="103"/>
      <c r="B41" s="105" t="str">
        <f t="array" ref="B41">IF(A41="","",IF(COUNTIF(Companies!$A$6:$A$55,A41)&lt;&gt;1,"Unmapped issuer",INDEX(Companies!$C$6:$C$55,MATCH(A41,Companies!$A$6:$A$55,0))))</f>
        <v/>
      </c>
      <c r="C41" s="103"/>
      <c r="D41" s="106"/>
      <c r="E41" s="107"/>
      <c r="F41" s="109"/>
      <c r="G41" s="107"/>
      <c r="H41" s="109"/>
      <c r="I41" s="107"/>
      <c r="J41" s="107"/>
      <c r="K41" s="109"/>
      <c r="L41" s="109"/>
      <c r="M41" s="107"/>
      <c r="N41" s="103"/>
      <c r="O41" s="103"/>
      <c r="P41" s="103"/>
      <c r="Q41" s="106"/>
      <c r="R41" s="106"/>
      <c r="S41" s="103"/>
      <c r="T41" s="110"/>
      <c r="U41" s="103"/>
      <c r="V41" s="111" t="str">
        <f t="shared" si="1"/>
        <v/>
      </c>
      <c r="W41" s="111">
        <f t="array" ref="W41">IF(A41="",0,IFERROR(IF(AND(V41=1,COUNTIF(Companies!$A$6:$A$55,A41)=1,INDEX(Companies!$R$6:$R$55,MATCH(A41,Companies!$A$6:$A$55,0))=1,INDEX(Companies!$I$6:$I$55,MATCH(A41,Companies!$A$6:$A$55,0))&gt;=MAX(10,Rules!$B$22),C41&lt;&gt;"",D41=Y41,D41=Z41,OR(D41="Reported",D41="Adjusted",D41="Operating",D41="Core"),OR(R41="US GAAP",R41="IFRS"),Q41="Yes",AB41="Yes",COUNT(E41:I41)=5,F41&gt;0,H41&gt;0,E41&lt;=Rules!$B$6,Rules!$B$6-E41&lt;=Growth!$B$7,I41&gt;=E41,I41&lt;=Rules!$B$6,ABS(G41-EDATE(E41,-36))&lt;=31,ISNUMBER(AA41),AA41&gt;=G41,AA41&lt;=Rules!$B$6,COUNT(J41:M41)=4,J41&gt;Rules!$B$6,ABS(J41-EDATE(E41,12))&lt;=31,K41&lt;=L41,M41&gt;=E41,M41&lt;=Rules!$B$6,Rules!$B$6-M41&lt;=Growth!$B$6,N41&lt;&gt;"",O41&lt;&gt;"",P41&lt;&gt;"",S41&lt;&gt;""),1,0),0))</f>
        <v>0</v>
      </c>
      <c r="X41" s="105" t="str">
        <f t="array" ref="X41">IF(A41="","",IF(V41&lt;&gt;1,"Duplicate growth record",IF(COUNTIF(Companies!$A$6:$A$55,A41)&lt;&gt;1,"Map issuer",IF(INDEX(Companies!$R$6:$R$55,MATCH(A41,Companies!$A$6:$A$55,0))&lt;&gt;1,"Outside selected/approved universe",IF(COUNT(K41:L41)&lt;&gt;2,"Annual EPS guidance missing",IF(OR(Q41&lt;&gt;"Yes",AB41&lt;&gt;"Yes"),"Review scope/basis/history",IF(W41=1,"Ready","Check dates, positive EPS bases and source fields")))))))</f>
        <v/>
      </c>
      <c r="Y41" s="106"/>
      <c r="Z41" s="106"/>
      <c r="AA41" s="107"/>
      <c r="AB41" s="106"/>
    </row>
    <row r="42" ht="22.5" customHeight="1">
      <c r="A42" s="103"/>
      <c r="B42" s="105" t="str">
        <f t="array" ref="B42">IF(A42="","",IF(COUNTIF(Companies!$A$6:$A$55,A42)&lt;&gt;1,"Unmapped issuer",INDEX(Companies!$C$6:$C$55,MATCH(A42,Companies!$A$6:$A$55,0))))</f>
        <v/>
      </c>
      <c r="C42" s="103"/>
      <c r="D42" s="106"/>
      <c r="E42" s="107"/>
      <c r="F42" s="109"/>
      <c r="G42" s="107"/>
      <c r="H42" s="109"/>
      <c r="I42" s="107"/>
      <c r="J42" s="107"/>
      <c r="K42" s="109"/>
      <c r="L42" s="109"/>
      <c r="M42" s="107"/>
      <c r="N42" s="103"/>
      <c r="O42" s="103"/>
      <c r="P42" s="103"/>
      <c r="Q42" s="106"/>
      <c r="R42" s="106"/>
      <c r="S42" s="103"/>
      <c r="T42" s="110"/>
      <c r="U42" s="103"/>
      <c r="V42" s="111" t="str">
        <f t="shared" si="1"/>
        <v/>
      </c>
      <c r="W42" s="111">
        <f t="array" ref="W42">IF(A42="",0,IFERROR(IF(AND(V42=1,COUNTIF(Companies!$A$6:$A$55,A42)=1,INDEX(Companies!$R$6:$R$55,MATCH(A42,Companies!$A$6:$A$55,0))=1,INDEX(Companies!$I$6:$I$55,MATCH(A42,Companies!$A$6:$A$55,0))&gt;=MAX(10,Rules!$B$22),C42&lt;&gt;"",D42=Y42,D42=Z42,OR(D42="Reported",D42="Adjusted",D42="Operating",D42="Core"),OR(R42="US GAAP",R42="IFRS"),Q42="Yes",AB42="Yes",COUNT(E42:I42)=5,F42&gt;0,H42&gt;0,E42&lt;=Rules!$B$6,Rules!$B$6-E42&lt;=Growth!$B$7,I42&gt;=E42,I42&lt;=Rules!$B$6,ABS(G42-EDATE(E42,-36))&lt;=31,ISNUMBER(AA42),AA42&gt;=G42,AA42&lt;=Rules!$B$6,COUNT(J42:M42)=4,J42&gt;Rules!$B$6,ABS(J42-EDATE(E42,12))&lt;=31,K42&lt;=L42,M42&gt;=E42,M42&lt;=Rules!$B$6,Rules!$B$6-M42&lt;=Growth!$B$6,N42&lt;&gt;"",O42&lt;&gt;"",P42&lt;&gt;"",S42&lt;&gt;""),1,0),0))</f>
        <v>0</v>
      </c>
      <c r="X42" s="105" t="str">
        <f t="array" ref="X42">IF(A42="","",IF(V42&lt;&gt;1,"Duplicate growth record",IF(COUNTIF(Companies!$A$6:$A$55,A42)&lt;&gt;1,"Map issuer",IF(INDEX(Companies!$R$6:$R$55,MATCH(A42,Companies!$A$6:$A$55,0))&lt;&gt;1,"Outside selected/approved universe",IF(COUNT(K42:L42)&lt;&gt;2,"Annual EPS guidance missing",IF(OR(Q42&lt;&gt;"Yes",AB42&lt;&gt;"Yes"),"Review scope/basis/history",IF(W42=1,"Ready","Check dates, positive EPS bases and source fields")))))))</f>
        <v/>
      </c>
      <c r="Y42" s="106"/>
      <c r="Z42" s="106"/>
      <c r="AA42" s="107"/>
      <c r="AB42" s="106"/>
    </row>
    <row r="43" ht="22.5" customHeight="1">
      <c r="A43" s="103"/>
      <c r="B43" s="105" t="str">
        <f t="array" ref="B43">IF(A43="","",IF(COUNTIF(Companies!$A$6:$A$55,A43)&lt;&gt;1,"Unmapped issuer",INDEX(Companies!$C$6:$C$55,MATCH(A43,Companies!$A$6:$A$55,0))))</f>
        <v/>
      </c>
      <c r="C43" s="103"/>
      <c r="D43" s="106"/>
      <c r="E43" s="107"/>
      <c r="F43" s="109"/>
      <c r="G43" s="107"/>
      <c r="H43" s="109"/>
      <c r="I43" s="107"/>
      <c r="J43" s="107"/>
      <c r="K43" s="109"/>
      <c r="L43" s="109"/>
      <c r="M43" s="107"/>
      <c r="N43" s="103"/>
      <c r="O43" s="103"/>
      <c r="P43" s="103"/>
      <c r="Q43" s="106"/>
      <c r="R43" s="106"/>
      <c r="S43" s="103"/>
      <c r="T43" s="110"/>
      <c r="U43" s="103"/>
      <c r="V43" s="111" t="str">
        <f t="shared" si="1"/>
        <v/>
      </c>
      <c r="W43" s="111">
        <f t="array" ref="W43">IF(A43="",0,IFERROR(IF(AND(V43=1,COUNTIF(Companies!$A$6:$A$55,A43)=1,INDEX(Companies!$R$6:$R$55,MATCH(A43,Companies!$A$6:$A$55,0))=1,INDEX(Companies!$I$6:$I$55,MATCH(A43,Companies!$A$6:$A$55,0))&gt;=MAX(10,Rules!$B$22),C43&lt;&gt;"",D43=Y43,D43=Z43,OR(D43="Reported",D43="Adjusted",D43="Operating",D43="Core"),OR(R43="US GAAP",R43="IFRS"),Q43="Yes",AB43="Yes",COUNT(E43:I43)=5,F43&gt;0,H43&gt;0,E43&lt;=Rules!$B$6,Rules!$B$6-E43&lt;=Growth!$B$7,I43&gt;=E43,I43&lt;=Rules!$B$6,ABS(G43-EDATE(E43,-36))&lt;=31,ISNUMBER(AA43),AA43&gt;=G43,AA43&lt;=Rules!$B$6,COUNT(J43:M43)=4,J43&gt;Rules!$B$6,ABS(J43-EDATE(E43,12))&lt;=31,K43&lt;=L43,M43&gt;=E43,M43&lt;=Rules!$B$6,Rules!$B$6-M43&lt;=Growth!$B$6,N43&lt;&gt;"",O43&lt;&gt;"",P43&lt;&gt;"",S43&lt;&gt;""),1,0),0))</f>
        <v>0</v>
      </c>
      <c r="X43" s="105" t="str">
        <f t="array" ref="X43">IF(A43="","",IF(V43&lt;&gt;1,"Duplicate growth record",IF(COUNTIF(Companies!$A$6:$A$55,A43)&lt;&gt;1,"Map issuer",IF(INDEX(Companies!$R$6:$R$55,MATCH(A43,Companies!$A$6:$A$55,0))&lt;&gt;1,"Outside selected/approved universe",IF(COUNT(K43:L43)&lt;&gt;2,"Annual EPS guidance missing",IF(OR(Q43&lt;&gt;"Yes",AB43&lt;&gt;"Yes"),"Review scope/basis/history",IF(W43=1,"Ready","Check dates, positive EPS bases and source fields")))))))</f>
        <v/>
      </c>
      <c r="Y43" s="106"/>
      <c r="Z43" s="106"/>
      <c r="AA43" s="107"/>
      <c r="AB43" s="106"/>
    </row>
    <row r="44" ht="22.5" customHeight="1">
      <c r="A44" s="103"/>
      <c r="B44" s="105" t="str">
        <f t="array" ref="B44">IF(A44="","",IF(COUNTIF(Companies!$A$6:$A$55,A44)&lt;&gt;1,"Unmapped issuer",INDEX(Companies!$C$6:$C$55,MATCH(A44,Companies!$A$6:$A$55,0))))</f>
        <v/>
      </c>
      <c r="C44" s="103"/>
      <c r="D44" s="106"/>
      <c r="E44" s="107"/>
      <c r="F44" s="109"/>
      <c r="G44" s="107"/>
      <c r="H44" s="109"/>
      <c r="I44" s="107"/>
      <c r="J44" s="107"/>
      <c r="K44" s="109"/>
      <c r="L44" s="109"/>
      <c r="M44" s="107"/>
      <c r="N44" s="103"/>
      <c r="O44" s="103"/>
      <c r="P44" s="103"/>
      <c r="Q44" s="106"/>
      <c r="R44" s="106"/>
      <c r="S44" s="103"/>
      <c r="T44" s="110"/>
      <c r="U44" s="103"/>
      <c r="V44" s="111" t="str">
        <f t="shared" si="1"/>
        <v/>
      </c>
      <c r="W44" s="111">
        <f t="array" ref="W44">IF(A44="",0,IFERROR(IF(AND(V44=1,COUNTIF(Companies!$A$6:$A$55,A44)=1,INDEX(Companies!$R$6:$R$55,MATCH(A44,Companies!$A$6:$A$55,0))=1,INDEX(Companies!$I$6:$I$55,MATCH(A44,Companies!$A$6:$A$55,0))&gt;=MAX(10,Rules!$B$22),C44&lt;&gt;"",D44=Y44,D44=Z44,OR(D44="Reported",D44="Adjusted",D44="Operating",D44="Core"),OR(R44="US GAAP",R44="IFRS"),Q44="Yes",AB44="Yes",COUNT(E44:I44)=5,F44&gt;0,H44&gt;0,E44&lt;=Rules!$B$6,Rules!$B$6-E44&lt;=Growth!$B$7,I44&gt;=E44,I44&lt;=Rules!$B$6,ABS(G44-EDATE(E44,-36))&lt;=31,ISNUMBER(AA44),AA44&gt;=G44,AA44&lt;=Rules!$B$6,COUNT(J44:M44)=4,J44&gt;Rules!$B$6,ABS(J44-EDATE(E44,12))&lt;=31,K44&lt;=L44,M44&gt;=E44,M44&lt;=Rules!$B$6,Rules!$B$6-M44&lt;=Growth!$B$6,N44&lt;&gt;"",O44&lt;&gt;"",P44&lt;&gt;"",S44&lt;&gt;""),1,0),0))</f>
        <v>0</v>
      </c>
      <c r="X44" s="105" t="str">
        <f t="array" ref="X44">IF(A44="","",IF(V44&lt;&gt;1,"Duplicate growth record",IF(COUNTIF(Companies!$A$6:$A$55,A44)&lt;&gt;1,"Map issuer",IF(INDEX(Companies!$R$6:$R$55,MATCH(A44,Companies!$A$6:$A$55,0))&lt;&gt;1,"Outside selected/approved universe",IF(COUNT(K44:L44)&lt;&gt;2,"Annual EPS guidance missing",IF(OR(Q44&lt;&gt;"Yes",AB44&lt;&gt;"Yes"),"Review scope/basis/history",IF(W44=1,"Ready","Check dates, positive EPS bases and source fields")))))))</f>
        <v/>
      </c>
      <c r="Y44" s="106"/>
      <c r="Z44" s="106"/>
      <c r="AA44" s="107"/>
      <c r="AB44" s="106"/>
    </row>
    <row r="45" ht="22.5" customHeight="1">
      <c r="A45" s="103"/>
      <c r="B45" s="105" t="str">
        <f t="array" ref="B45">IF(A45="","",IF(COUNTIF(Companies!$A$6:$A$55,A45)&lt;&gt;1,"Unmapped issuer",INDEX(Companies!$C$6:$C$55,MATCH(A45,Companies!$A$6:$A$55,0))))</f>
        <v/>
      </c>
      <c r="C45" s="103"/>
      <c r="D45" s="106"/>
      <c r="E45" s="107"/>
      <c r="F45" s="109"/>
      <c r="G45" s="107"/>
      <c r="H45" s="109"/>
      <c r="I45" s="107"/>
      <c r="J45" s="107"/>
      <c r="K45" s="109"/>
      <c r="L45" s="109"/>
      <c r="M45" s="107"/>
      <c r="N45" s="103"/>
      <c r="O45" s="103"/>
      <c r="P45" s="103"/>
      <c r="Q45" s="106"/>
      <c r="R45" s="106"/>
      <c r="S45" s="103"/>
      <c r="T45" s="110"/>
      <c r="U45" s="103"/>
      <c r="V45" s="111" t="str">
        <f t="shared" si="1"/>
        <v/>
      </c>
      <c r="W45" s="111">
        <f t="array" ref="W45">IF(A45="",0,IFERROR(IF(AND(V45=1,COUNTIF(Companies!$A$6:$A$55,A45)=1,INDEX(Companies!$R$6:$R$55,MATCH(A45,Companies!$A$6:$A$55,0))=1,INDEX(Companies!$I$6:$I$55,MATCH(A45,Companies!$A$6:$A$55,0))&gt;=MAX(10,Rules!$B$22),C45&lt;&gt;"",D45=Y45,D45=Z45,OR(D45="Reported",D45="Adjusted",D45="Operating",D45="Core"),OR(R45="US GAAP",R45="IFRS"),Q45="Yes",AB45="Yes",COUNT(E45:I45)=5,F45&gt;0,H45&gt;0,E45&lt;=Rules!$B$6,Rules!$B$6-E45&lt;=Growth!$B$7,I45&gt;=E45,I45&lt;=Rules!$B$6,ABS(G45-EDATE(E45,-36))&lt;=31,ISNUMBER(AA45),AA45&gt;=G45,AA45&lt;=Rules!$B$6,COUNT(J45:M45)=4,J45&gt;Rules!$B$6,ABS(J45-EDATE(E45,12))&lt;=31,K45&lt;=L45,M45&gt;=E45,M45&lt;=Rules!$B$6,Rules!$B$6-M45&lt;=Growth!$B$6,N45&lt;&gt;"",O45&lt;&gt;"",P45&lt;&gt;"",S45&lt;&gt;""),1,0),0))</f>
        <v>0</v>
      </c>
      <c r="X45" s="105" t="str">
        <f t="array" ref="X45">IF(A45="","",IF(V45&lt;&gt;1,"Duplicate growth record",IF(COUNTIF(Companies!$A$6:$A$55,A45)&lt;&gt;1,"Map issuer",IF(INDEX(Companies!$R$6:$R$55,MATCH(A45,Companies!$A$6:$A$55,0))&lt;&gt;1,"Outside selected/approved universe",IF(COUNT(K45:L45)&lt;&gt;2,"Annual EPS guidance missing",IF(OR(Q45&lt;&gt;"Yes",AB45&lt;&gt;"Yes"),"Review scope/basis/history",IF(W45=1,"Ready","Check dates, positive EPS bases and source fields")))))))</f>
        <v/>
      </c>
      <c r="Y45" s="106"/>
      <c r="Z45" s="106"/>
      <c r="AA45" s="107"/>
      <c r="AB45" s="106"/>
    </row>
    <row r="46" ht="22.5" customHeight="1">
      <c r="A46" s="103"/>
      <c r="B46" s="105" t="str">
        <f t="array" ref="B46">IF(A46="","",IF(COUNTIF(Companies!$A$6:$A$55,A46)&lt;&gt;1,"Unmapped issuer",INDEX(Companies!$C$6:$C$55,MATCH(A46,Companies!$A$6:$A$55,0))))</f>
        <v/>
      </c>
      <c r="C46" s="103"/>
      <c r="D46" s="106"/>
      <c r="E46" s="107"/>
      <c r="F46" s="109"/>
      <c r="G46" s="107"/>
      <c r="H46" s="109"/>
      <c r="I46" s="107"/>
      <c r="J46" s="107"/>
      <c r="K46" s="109"/>
      <c r="L46" s="109"/>
      <c r="M46" s="107"/>
      <c r="N46" s="103"/>
      <c r="O46" s="103"/>
      <c r="P46" s="103"/>
      <c r="Q46" s="106"/>
      <c r="R46" s="106"/>
      <c r="S46" s="103"/>
      <c r="T46" s="110"/>
      <c r="U46" s="103"/>
      <c r="V46" s="111" t="str">
        <f t="shared" si="1"/>
        <v/>
      </c>
      <c r="W46" s="111">
        <f t="array" ref="W46">IF(A46="",0,IFERROR(IF(AND(V46=1,COUNTIF(Companies!$A$6:$A$55,A46)=1,INDEX(Companies!$R$6:$R$55,MATCH(A46,Companies!$A$6:$A$55,0))=1,INDEX(Companies!$I$6:$I$55,MATCH(A46,Companies!$A$6:$A$55,0))&gt;=MAX(10,Rules!$B$22),C46&lt;&gt;"",D46=Y46,D46=Z46,OR(D46="Reported",D46="Adjusted",D46="Operating",D46="Core"),OR(R46="US GAAP",R46="IFRS"),Q46="Yes",AB46="Yes",COUNT(E46:I46)=5,F46&gt;0,H46&gt;0,E46&lt;=Rules!$B$6,Rules!$B$6-E46&lt;=Growth!$B$7,I46&gt;=E46,I46&lt;=Rules!$B$6,ABS(G46-EDATE(E46,-36))&lt;=31,ISNUMBER(AA46),AA46&gt;=G46,AA46&lt;=Rules!$B$6,COUNT(J46:M46)=4,J46&gt;Rules!$B$6,ABS(J46-EDATE(E46,12))&lt;=31,K46&lt;=L46,M46&gt;=E46,M46&lt;=Rules!$B$6,Rules!$B$6-M46&lt;=Growth!$B$6,N46&lt;&gt;"",O46&lt;&gt;"",P46&lt;&gt;"",S46&lt;&gt;""),1,0),0))</f>
        <v>0</v>
      </c>
      <c r="X46" s="105" t="str">
        <f t="array" ref="X46">IF(A46="","",IF(V46&lt;&gt;1,"Duplicate growth record",IF(COUNTIF(Companies!$A$6:$A$55,A46)&lt;&gt;1,"Map issuer",IF(INDEX(Companies!$R$6:$R$55,MATCH(A46,Companies!$A$6:$A$55,0))&lt;&gt;1,"Outside selected/approved universe",IF(COUNT(K46:L46)&lt;&gt;2,"Annual EPS guidance missing",IF(OR(Q46&lt;&gt;"Yes",AB46&lt;&gt;"Yes"),"Review scope/basis/history",IF(W46=1,"Ready","Check dates, positive EPS bases and source fields")))))))</f>
        <v/>
      </c>
      <c r="Y46" s="106"/>
      <c r="Z46" s="106"/>
      <c r="AA46" s="107"/>
      <c r="AB46" s="106"/>
    </row>
    <row r="47" ht="22.5" customHeight="1">
      <c r="A47" s="103"/>
      <c r="B47" s="105" t="str">
        <f t="array" ref="B47">IF(A47="","",IF(COUNTIF(Companies!$A$6:$A$55,A47)&lt;&gt;1,"Unmapped issuer",INDEX(Companies!$C$6:$C$55,MATCH(A47,Companies!$A$6:$A$55,0))))</f>
        <v/>
      </c>
      <c r="C47" s="103"/>
      <c r="D47" s="106"/>
      <c r="E47" s="107"/>
      <c r="F47" s="109"/>
      <c r="G47" s="107"/>
      <c r="H47" s="109"/>
      <c r="I47" s="107"/>
      <c r="J47" s="107"/>
      <c r="K47" s="109"/>
      <c r="L47" s="109"/>
      <c r="M47" s="107"/>
      <c r="N47" s="103"/>
      <c r="O47" s="103"/>
      <c r="P47" s="103"/>
      <c r="Q47" s="106"/>
      <c r="R47" s="106"/>
      <c r="S47" s="103"/>
      <c r="T47" s="110"/>
      <c r="U47" s="103"/>
      <c r="V47" s="111" t="str">
        <f t="shared" si="1"/>
        <v/>
      </c>
      <c r="W47" s="111">
        <f t="array" ref="W47">IF(A47="",0,IFERROR(IF(AND(V47=1,COUNTIF(Companies!$A$6:$A$55,A47)=1,INDEX(Companies!$R$6:$R$55,MATCH(A47,Companies!$A$6:$A$55,0))=1,INDEX(Companies!$I$6:$I$55,MATCH(A47,Companies!$A$6:$A$55,0))&gt;=MAX(10,Rules!$B$22),C47&lt;&gt;"",D47=Y47,D47=Z47,OR(D47="Reported",D47="Adjusted",D47="Operating",D47="Core"),OR(R47="US GAAP",R47="IFRS"),Q47="Yes",AB47="Yes",COUNT(E47:I47)=5,F47&gt;0,H47&gt;0,E47&lt;=Rules!$B$6,Rules!$B$6-E47&lt;=Growth!$B$7,I47&gt;=E47,I47&lt;=Rules!$B$6,ABS(G47-EDATE(E47,-36))&lt;=31,ISNUMBER(AA47),AA47&gt;=G47,AA47&lt;=Rules!$B$6,COUNT(J47:M47)=4,J47&gt;Rules!$B$6,ABS(J47-EDATE(E47,12))&lt;=31,K47&lt;=L47,M47&gt;=E47,M47&lt;=Rules!$B$6,Rules!$B$6-M47&lt;=Growth!$B$6,N47&lt;&gt;"",O47&lt;&gt;"",P47&lt;&gt;"",S47&lt;&gt;""),1,0),0))</f>
        <v>0</v>
      </c>
      <c r="X47" s="105" t="str">
        <f t="array" ref="X47">IF(A47="","",IF(V47&lt;&gt;1,"Duplicate growth record",IF(COUNTIF(Companies!$A$6:$A$55,A47)&lt;&gt;1,"Map issuer",IF(INDEX(Companies!$R$6:$R$55,MATCH(A47,Companies!$A$6:$A$55,0))&lt;&gt;1,"Outside selected/approved universe",IF(COUNT(K47:L47)&lt;&gt;2,"Annual EPS guidance missing",IF(OR(Q47&lt;&gt;"Yes",AB47&lt;&gt;"Yes"),"Review scope/basis/history",IF(W47=1,"Ready","Check dates, positive EPS bases and source fields")))))))</f>
        <v/>
      </c>
      <c r="Y47" s="106"/>
      <c r="Z47" s="106"/>
      <c r="AA47" s="107"/>
      <c r="AB47" s="106"/>
    </row>
    <row r="48" ht="22.5" customHeight="1">
      <c r="A48" s="103"/>
      <c r="B48" s="105" t="str">
        <f t="array" ref="B48">IF(A48="","",IF(COUNTIF(Companies!$A$6:$A$55,A48)&lt;&gt;1,"Unmapped issuer",INDEX(Companies!$C$6:$C$55,MATCH(A48,Companies!$A$6:$A$55,0))))</f>
        <v/>
      </c>
      <c r="C48" s="103"/>
      <c r="D48" s="106"/>
      <c r="E48" s="107"/>
      <c r="F48" s="109"/>
      <c r="G48" s="107"/>
      <c r="H48" s="109"/>
      <c r="I48" s="107"/>
      <c r="J48" s="107"/>
      <c r="K48" s="109"/>
      <c r="L48" s="109"/>
      <c r="M48" s="107"/>
      <c r="N48" s="103"/>
      <c r="O48" s="103"/>
      <c r="P48" s="103"/>
      <c r="Q48" s="106"/>
      <c r="R48" s="106"/>
      <c r="S48" s="103"/>
      <c r="T48" s="110"/>
      <c r="U48" s="103"/>
      <c r="V48" s="111" t="str">
        <f t="shared" si="1"/>
        <v/>
      </c>
      <c r="W48" s="111">
        <f t="array" ref="W48">IF(A48="",0,IFERROR(IF(AND(V48=1,COUNTIF(Companies!$A$6:$A$55,A48)=1,INDEX(Companies!$R$6:$R$55,MATCH(A48,Companies!$A$6:$A$55,0))=1,INDEX(Companies!$I$6:$I$55,MATCH(A48,Companies!$A$6:$A$55,0))&gt;=MAX(10,Rules!$B$22),C48&lt;&gt;"",D48=Y48,D48=Z48,OR(D48="Reported",D48="Adjusted",D48="Operating",D48="Core"),OR(R48="US GAAP",R48="IFRS"),Q48="Yes",AB48="Yes",COUNT(E48:I48)=5,F48&gt;0,H48&gt;0,E48&lt;=Rules!$B$6,Rules!$B$6-E48&lt;=Growth!$B$7,I48&gt;=E48,I48&lt;=Rules!$B$6,ABS(G48-EDATE(E48,-36))&lt;=31,ISNUMBER(AA48),AA48&gt;=G48,AA48&lt;=Rules!$B$6,COUNT(J48:M48)=4,J48&gt;Rules!$B$6,ABS(J48-EDATE(E48,12))&lt;=31,K48&lt;=L48,M48&gt;=E48,M48&lt;=Rules!$B$6,Rules!$B$6-M48&lt;=Growth!$B$6,N48&lt;&gt;"",O48&lt;&gt;"",P48&lt;&gt;"",S48&lt;&gt;""),1,0),0))</f>
        <v>0</v>
      </c>
      <c r="X48" s="105" t="str">
        <f t="array" ref="X48">IF(A48="","",IF(V48&lt;&gt;1,"Duplicate growth record",IF(COUNTIF(Companies!$A$6:$A$55,A48)&lt;&gt;1,"Map issuer",IF(INDEX(Companies!$R$6:$R$55,MATCH(A48,Companies!$A$6:$A$55,0))&lt;&gt;1,"Outside selected/approved universe",IF(COUNT(K48:L48)&lt;&gt;2,"Annual EPS guidance missing",IF(OR(Q48&lt;&gt;"Yes",AB48&lt;&gt;"Yes"),"Review scope/basis/history",IF(W48=1,"Ready","Check dates, positive EPS bases and source fields")))))))</f>
        <v/>
      </c>
      <c r="Y48" s="106"/>
      <c r="Z48" s="106"/>
      <c r="AA48" s="107"/>
      <c r="AB48" s="106"/>
    </row>
    <row r="49" ht="22.5" customHeight="1">
      <c r="A49" s="103"/>
      <c r="B49" s="105" t="str">
        <f t="array" ref="B49">IF(A49="","",IF(COUNTIF(Companies!$A$6:$A$55,A49)&lt;&gt;1,"Unmapped issuer",INDEX(Companies!$C$6:$C$55,MATCH(A49,Companies!$A$6:$A$55,0))))</f>
        <v/>
      </c>
      <c r="C49" s="103"/>
      <c r="D49" s="106"/>
      <c r="E49" s="107"/>
      <c r="F49" s="109"/>
      <c r="G49" s="107"/>
      <c r="H49" s="109"/>
      <c r="I49" s="107"/>
      <c r="J49" s="107"/>
      <c r="K49" s="109"/>
      <c r="L49" s="109"/>
      <c r="M49" s="107"/>
      <c r="N49" s="103"/>
      <c r="O49" s="103"/>
      <c r="P49" s="103"/>
      <c r="Q49" s="106"/>
      <c r="R49" s="106"/>
      <c r="S49" s="103"/>
      <c r="T49" s="110"/>
      <c r="U49" s="103"/>
      <c r="V49" s="111" t="str">
        <f t="shared" si="1"/>
        <v/>
      </c>
      <c r="W49" s="111">
        <f t="array" ref="W49">IF(A49="",0,IFERROR(IF(AND(V49=1,COUNTIF(Companies!$A$6:$A$55,A49)=1,INDEX(Companies!$R$6:$R$55,MATCH(A49,Companies!$A$6:$A$55,0))=1,INDEX(Companies!$I$6:$I$55,MATCH(A49,Companies!$A$6:$A$55,0))&gt;=MAX(10,Rules!$B$22),C49&lt;&gt;"",D49=Y49,D49=Z49,OR(D49="Reported",D49="Adjusted",D49="Operating",D49="Core"),OR(R49="US GAAP",R49="IFRS"),Q49="Yes",AB49="Yes",COUNT(E49:I49)=5,F49&gt;0,H49&gt;0,E49&lt;=Rules!$B$6,Rules!$B$6-E49&lt;=Growth!$B$7,I49&gt;=E49,I49&lt;=Rules!$B$6,ABS(G49-EDATE(E49,-36))&lt;=31,ISNUMBER(AA49),AA49&gt;=G49,AA49&lt;=Rules!$B$6,COUNT(J49:M49)=4,J49&gt;Rules!$B$6,ABS(J49-EDATE(E49,12))&lt;=31,K49&lt;=L49,M49&gt;=E49,M49&lt;=Rules!$B$6,Rules!$B$6-M49&lt;=Growth!$B$6,N49&lt;&gt;"",O49&lt;&gt;"",P49&lt;&gt;"",S49&lt;&gt;""),1,0),0))</f>
        <v>0</v>
      </c>
      <c r="X49" s="105" t="str">
        <f t="array" ref="X49">IF(A49="","",IF(V49&lt;&gt;1,"Duplicate growth record",IF(COUNTIF(Companies!$A$6:$A$55,A49)&lt;&gt;1,"Map issuer",IF(INDEX(Companies!$R$6:$R$55,MATCH(A49,Companies!$A$6:$A$55,0))&lt;&gt;1,"Outside selected/approved universe",IF(COUNT(K49:L49)&lt;&gt;2,"Annual EPS guidance missing",IF(OR(Q49&lt;&gt;"Yes",AB49&lt;&gt;"Yes"),"Review scope/basis/history",IF(W49=1,"Ready","Check dates, positive EPS bases and source fields")))))))</f>
        <v/>
      </c>
      <c r="Y49" s="106"/>
      <c r="Z49" s="106"/>
      <c r="AA49" s="107"/>
      <c r="AB49" s="106"/>
    </row>
    <row r="50" ht="22.5" customHeight="1">
      <c r="A50" s="103"/>
      <c r="B50" s="105" t="str">
        <f t="array" ref="B50">IF(A50="","",IF(COUNTIF(Companies!$A$6:$A$55,A50)&lt;&gt;1,"Unmapped issuer",INDEX(Companies!$C$6:$C$55,MATCH(A50,Companies!$A$6:$A$55,0))))</f>
        <v/>
      </c>
      <c r="C50" s="103"/>
      <c r="D50" s="106"/>
      <c r="E50" s="107"/>
      <c r="F50" s="109"/>
      <c r="G50" s="107"/>
      <c r="H50" s="109"/>
      <c r="I50" s="107"/>
      <c r="J50" s="107"/>
      <c r="K50" s="109"/>
      <c r="L50" s="109"/>
      <c r="M50" s="107"/>
      <c r="N50" s="103"/>
      <c r="O50" s="103"/>
      <c r="P50" s="103"/>
      <c r="Q50" s="106"/>
      <c r="R50" s="106"/>
      <c r="S50" s="103"/>
      <c r="T50" s="110"/>
      <c r="U50" s="103"/>
      <c r="V50" s="111" t="str">
        <f t="shared" si="1"/>
        <v/>
      </c>
      <c r="W50" s="111">
        <f t="array" ref="W50">IF(A50="",0,IFERROR(IF(AND(V50=1,COUNTIF(Companies!$A$6:$A$55,A50)=1,INDEX(Companies!$R$6:$R$55,MATCH(A50,Companies!$A$6:$A$55,0))=1,INDEX(Companies!$I$6:$I$55,MATCH(A50,Companies!$A$6:$A$55,0))&gt;=MAX(10,Rules!$B$22),C50&lt;&gt;"",D50=Y50,D50=Z50,OR(D50="Reported",D50="Adjusted",D50="Operating",D50="Core"),OR(R50="US GAAP",R50="IFRS"),Q50="Yes",AB50="Yes",COUNT(E50:I50)=5,F50&gt;0,H50&gt;0,E50&lt;=Rules!$B$6,Rules!$B$6-E50&lt;=Growth!$B$7,I50&gt;=E50,I50&lt;=Rules!$B$6,ABS(G50-EDATE(E50,-36))&lt;=31,ISNUMBER(AA50),AA50&gt;=G50,AA50&lt;=Rules!$B$6,COUNT(J50:M50)=4,J50&gt;Rules!$B$6,ABS(J50-EDATE(E50,12))&lt;=31,K50&lt;=L50,M50&gt;=E50,M50&lt;=Rules!$B$6,Rules!$B$6-M50&lt;=Growth!$B$6,N50&lt;&gt;"",O50&lt;&gt;"",P50&lt;&gt;"",S50&lt;&gt;""),1,0),0))</f>
        <v>0</v>
      </c>
      <c r="X50" s="105" t="str">
        <f t="array" ref="X50">IF(A50="","",IF(V50&lt;&gt;1,"Duplicate growth record",IF(COUNTIF(Companies!$A$6:$A$55,A50)&lt;&gt;1,"Map issuer",IF(INDEX(Companies!$R$6:$R$55,MATCH(A50,Companies!$A$6:$A$55,0))&lt;&gt;1,"Outside selected/approved universe",IF(COUNT(K50:L50)&lt;&gt;2,"Annual EPS guidance missing",IF(OR(Q50&lt;&gt;"Yes",AB50&lt;&gt;"Yes"),"Review scope/basis/history",IF(W50=1,"Ready","Check dates, positive EPS bases and source fields")))))))</f>
        <v/>
      </c>
      <c r="Y50" s="106"/>
      <c r="Z50" s="106"/>
      <c r="AA50" s="107"/>
      <c r="AB50" s="106"/>
    </row>
    <row r="51" ht="22.5" customHeight="1">
      <c r="A51" s="103"/>
      <c r="B51" s="105" t="str">
        <f t="array" ref="B51">IF(A51="","",IF(COUNTIF(Companies!$A$6:$A$55,A51)&lt;&gt;1,"Unmapped issuer",INDEX(Companies!$C$6:$C$55,MATCH(A51,Companies!$A$6:$A$55,0))))</f>
        <v/>
      </c>
      <c r="C51" s="103"/>
      <c r="D51" s="106"/>
      <c r="E51" s="107"/>
      <c r="F51" s="109"/>
      <c r="G51" s="107"/>
      <c r="H51" s="109"/>
      <c r="I51" s="107"/>
      <c r="J51" s="107"/>
      <c r="K51" s="109"/>
      <c r="L51" s="109"/>
      <c r="M51" s="107"/>
      <c r="N51" s="103"/>
      <c r="O51" s="103"/>
      <c r="P51" s="103"/>
      <c r="Q51" s="106"/>
      <c r="R51" s="106"/>
      <c r="S51" s="103"/>
      <c r="T51" s="110"/>
      <c r="U51" s="103"/>
      <c r="V51" s="111" t="str">
        <f t="shared" si="1"/>
        <v/>
      </c>
      <c r="W51" s="111">
        <f t="array" ref="W51">IF(A51="",0,IFERROR(IF(AND(V51=1,COUNTIF(Companies!$A$6:$A$55,A51)=1,INDEX(Companies!$R$6:$R$55,MATCH(A51,Companies!$A$6:$A$55,0))=1,INDEX(Companies!$I$6:$I$55,MATCH(A51,Companies!$A$6:$A$55,0))&gt;=MAX(10,Rules!$B$22),C51&lt;&gt;"",D51=Y51,D51=Z51,OR(D51="Reported",D51="Adjusted",D51="Operating",D51="Core"),OR(R51="US GAAP",R51="IFRS"),Q51="Yes",AB51="Yes",COUNT(E51:I51)=5,F51&gt;0,H51&gt;0,E51&lt;=Rules!$B$6,Rules!$B$6-E51&lt;=Growth!$B$7,I51&gt;=E51,I51&lt;=Rules!$B$6,ABS(G51-EDATE(E51,-36))&lt;=31,ISNUMBER(AA51),AA51&gt;=G51,AA51&lt;=Rules!$B$6,COUNT(J51:M51)=4,J51&gt;Rules!$B$6,ABS(J51-EDATE(E51,12))&lt;=31,K51&lt;=L51,M51&gt;=E51,M51&lt;=Rules!$B$6,Rules!$B$6-M51&lt;=Growth!$B$6,N51&lt;&gt;"",O51&lt;&gt;"",P51&lt;&gt;"",S51&lt;&gt;""),1,0),0))</f>
        <v>0</v>
      </c>
      <c r="X51" s="105" t="str">
        <f t="array" ref="X51">IF(A51="","",IF(V51&lt;&gt;1,"Duplicate growth record",IF(COUNTIF(Companies!$A$6:$A$55,A51)&lt;&gt;1,"Map issuer",IF(INDEX(Companies!$R$6:$R$55,MATCH(A51,Companies!$A$6:$A$55,0))&lt;&gt;1,"Outside selected/approved universe",IF(COUNT(K51:L51)&lt;&gt;2,"Annual EPS guidance missing",IF(OR(Q51&lt;&gt;"Yes",AB51&lt;&gt;"Yes"),"Review scope/basis/history",IF(W51=1,"Ready","Check dates, positive EPS bases and source fields")))))))</f>
        <v/>
      </c>
      <c r="Y51" s="106"/>
      <c r="Z51" s="106"/>
      <c r="AA51" s="107"/>
      <c r="AB51" s="106"/>
    </row>
    <row r="52" ht="22.5" customHeight="1">
      <c r="A52" s="103"/>
      <c r="B52" s="105" t="str">
        <f t="array" ref="B52">IF(A52="","",IF(COUNTIF(Companies!$A$6:$A$55,A52)&lt;&gt;1,"Unmapped issuer",INDEX(Companies!$C$6:$C$55,MATCH(A52,Companies!$A$6:$A$55,0))))</f>
        <v/>
      </c>
      <c r="C52" s="103"/>
      <c r="D52" s="106"/>
      <c r="E52" s="107"/>
      <c r="F52" s="109"/>
      <c r="G52" s="107"/>
      <c r="H52" s="109"/>
      <c r="I52" s="107"/>
      <c r="J52" s="107"/>
      <c r="K52" s="109"/>
      <c r="L52" s="109"/>
      <c r="M52" s="107"/>
      <c r="N52" s="103"/>
      <c r="O52" s="103"/>
      <c r="P52" s="103"/>
      <c r="Q52" s="106"/>
      <c r="R52" s="106"/>
      <c r="S52" s="103"/>
      <c r="T52" s="110"/>
      <c r="U52" s="103"/>
      <c r="V52" s="111" t="str">
        <f t="shared" si="1"/>
        <v/>
      </c>
      <c r="W52" s="111">
        <f t="array" ref="W52">IF(A52="",0,IFERROR(IF(AND(V52=1,COUNTIF(Companies!$A$6:$A$55,A52)=1,INDEX(Companies!$R$6:$R$55,MATCH(A52,Companies!$A$6:$A$55,0))=1,INDEX(Companies!$I$6:$I$55,MATCH(A52,Companies!$A$6:$A$55,0))&gt;=MAX(10,Rules!$B$22),C52&lt;&gt;"",D52=Y52,D52=Z52,OR(D52="Reported",D52="Adjusted",D52="Operating",D52="Core"),OR(R52="US GAAP",R52="IFRS"),Q52="Yes",AB52="Yes",COUNT(E52:I52)=5,F52&gt;0,H52&gt;0,E52&lt;=Rules!$B$6,Rules!$B$6-E52&lt;=Growth!$B$7,I52&gt;=E52,I52&lt;=Rules!$B$6,ABS(G52-EDATE(E52,-36))&lt;=31,ISNUMBER(AA52),AA52&gt;=G52,AA52&lt;=Rules!$B$6,COUNT(J52:M52)=4,J52&gt;Rules!$B$6,ABS(J52-EDATE(E52,12))&lt;=31,K52&lt;=L52,M52&gt;=E52,M52&lt;=Rules!$B$6,Rules!$B$6-M52&lt;=Growth!$B$6,N52&lt;&gt;"",O52&lt;&gt;"",P52&lt;&gt;"",S52&lt;&gt;""),1,0),0))</f>
        <v>0</v>
      </c>
      <c r="X52" s="105" t="str">
        <f t="array" ref="X52">IF(A52="","",IF(V52&lt;&gt;1,"Duplicate growth record",IF(COUNTIF(Companies!$A$6:$A$55,A52)&lt;&gt;1,"Map issuer",IF(INDEX(Companies!$R$6:$R$55,MATCH(A52,Companies!$A$6:$A$55,0))&lt;&gt;1,"Outside selected/approved universe",IF(COUNT(K52:L52)&lt;&gt;2,"Annual EPS guidance missing",IF(OR(Q52&lt;&gt;"Yes",AB52&lt;&gt;"Yes"),"Review scope/basis/history",IF(W52=1,"Ready","Check dates, positive EPS bases and source fields")))))))</f>
        <v/>
      </c>
      <c r="Y52" s="106"/>
      <c r="Z52" s="106"/>
      <c r="AA52" s="107"/>
      <c r="AB52" s="106"/>
    </row>
    <row r="53" ht="22.5" customHeight="1">
      <c r="A53" s="103"/>
      <c r="B53" s="105" t="str">
        <f t="array" ref="B53">IF(A53="","",IF(COUNTIF(Companies!$A$6:$A$55,A53)&lt;&gt;1,"Unmapped issuer",INDEX(Companies!$C$6:$C$55,MATCH(A53,Companies!$A$6:$A$55,0))))</f>
        <v/>
      </c>
      <c r="C53" s="103"/>
      <c r="D53" s="106"/>
      <c r="E53" s="107"/>
      <c r="F53" s="109"/>
      <c r="G53" s="107"/>
      <c r="H53" s="109"/>
      <c r="I53" s="107"/>
      <c r="J53" s="107"/>
      <c r="K53" s="109"/>
      <c r="L53" s="109"/>
      <c r="M53" s="107"/>
      <c r="N53" s="103"/>
      <c r="O53" s="103"/>
      <c r="P53" s="103"/>
      <c r="Q53" s="106"/>
      <c r="R53" s="106"/>
      <c r="S53" s="103"/>
      <c r="T53" s="110"/>
      <c r="U53" s="103"/>
      <c r="V53" s="111" t="str">
        <f t="shared" si="1"/>
        <v/>
      </c>
      <c r="W53" s="111">
        <f t="array" ref="W53">IF(A53="",0,IFERROR(IF(AND(V53=1,COUNTIF(Companies!$A$6:$A$55,A53)=1,INDEX(Companies!$R$6:$R$55,MATCH(A53,Companies!$A$6:$A$55,0))=1,INDEX(Companies!$I$6:$I$55,MATCH(A53,Companies!$A$6:$A$55,0))&gt;=MAX(10,Rules!$B$22),C53&lt;&gt;"",D53=Y53,D53=Z53,OR(D53="Reported",D53="Adjusted",D53="Operating",D53="Core"),OR(R53="US GAAP",R53="IFRS"),Q53="Yes",AB53="Yes",COUNT(E53:I53)=5,F53&gt;0,H53&gt;0,E53&lt;=Rules!$B$6,Rules!$B$6-E53&lt;=Growth!$B$7,I53&gt;=E53,I53&lt;=Rules!$B$6,ABS(G53-EDATE(E53,-36))&lt;=31,ISNUMBER(AA53),AA53&gt;=G53,AA53&lt;=Rules!$B$6,COUNT(J53:M53)=4,J53&gt;Rules!$B$6,ABS(J53-EDATE(E53,12))&lt;=31,K53&lt;=L53,M53&gt;=E53,M53&lt;=Rules!$B$6,Rules!$B$6-M53&lt;=Growth!$B$6,N53&lt;&gt;"",O53&lt;&gt;"",P53&lt;&gt;"",S53&lt;&gt;""),1,0),0))</f>
        <v>0</v>
      </c>
      <c r="X53" s="105" t="str">
        <f t="array" ref="X53">IF(A53="","",IF(V53&lt;&gt;1,"Duplicate growth record",IF(COUNTIF(Companies!$A$6:$A$55,A53)&lt;&gt;1,"Map issuer",IF(INDEX(Companies!$R$6:$R$55,MATCH(A53,Companies!$A$6:$A$55,0))&lt;&gt;1,"Outside selected/approved universe",IF(COUNT(K53:L53)&lt;&gt;2,"Annual EPS guidance missing",IF(OR(Q53&lt;&gt;"Yes",AB53&lt;&gt;"Yes"),"Review scope/basis/history",IF(W53=1,"Ready","Check dates, positive EPS bases and source fields")))))))</f>
        <v/>
      </c>
      <c r="Y53" s="106"/>
      <c r="Z53" s="106"/>
      <c r="AA53" s="107"/>
      <c r="AB53" s="106"/>
    </row>
    <row r="54" ht="22.5" customHeight="1">
      <c r="A54" s="103"/>
      <c r="B54" s="105" t="str">
        <f t="array" ref="B54">IF(A54="","",IF(COUNTIF(Companies!$A$6:$A$55,A54)&lt;&gt;1,"Unmapped issuer",INDEX(Companies!$C$6:$C$55,MATCH(A54,Companies!$A$6:$A$55,0))))</f>
        <v/>
      </c>
      <c r="C54" s="103"/>
      <c r="D54" s="106"/>
      <c r="E54" s="107"/>
      <c r="F54" s="109"/>
      <c r="G54" s="107"/>
      <c r="H54" s="109"/>
      <c r="I54" s="107"/>
      <c r="J54" s="107"/>
      <c r="K54" s="109"/>
      <c r="L54" s="109"/>
      <c r="M54" s="107"/>
      <c r="N54" s="103"/>
      <c r="O54" s="103"/>
      <c r="P54" s="103"/>
      <c r="Q54" s="106"/>
      <c r="R54" s="106"/>
      <c r="S54" s="103"/>
      <c r="T54" s="110"/>
      <c r="U54" s="103"/>
      <c r="V54" s="111" t="str">
        <f t="shared" si="1"/>
        <v/>
      </c>
      <c r="W54" s="111">
        <f t="array" ref="W54">IF(A54="",0,IFERROR(IF(AND(V54=1,COUNTIF(Companies!$A$6:$A$55,A54)=1,INDEX(Companies!$R$6:$R$55,MATCH(A54,Companies!$A$6:$A$55,0))=1,INDEX(Companies!$I$6:$I$55,MATCH(A54,Companies!$A$6:$A$55,0))&gt;=MAX(10,Rules!$B$22),C54&lt;&gt;"",D54=Y54,D54=Z54,OR(D54="Reported",D54="Adjusted",D54="Operating",D54="Core"),OR(R54="US GAAP",R54="IFRS"),Q54="Yes",AB54="Yes",COUNT(E54:I54)=5,F54&gt;0,H54&gt;0,E54&lt;=Rules!$B$6,Rules!$B$6-E54&lt;=Growth!$B$7,I54&gt;=E54,I54&lt;=Rules!$B$6,ABS(G54-EDATE(E54,-36))&lt;=31,ISNUMBER(AA54),AA54&gt;=G54,AA54&lt;=Rules!$B$6,COUNT(J54:M54)=4,J54&gt;Rules!$B$6,ABS(J54-EDATE(E54,12))&lt;=31,K54&lt;=L54,M54&gt;=E54,M54&lt;=Rules!$B$6,Rules!$B$6-M54&lt;=Growth!$B$6,N54&lt;&gt;"",O54&lt;&gt;"",P54&lt;&gt;"",S54&lt;&gt;""),1,0),0))</f>
        <v>0</v>
      </c>
      <c r="X54" s="105" t="str">
        <f t="array" ref="X54">IF(A54="","",IF(V54&lt;&gt;1,"Duplicate growth record",IF(COUNTIF(Companies!$A$6:$A$55,A54)&lt;&gt;1,"Map issuer",IF(INDEX(Companies!$R$6:$R$55,MATCH(A54,Companies!$A$6:$A$55,0))&lt;&gt;1,"Outside selected/approved universe",IF(COUNT(K54:L54)&lt;&gt;2,"Annual EPS guidance missing",IF(OR(Q54&lt;&gt;"Yes",AB54&lt;&gt;"Yes"),"Review scope/basis/history",IF(W54=1,"Ready","Check dates, positive EPS bases and source fields")))))))</f>
        <v/>
      </c>
      <c r="Y54" s="106"/>
      <c r="Z54" s="106"/>
      <c r="AA54" s="107"/>
      <c r="AB54" s="106"/>
    </row>
    <row r="55" ht="22.5" customHeight="1">
      <c r="A55" s="103"/>
      <c r="B55" s="105" t="str">
        <f t="array" ref="B55">IF(A55="","",IF(COUNTIF(Companies!$A$6:$A$55,A55)&lt;&gt;1,"Unmapped issuer",INDEX(Companies!$C$6:$C$55,MATCH(A55,Companies!$A$6:$A$55,0))))</f>
        <v/>
      </c>
      <c r="C55" s="103"/>
      <c r="D55" s="106"/>
      <c r="E55" s="107"/>
      <c r="F55" s="109"/>
      <c r="G55" s="107"/>
      <c r="H55" s="109"/>
      <c r="I55" s="107"/>
      <c r="J55" s="107"/>
      <c r="K55" s="109"/>
      <c r="L55" s="109"/>
      <c r="M55" s="107"/>
      <c r="N55" s="103"/>
      <c r="O55" s="103"/>
      <c r="P55" s="103"/>
      <c r="Q55" s="106"/>
      <c r="R55" s="106"/>
      <c r="S55" s="103"/>
      <c r="T55" s="110"/>
      <c r="U55" s="103"/>
      <c r="V55" s="111" t="str">
        <f t="shared" si="1"/>
        <v/>
      </c>
      <c r="W55" s="111">
        <f t="array" ref="W55">IF(A55="",0,IFERROR(IF(AND(V55=1,COUNTIF(Companies!$A$6:$A$55,A55)=1,INDEX(Companies!$R$6:$R$55,MATCH(A55,Companies!$A$6:$A$55,0))=1,INDEX(Companies!$I$6:$I$55,MATCH(A55,Companies!$A$6:$A$55,0))&gt;=MAX(10,Rules!$B$22),C55&lt;&gt;"",D55=Y55,D55=Z55,OR(D55="Reported",D55="Adjusted",D55="Operating",D55="Core"),OR(R55="US GAAP",R55="IFRS"),Q55="Yes",AB55="Yes",COUNT(E55:I55)=5,F55&gt;0,H55&gt;0,E55&lt;=Rules!$B$6,Rules!$B$6-E55&lt;=Growth!$B$7,I55&gt;=E55,I55&lt;=Rules!$B$6,ABS(G55-EDATE(E55,-36))&lt;=31,ISNUMBER(AA55),AA55&gt;=G55,AA55&lt;=Rules!$B$6,COUNT(J55:M55)=4,J55&gt;Rules!$B$6,ABS(J55-EDATE(E55,12))&lt;=31,K55&lt;=L55,M55&gt;=E55,M55&lt;=Rules!$B$6,Rules!$B$6-M55&lt;=Growth!$B$6,N55&lt;&gt;"",O55&lt;&gt;"",P55&lt;&gt;"",S55&lt;&gt;""),1,0),0))</f>
        <v>0</v>
      </c>
      <c r="X55" s="105" t="str">
        <f t="array" ref="X55">IF(A55="","",IF(V55&lt;&gt;1,"Duplicate growth record",IF(COUNTIF(Companies!$A$6:$A$55,A55)&lt;&gt;1,"Map issuer",IF(INDEX(Companies!$R$6:$R$55,MATCH(A55,Companies!$A$6:$A$55,0))&lt;&gt;1,"Outside selected/approved universe",IF(COUNT(K55:L55)&lt;&gt;2,"Annual EPS guidance missing",IF(OR(Q55&lt;&gt;"Yes",AB55&lt;&gt;"Yes"),"Review scope/basis/history",IF(W55=1,"Ready","Check dates, positive EPS bases and source fields")))))))</f>
        <v/>
      </c>
      <c r="Y55" s="106"/>
      <c r="Z55" s="106"/>
      <c r="AA55" s="107"/>
      <c r="AB55" s="106"/>
    </row>
  </sheetData>
  <mergeCells count="1">
    <mergeCell ref="C3:O3"/>
  </mergeCells>
  <dataValidations>
    <dataValidation type="list" allowBlank="1" showErrorMessage="1" sqref="Q6:Q55 AB6:AB55">
      <formula1>"Yes,No"</formula1>
    </dataValidation>
    <dataValidation type="custom" allowBlank="1" showDropDown="1" sqref="E6:E55 G6:G55 I6:J55 M6:M55 AA6:AA55">
      <formula1>OR(NOT(ISERROR(DATEVALUE(E6))), AND(ISNUMBER(E6), LEFT(CELL("format", E6))="D"))</formula1>
    </dataValidation>
    <dataValidation type="list" allowBlank="1" showErrorMessage="1" sqref="D6:D55 Y6:Z55">
      <formula1>"Reported,Adjusted,Operating,Core"</formula1>
    </dataValidation>
    <dataValidation type="custom" allowBlank="1" showDropDown="1" sqref="F6:F55 H6:H55 K6:L55 T6:T55 V6:W55">
      <formula1>AND(ISNUMBER(F6),(NOT(OR(NOT(ISERROR(DATEVALUE(F6))), AND(ISNUMBER(F6), LEFT(CELL("format", F6))="D")))))</formula1>
    </dataValidation>
    <dataValidation allowBlank="1" showDropDown="1" sqref="A6:C55 N6:P55 S6:S55 U6:U55 X6:X55"/>
    <dataValidation type="list" allowBlank="1" showErrorMessage="1" sqref="R6:R55">
      <formula1>"US GAAP,IFRS"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2" width="25.13"/>
    <col customWidth="1" min="3" max="22" width="18.8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>
      <c r="A2" s="94" t="s">
        <v>1027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ht="30.0" customHeight="1">
      <c r="A3" s="93"/>
      <c r="B3" s="93"/>
      <c r="C3" s="95" t="s">
        <v>1028</v>
      </c>
      <c r="P3" s="93"/>
      <c r="Q3" s="93"/>
      <c r="R3" s="93"/>
      <c r="S3" s="93"/>
      <c r="T3" s="93"/>
      <c r="U3" s="93"/>
      <c r="V3" s="93"/>
    </row>
    <row r="4">
      <c r="A4" s="93" t="s">
        <v>1029</v>
      </c>
      <c r="B4" s="96">
        <f>Rules!B6</f>
        <v>46298</v>
      </c>
      <c r="C4" s="93"/>
      <c r="D4" s="93"/>
      <c r="E4" s="93"/>
      <c r="F4" s="95" t="s">
        <v>951</v>
      </c>
      <c r="G4" s="95" t="s">
        <v>34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>
      <c r="A5" s="93" t="s">
        <v>1030</v>
      </c>
      <c r="B5" s="95">
        <f>COUNTIF(Companies!A6:A55,"&lt;&gt;")</f>
        <v>10</v>
      </c>
      <c r="C5" s="93"/>
      <c r="D5" s="93"/>
      <c r="E5" s="93"/>
      <c r="F5" s="95" t="s">
        <v>1</v>
      </c>
      <c r="G5" s="97">
        <v>0.25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>
      <c r="A6" s="93" t="s">
        <v>1031</v>
      </c>
      <c r="B6" s="95">
        <f>COUNTIF(P15:P64,1)</f>
        <v>0</v>
      </c>
      <c r="C6" s="93"/>
      <c r="D6" s="93"/>
      <c r="E6" s="93"/>
      <c r="F6" s="95" t="s">
        <v>1032</v>
      </c>
      <c r="G6" s="97">
        <v>0.25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</row>
    <row r="7">
      <c r="A7" s="93" t="s">
        <v>1033</v>
      </c>
      <c r="B7" s="95" t="s">
        <v>672</v>
      </c>
      <c r="C7" s="93"/>
      <c r="D7" s="93"/>
      <c r="E7" s="93"/>
      <c r="F7" s="95" t="s">
        <v>949</v>
      </c>
      <c r="G7" s="97">
        <v>0.25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</row>
    <row r="8">
      <c r="A8" s="93" t="s">
        <v>1034</v>
      </c>
      <c r="B8" s="95" t="str">
        <f>COUNTIF('Test sources'!AN6:AN15,1)&amp;" / 10 companies rank-ready"</f>
        <v>0 / 10 companies rank-ready</v>
      </c>
      <c r="C8" s="93"/>
      <c r="D8" s="93"/>
      <c r="E8" s="93"/>
      <c r="F8" s="95" t="s">
        <v>448</v>
      </c>
      <c r="G8" s="97">
        <v>0.25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</row>
    <row r="9">
      <c r="A9" s="93" t="s">
        <v>15</v>
      </c>
      <c r="B9" s="95" t="s">
        <v>1035</v>
      </c>
      <c r="C9" s="93"/>
      <c r="D9" s="93"/>
      <c r="E9" s="93"/>
      <c r="F9" s="95" t="s">
        <v>1036</v>
      </c>
      <c r="G9" s="98">
        <f>SUM(G5:G8)</f>
        <v>1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</row>
    <row r="10">
      <c r="A10" s="93"/>
      <c r="B10" s="95"/>
      <c r="C10" s="93"/>
      <c r="D10" s="93"/>
      <c r="E10" s="93"/>
      <c r="F10" s="95" t="s">
        <v>1037</v>
      </c>
      <c r="G10" s="95" t="str">
        <f>IF(AND(COUNT(G5:G8)=4,MIN(G5:G8)&gt;0,ABS(SUM(G5:G8)-1)&lt;=0.000001,ISNUMBER(G11),G11&gt;=0,G11&lt;=MIN(G5:G8)),"Valid","Check weights/sensitivity")</f>
        <v>Valid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>
      <c r="A11" s="93"/>
      <c r="B11" s="93"/>
      <c r="C11" s="93"/>
      <c r="D11" s="93"/>
      <c r="E11" s="93"/>
      <c r="F11" s="95" t="s">
        <v>1038</v>
      </c>
      <c r="G11" s="97">
        <v>0.1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>
      <c r="A12" s="93"/>
      <c r="B12" s="93"/>
      <c r="C12" s="93"/>
      <c r="D12" s="93"/>
      <c r="E12" s="93"/>
      <c r="F12" s="95" t="s">
        <v>757</v>
      </c>
      <c r="G12" s="95" t="s">
        <v>1039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28.5" customHeight="1">
      <c r="A13" s="93"/>
      <c r="B13" s="93"/>
      <c r="C13" s="95" t="s">
        <v>1040</v>
      </c>
      <c r="P13" s="93"/>
      <c r="Q13" s="93"/>
      <c r="R13" s="93"/>
      <c r="S13" s="93"/>
      <c r="T13" s="93"/>
      <c r="U13" s="93"/>
      <c r="V13" s="93"/>
    </row>
    <row r="14" ht="55.5" customHeight="1">
      <c r="A14" s="99" t="s">
        <v>139</v>
      </c>
      <c r="B14" s="99" t="s">
        <v>141</v>
      </c>
      <c r="C14" s="99" t="s">
        <v>33</v>
      </c>
      <c r="D14" s="99" t="s">
        <v>258</v>
      </c>
      <c r="E14" s="99" t="s">
        <v>176</v>
      </c>
      <c r="F14" s="99" t="s">
        <v>1041</v>
      </c>
      <c r="G14" s="99" t="s">
        <v>1042</v>
      </c>
      <c r="H14" s="99" t="s">
        <v>1043</v>
      </c>
      <c r="I14" s="99" t="s">
        <v>1044</v>
      </c>
      <c r="J14" s="99" t="s">
        <v>1045</v>
      </c>
      <c r="K14" s="99" t="s">
        <v>1046</v>
      </c>
      <c r="L14" s="99" t="s">
        <v>1047</v>
      </c>
      <c r="M14" s="99" t="s">
        <v>1048</v>
      </c>
      <c r="N14" s="99" t="s">
        <v>1049</v>
      </c>
      <c r="O14" s="99" t="s">
        <v>1050</v>
      </c>
      <c r="P14" s="99" t="s">
        <v>1051</v>
      </c>
      <c r="Q14" s="99" t="s">
        <v>1052</v>
      </c>
      <c r="R14" s="99" t="s">
        <v>1053</v>
      </c>
      <c r="S14" s="99" t="s">
        <v>1054</v>
      </c>
      <c r="T14" s="99" t="s">
        <v>1055</v>
      </c>
      <c r="U14" s="99" t="s">
        <v>1056</v>
      </c>
      <c r="V14" s="99" t="s">
        <v>1057</v>
      </c>
    </row>
    <row r="15">
      <c r="A15" s="93" t="str">
        <f>IF(Companies!A6="","",Companies!A6)</f>
        <v>US-XOM</v>
      </c>
      <c r="B15" s="93" t="str">
        <f>IF(A15="","",Companies!C6)</f>
        <v>ExxonMobil</v>
      </c>
      <c r="C15" s="93" t="str">
        <f>IF(A15="","",Companies!D6)</f>
        <v>Energy</v>
      </c>
      <c r="D15" s="101">
        <f>IF(A15="","",Companies!I6)</f>
        <v>674.39</v>
      </c>
      <c r="E15" s="101" t="str">
        <f t="array" ref="E15">IF(A15="","",IFNA(INDEX(Strength!$U$10:$U$59,MATCH(A15,Strength!$A$10:$A$59,0)),"n.a."))</f>
        <v>n.a.</v>
      </c>
      <c r="F15" s="101" t="str">
        <f t="array" ref="F15">IF(A15="","",IFNA(INDEX(Valuation!$L$15:$L$64,MATCH(A15,Valuation!$A$15:$A$64,0)),"n.a."))</f>
        <v>n.a.</v>
      </c>
      <c r="G15" s="101" t="str">
        <f t="array" ref="G15">IF(A15="","",IFNA(INDEX(Growth!$J$15:$J$64,MATCH(A15,Growth!$A$15:$A$64,0)),"n.a."))</f>
        <v>n.a.</v>
      </c>
      <c r="H15" s="101" t="str">
        <f t="array" ref="H15">IF(A15="","",IFNA(INDEX(Profitability!$K$15:$K$64,MATCH(A15,Profitability!$A$15:$A$64,0)),"n.a."))</f>
        <v>n.a.</v>
      </c>
      <c r="I15" s="101">
        <f t="shared" ref="I15:I64" si="1">IF(A15="","",COUNT(E15:H15))</f>
        <v>0</v>
      </c>
      <c r="J15" s="101" t="str">
        <f t="shared" ref="J15:J64" si="2">IF(A15="","",IF(P15&lt;&gt;1,"Unranked",SUMPRODUCT(E15:H15,TRANSPOSE($G$5:$G$8))))</f>
        <v>Unranked</v>
      </c>
      <c r="K15" s="101" t="str">
        <f t="shared" ref="K15:K64" si="3">IF(A15="","",IF(P15&lt;&gt;1,"Unranked",1+COUNTIFS($P$15:$P$64,1,$J$15:$J$64,"&gt;"&amp;J15)))</f>
        <v>Unranked</v>
      </c>
      <c r="L15" s="101" t="str">
        <f t="shared" ref="L15:L64" si="4">IF(A15="","",IF(P15&lt;&gt;1,"n.a.",MIN(J15+$G$11*(E15-(SUM(E15:H15)-E15)/3),J15-$G$11*(E15-(SUM(E15:H15)-E15)/3),J15+$G$11*(F15-(SUM(E15:H15)-F15)/3),J15-$G$11*(F15-(SUM(E15:H15)-F15)/3),J15+$G$11*(G15-(SUM(E15:H15)-G15)/3),J15-$G$11*(G15-(SUM(E15:H15)-G15)/3),J15+$G$11*(H15-(SUM(E15:H15)-H15)/3),J15-$G$11*(H15-(SUM(E15:H15)-H15)/3))))</f>
        <v>n.a.</v>
      </c>
      <c r="M15" s="101" t="str">
        <f t="shared" ref="M15:M64" si="5">IF(A15="","",IF(P15&lt;&gt;1,"n.a.",MAX(J15+$G$11*(E15-(SUM(E15:H15)-E15)/3),J15-$G$11*(E15-(SUM(E15:H15)-E15)/3),J15+$G$11*(F15-(SUM(E15:H15)-F15)/3),J15-$G$11*(F15-(SUM(E15:H15)-F15)/3),J15+$G$11*(G15-(SUM(E15:H15)-G15)/3),J15-$G$11*(G15-(SUM(E15:H15)-G15)/3),J15+$G$11*(H15-(SUM(E15:H15)-H15)/3),J15-$G$11*(H15-(SUM(E15:H15)-H15)/3))))</f>
        <v>n.a.</v>
      </c>
      <c r="N15" s="101" t="str">
        <f t="shared" ref="N15:N64" si="6">IF(A15="","",IF(P15&lt;&gt;1,"n.a.",M15-L15))</f>
        <v>n.a.</v>
      </c>
      <c r="O15" s="93" t="str">
        <f>IF(A15="","",IF($G$10&lt;&gt;"Valid","Check score weights/sensitivity",IF(Companies!R6&lt;&gt;1,"Outside selected/approved universe",IF(Rules!B15&lt;&gt;"Yes","Confirm issuer universe",IF(I15&lt;&gt;4,"Missing modules: "&amp;TEXTJOIN(", ",TRUE,IF(NOT(ISNUMBER(E15)),"strength",""),IF(NOT(ISNUMBER(F15)),"valuation",""),IF(NOT(ISNUMBER(G15)),"growth",""),IF(NOT(ISNUMBER(H15)),"profitability","")),IF(P15=1,"Ready","Check module/cohort statuses"))))))</f>
        <v>Outside selected/approved universe</v>
      </c>
      <c r="P15" s="93">
        <f t="array" ref="P15">IF(A15="",0,IFERROR(IF(AND(Companies!R6=1,D15&gt;=MAX(10,Rules!$B$22),$G$10="Valid",Rules!B15="Yes",I15=4,MIN(E15:H15)&gt;=0,MAX(E15:H15)&lt;=100,Q15="Ready",R15="Ready",S15="Ready",T15="Ready",ISNUMBER(U15),U15&gt;=MAX(3,Rules!B12),IFNA(INDEX(Network!$P$14:$P$63,MATCH(A15,Network!$A$14:$A$63,0)),0)=1,IFNA(INDEX(Network!$C$14:$C$63,MATCH(A15,Network!$A$14:$A$63,0)),"No")="Yes",ISNUMBER(IFNA(INDEX(Network!$L$14:$L$63,MATCH(A15,Network!$A$14:$A$63,0)),"n.a.")),Rules!$B$46&gt;0),1,0),0))</f>
        <v>0</v>
      </c>
      <c r="Q15" s="93" t="str">
        <f t="array" ref="Q15">IF(A15="","",IFNA(INDEX(Strength!$V$10:$V$59,MATCH(A15,Strength!$A$10:$A$59,0)),"n.a."))</f>
        <v>n.a.</v>
      </c>
      <c r="R15" s="93" t="str">
        <f t="array" ref="R15">IF(A15="","",IFNA(INDEX(Valuation!$S$15:$S$64,MATCH(A15,Valuation!$A$15:$A$64,0)),"n.a."))</f>
        <v>n.a.</v>
      </c>
      <c r="S15" s="93" t="str">
        <f t="array" ref="S15">IF(A15="","",IFNA(INDEX(Growth!$L$15:$L$64,MATCH(A15,Growth!$A$15:$A$64,0)),"n.a."))</f>
        <v>Outside selected/approved universe</v>
      </c>
      <c r="T15" s="93" t="str">
        <f t="array" ref="T15">IF(A15="","",IFNA(INDEX(Profitability!$V$15:$V$64,MATCH(A15,Profitability!$A$15:$A$64,0)),"n.a."))</f>
        <v>Outside cap/scope universe</v>
      </c>
      <c r="U15" s="93" t="str">
        <f t="array" ref="U15">IF(A15="","",IF(COUNT(IFNA(INDEX(Strength!$J$10:$J$59,MATCH(A15,Strength!$A$10:$A$59,0)),"n.a."),Valuation!$B$7,IFNA(INDEX(Growth!$K$15:$K$64,MATCH(A15,Growth!$A$15:$A$64,0)),"n.a."),IFNA(INDEX(Profitability!$M$15:$M$64,MATCH(A15,Profitability!$A$15:$A$64,0)),"n.a."))&lt;&gt;4,"n.a.",MIN(1+IFNA(INDEX(Strength!$J$10:$J$59,MATCH(A15,Strength!$A$10:$A$59,0)),"n.a."),Valuation!$B$7,IFNA(INDEX(Growth!$K$15:$K$64,MATCH(A15,Growth!$A$15:$A$64,0)),"n.a."),IFNA(INDEX(Profitability!$M$15:$M$64,MATCH(A15,Profitability!$A$15:$A$64,0)),"n.a."))))</f>
        <v>n.a.</v>
      </c>
      <c r="V15" s="93">
        <f t="shared" ref="V15:V64" si="7">IF(A15="","",IF($G$10&lt;&gt;"Valid","n.a.",10*MAX($G$5:$G$8)))</f>
        <v>2.5</v>
      </c>
    </row>
    <row r="16">
      <c r="A16" s="93" t="str">
        <f>IF(Companies!A7="","",Companies!A7)</f>
        <v>US-JNJ</v>
      </c>
      <c r="B16" s="93" t="str">
        <f>IF(A16="","",Companies!C7)</f>
        <v>Johnson &amp; Johnson</v>
      </c>
      <c r="C16" s="93" t="str">
        <f>IF(A16="","",Companies!D7)</f>
        <v>Health Care</v>
      </c>
      <c r="D16" s="101">
        <f>IF(A16="","",Companies!I7)</f>
        <v>617.01</v>
      </c>
      <c r="E16" s="101" t="str">
        <f t="array" ref="E16">IF(A16="","",IFNA(INDEX(Strength!$U$10:$U$59,MATCH(A16,Strength!$A$10:$A$59,0)),"n.a."))</f>
        <v>n.a.</v>
      </c>
      <c r="F16" s="101" t="str">
        <f t="array" ref="F16">IF(A16="","",IFNA(INDEX(Valuation!$L$15:$L$64,MATCH(A16,Valuation!$A$15:$A$64,0)),"n.a."))</f>
        <v>n.a.</v>
      </c>
      <c r="G16" s="101" t="str">
        <f t="array" ref="G16">IF(A16="","",IFNA(INDEX(Growth!$J$15:$J$64,MATCH(A16,Growth!$A$15:$A$64,0)),"n.a."))</f>
        <v>n.a.</v>
      </c>
      <c r="H16" s="101" t="str">
        <f t="array" ref="H16">IF(A16="","",IFNA(INDEX(Profitability!$K$15:$K$64,MATCH(A16,Profitability!$A$15:$A$64,0)),"n.a."))</f>
        <v>n.a.</v>
      </c>
      <c r="I16" s="101">
        <f t="shared" si="1"/>
        <v>0</v>
      </c>
      <c r="J16" s="101" t="str">
        <f t="shared" si="2"/>
        <v>Unranked</v>
      </c>
      <c r="K16" s="101" t="str">
        <f t="shared" si="3"/>
        <v>Unranked</v>
      </c>
      <c r="L16" s="101" t="str">
        <f t="shared" si="4"/>
        <v>n.a.</v>
      </c>
      <c r="M16" s="101" t="str">
        <f t="shared" si="5"/>
        <v>n.a.</v>
      </c>
      <c r="N16" s="101" t="str">
        <f t="shared" si="6"/>
        <v>n.a.</v>
      </c>
      <c r="O16" s="93" t="str">
        <f>IF(A16="","",IF($G$10&lt;&gt;"Valid","Check score weights/sensitivity",IF(Companies!R7&lt;&gt;1,"Outside selected/approved universe",IF(Rules!B15&lt;&gt;"Yes","Confirm issuer universe",IF(I16&lt;&gt;4,"Missing modules: "&amp;TEXTJOIN(", ",TRUE,IF(NOT(ISNUMBER(E16)),"strength",""),IF(NOT(ISNUMBER(F16)),"valuation",""),IF(NOT(ISNUMBER(G16)),"growth",""),IF(NOT(ISNUMBER(H16)),"profitability","")),IF(P16=1,"Ready","Check module/cohort statuses"))))))</f>
        <v>Outside selected/approved universe</v>
      </c>
      <c r="P16" s="93">
        <f t="array" ref="P16">IF(A16="",0,IFERROR(IF(AND(Companies!R7=1,D16&gt;=MAX(10,Rules!$B$22),$G$10="Valid",Rules!B15="Yes",I16=4,MIN(E16:H16)&gt;=0,MAX(E16:H16)&lt;=100,Q16="Ready",R16="Ready",S16="Ready",T16="Ready",ISNUMBER(U16),U16&gt;=MAX(3,Rules!B12),IFNA(INDEX(Network!$P$14:$P$63,MATCH(A16,Network!$A$14:$A$63,0)),0)=1,IFNA(INDEX(Network!$C$14:$C$63,MATCH(A16,Network!$A$14:$A$63,0)),"No")="Yes",ISNUMBER(IFNA(INDEX(Network!$L$14:$L$63,MATCH(A16,Network!$A$14:$A$63,0)),"n.a.")),Rules!$B$46&gt;0),1,0),0))</f>
        <v>0</v>
      </c>
      <c r="Q16" s="93" t="str">
        <f t="array" ref="Q16">IF(A16="","",IFNA(INDEX(Strength!$V$10:$V$59,MATCH(A16,Strength!$A$10:$A$59,0)),"n.a."))</f>
        <v>n.a.</v>
      </c>
      <c r="R16" s="93" t="str">
        <f t="array" ref="R16">IF(A16="","",IFNA(INDEX(Valuation!$S$15:$S$64,MATCH(A16,Valuation!$A$15:$A$64,0)),"n.a."))</f>
        <v>n.a.</v>
      </c>
      <c r="S16" s="93" t="str">
        <f t="array" ref="S16">IF(A16="","",IFNA(INDEX(Growth!$L$15:$L$64,MATCH(A16,Growth!$A$15:$A$64,0)),"n.a."))</f>
        <v>Outside selected/approved universe</v>
      </c>
      <c r="T16" s="93" t="str">
        <f t="array" ref="T16">IF(A16="","",IFNA(INDEX(Profitability!$V$15:$V$64,MATCH(A16,Profitability!$A$15:$A$64,0)),"n.a."))</f>
        <v>Outside cap/scope universe</v>
      </c>
      <c r="U16" s="93" t="str">
        <f t="array" ref="U16">IF(A16="","",IF(COUNT(IFNA(INDEX(Strength!$J$10:$J$59,MATCH(A16,Strength!$A$10:$A$59,0)),"n.a."),Valuation!$B$7,IFNA(INDEX(Growth!$K$15:$K$64,MATCH(A16,Growth!$A$15:$A$64,0)),"n.a."),IFNA(INDEX(Profitability!$M$15:$M$64,MATCH(A16,Profitability!$A$15:$A$64,0)),"n.a."))&lt;&gt;4,"n.a.",MIN(1+IFNA(INDEX(Strength!$J$10:$J$59,MATCH(A16,Strength!$A$10:$A$59,0)),"n.a."),Valuation!$B$7,IFNA(INDEX(Growth!$K$15:$K$64,MATCH(A16,Growth!$A$15:$A$64,0)),"n.a."),IFNA(INDEX(Profitability!$M$15:$M$64,MATCH(A16,Profitability!$A$15:$A$64,0)),"n.a."))))</f>
        <v>n.a.</v>
      </c>
      <c r="V16" s="93">
        <f t="shared" si="7"/>
        <v>2.5</v>
      </c>
    </row>
    <row r="17">
      <c r="A17" s="93" t="str">
        <f>IF(Companies!A8="","",Companies!A8)</f>
        <v>US-PG</v>
      </c>
      <c r="B17" s="93" t="str">
        <f>IF(A17="","",Companies!C8)</f>
        <v>Procter &amp; Gamble</v>
      </c>
      <c r="C17" s="93" t="str">
        <f>IF(A17="","",Companies!D8)</f>
        <v>Consumer Staples</v>
      </c>
      <c r="D17" s="101">
        <f>IF(A17="","",Companies!I8)</f>
        <v>336.58</v>
      </c>
      <c r="E17" s="101" t="str">
        <f t="array" ref="E17">IF(A17="","",IFNA(INDEX(Strength!$U$10:$U$59,MATCH(A17,Strength!$A$10:$A$59,0)),"n.a."))</f>
        <v>n.a.</v>
      </c>
      <c r="F17" s="101" t="str">
        <f t="array" ref="F17">IF(A17="","",IFNA(INDEX(Valuation!$L$15:$L$64,MATCH(A17,Valuation!$A$15:$A$64,0)),"n.a."))</f>
        <v>n.a.</v>
      </c>
      <c r="G17" s="101" t="str">
        <f t="array" ref="G17">IF(A17="","",IFNA(INDEX(Growth!$J$15:$J$64,MATCH(A17,Growth!$A$15:$A$64,0)),"n.a."))</f>
        <v>n.a.</v>
      </c>
      <c r="H17" s="101" t="str">
        <f t="array" ref="H17">IF(A17="","",IFNA(INDEX(Profitability!$K$15:$K$64,MATCH(A17,Profitability!$A$15:$A$64,0)),"n.a."))</f>
        <v>n.a.</v>
      </c>
      <c r="I17" s="101">
        <f t="shared" si="1"/>
        <v>0</v>
      </c>
      <c r="J17" s="101" t="str">
        <f t="shared" si="2"/>
        <v>Unranked</v>
      </c>
      <c r="K17" s="101" t="str">
        <f t="shared" si="3"/>
        <v>Unranked</v>
      </c>
      <c r="L17" s="101" t="str">
        <f t="shared" si="4"/>
        <v>n.a.</v>
      </c>
      <c r="M17" s="101" t="str">
        <f t="shared" si="5"/>
        <v>n.a.</v>
      </c>
      <c r="N17" s="101" t="str">
        <f t="shared" si="6"/>
        <v>n.a.</v>
      </c>
      <c r="O17" s="93" t="str">
        <f>IF(A17="","",IF($G$10&lt;&gt;"Valid","Check score weights/sensitivity",IF(Companies!R8&lt;&gt;1,"Outside selected/approved universe",IF(Rules!B15&lt;&gt;"Yes","Confirm issuer universe",IF(I17&lt;&gt;4,"Missing modules: "&amp;TEXTJOIN(", ",TRUE,IF(NOT(ISNUMBER(E17)),"strength",""),IF(NOT(ISNUMBER(F17)),"valuation",""),IF(NOT(ISNUMBER(G17)),"growth",""),IF(NOT(ISNUMBER(H17)),"profitability","")),IF(P17=1,"Ready","Check module/cohort statuses"))))))</f>
        <v>Outside selected/approved universe</v>
      </c>
      <c r="P17" s="93">
        <f t="array" ref="P17">IF(A17="",0,IFERROR(IF(AND(Companies!R8=1,D17&gt;=MAX(10,Rules!$B$22),$G$10="Valid",Rules!B15="Yes",I17=4,MIN(E17:H17)&gt;=0,MAX(E17:H17)&lt;=100,Q17="Ready",R17="Ready",S17="Ready",T17="Ready",ISNUMBER(U17),U17&gt;=MAX(3,Rules!B12),IFNA(INDEX(Network!$P$14:$P$63,MATCH(A17,Network!$A$14:$A$63,0)),0)=1,IFNA(INDEX(Network!$C$14:$C$63,MATCH(A17,Network!$A$14:$A$63,0)),"No")="Yes",ISNUMBER(IFNA(INDEX(Network!$L$14:$L$63,MATCH(A17,Network!$A$14:$A$63,0)),"n.a.")),Rules!$B$46&gt;0),1,0),0))</f>
        <v>0</v>
      </c>
      <c r="Q17" s="93" t="str">
        <f t="array" ref="Q17">IF(A17="","",IFNA(INDEX(Strength!$V$10:$V$59,MATCH(A17,Strength!$A$10:$A$59,0)),"n.a."))</f>
        <v>n.a.</v>
      </c>
      <c r="R17" s="93" t="str">
        <f t="array" ref="R17">IF(A17="","",IFNA(INDEX(Valuation!$S$15:$S$64,MATCH(A17,Valuation!$A$15:$A$64,0)),"n.a."))</f>
        <v>n.a.</v>
      </c>
      <c r="S17" s="93" t="str">
        <f t="array" ref="S17">IF(A17="","",IFNA(INDEX(Growth!$L$15:$L$64,MATCH(A17,Growth!$A$15:$A$64,0)),"n.a."))</f>
        <v>Outside selected/approved universe</v>
      </c>
      <c r="T17" s="93" t="str">
        <f t="array" ref="T17">IF(A17="","",IFNA(INDEX(Profitability!$V$15:$V$64,MATCH(A17,Profitability!$A$15:$A$64,0)),"n.a."))</f>
        <v>Outside cap/scope universe</v>
      </c>
      <c r="U17" s="93" t="str">
        <f t="array" ref="U17">IF(A17="","",IF(COUNT(IFNA(INDEX(Strength!$J$10:$J$59,MATCH(A17,Strength!$A$10:$A$59,0)),"n.a."),Valuation!$B$7,IFNA(INDEX(Growth!$K$15:$K$64,MATCH(A17,Growth!$A$15:$A$64,0)),"n.a."),IFNA(INDEX(Profitability!$M$15:$M$64,MATCH(A17,Profitability!$A$15:$A$64,0)),"n.a."))&lt;&gt;4,"n.a.",MIN(1+IFNA(INDEX(Strength!$J$10:$J$59,MATCH(A17,Strength!$A$10:$A$59,0)),"n.a."),Valuation!$B$7,IFNA(INDEX(Growth!$K$15:$K$64,MATCH(A17,Growth!$A$15:$A$64,0)),"n.a."),IFNA(INDEX(Profitability!$M$15:$M$64,MATCH(A17,Profitability!$A$15:$A$64,0)),"n.a."))))</f>
        <v>n.a.</v>
      </c>
      <c r="V17" s="93">
        <f t="shared" si="7"/>
        <v>2.5</v>
      </c>
    </row>
    <row r="18">
      <c r="A18" s="93" t="str">
        <f>IF(Companies!A9="","",Companies!A9)</f>
        <v>US-HD</v>
      </c>
      <c r="B18" s="93" t="str">
        <f>IF(A18="","",Companies!C9)</f>
        <v>Home Depot</v>
      </c>
      <c r="C18" s="93" t="str">
        <f>IF(A18="","",Companies!D9)</f>
        <v>Consumer Discretionary</v>
      </c>
      <c r="D18" s="101">
        <f>IF(A18="","",Companies!I9)</f>
        <v>282.2</v>
      </c>
      <c r="E18" s="101" t="str">
        <f t="array" ref="E18">IF(A18="","",IFNA(INDEX(Strength!$U$10:$U$59,MATCH(A18,Strength!$A$10:$A$59,0)),"n.a."))</f>
        <v>n.a.</v>
      </c>
      <c r="F18" s="101" t="str">
        <f t="array" ref="F18">IF(A18="","",IFNA(INDEX(Valuation!$L$15:$L$64,MATCH(A18,Valuation!$A$15:$A$64,0)),"n.a."))</f>
        <v>n.a.</v>
      </c>
      <c r="G18" s="101" t="str">
        <f t="array" ref="G18">IF(A18="","",IFNA(INDEX(Growth!$J$15:$J$64,MATCH(A18,Growth!$A$15:$A$64,0)),"n.a."))</f>
        <v>n.a.</v>
      </c>
      <c r="H18" s="101" t="str">
        <f t="array" ref="H18">IF(A18="","",IFNA(INDEX(Profitability!$K$15:$K$64,MATCH(A18,Profitability!$A$15:$A$64,0)),"n.a."))</f>
        <v>n.a.</v>
      </c>
      <c r="I18" s="101">
        <f t="shared" si="1"/>
        <v>0</v>
      </c>
      <c r="J18" s="101" t="str">
        <f t="shared" si="2"/>
        <v>Unranked</v>
      </c>
      <c r="K18" s="101" t="str">
        <f t="shared" si="3"/>
        <v>Unranked</v>
      </c>
      <c r="L18" s="101" t="str">
        <f t="shared" si="4"/>
        <v>n.a.</v>
      </c>
      <c r="M18" s="101" t="str">
        <f t="shared" si="5"/>
        <v>n.a.</v>
      </c>
      <c r="N18" s="101" t="str">
        <f t="shared" si="6"/>
        <v>n.a.</v>
      </c>
      <c r="O18" s="93" t="str">
        <f>IF(A18="","",IF($G$10&lt;&gt;"Valid","Check score weights/sensitivity",IF(Companies!R9&lt;&gt;1,"Outside selected/approved universe",IF(Rules!B15&lt;&gt;"Yes","Confirm issuer universe",IF(I18&lt;&gt;4,"Missing modules: "&amp;TEXTJOIN(", ",TRUE,IF(NOT(ISNUMBER(E18)),"strength",""),IF(NOT(ISNUMBER(F18)),"valuation",""),IF(NOT(ISNUMBER(G18)),"growth",""),IF(NOT(ISNUMBER(H18)),"profitability","")),IF(P18=1,"Ready","Check module/cohort statuses"))))))</f>
        <v>Outside selected/approved universe</v>
      </c>
      <c r="P18" s="93">
        <f t="array" ref="P18">IF(A18="",0,IFERROR(IF(AND(Companies!R9=1,D18&gt;=MAX(10,Rules!$B$22),$G$10="Valid",Rules!B15="Yes",I18=4,MIN(E18:H18)&gt;=0,MAX(E18:H18)&lt;=100,Q18="Ready",R18="Ready",S18="Ready",T18="Ready",ISNUMBER(U18),U18&gt;=MAX(3,Rules!B12),IFNA(INDEX(Network!$P$14:$P$63,MATCH(A18,Network!$A$14:$A$63,0)),0)=1,IFNA(INDEX(Network!$C$14:$C$63,MATCH(A18,Network!$A$14:$A$63,0)),"No")="Yes",ISNUMBER(IFNA(INDEX(Network!$L$14:$L$63,MATCH(A18,Network!$A$14:$A$63,0)),"n.a.")),Rules!$B$46&gt;0),1,0),0))</f>
        <v>0</v>
      </c>
      <c r="Q18" s="93" t="str">
        <f t="array" ref="Q18">IF(A18="","",IFNA(INDEX(Strength!$V$10:$V$59,MATCH(A18,Strength!$A$10:$A$59,0)),"n.a."))</f>
        <v>n.a.</v>
      </c>
      <c r="R18" s="93" t="str">
        <f t="array" ref="R18">IF(A18="","",IFNA(INDEX(Valuation!$S$15:$S$64,MATCH(A18,Valuation!$A$15:$A$64,0)),"n.a."))</f>
        <v>n.a.</v>
      </c>
      <c r="S18" s="93" t="str">
        <f t="array" ref="S18">IF(A18="","",IFNA(INDEX(Growth!$L$15:$L$64,MATCH(A18,Growth!$A$15:$A$64,0)),"n.a."))</f>
        <v>Outside selected/approved universe</v>
      </c>
      <c r="T18" s="93" t="str">
        <f t="array" ref="T18">IF(A18="","",IFNA(INDEX(Profitability!$V$15:$V$64,MATCH(A18,Profitability!$A$15:$A$64,0)),"n.a."))</f>
        <v>Outside cap/scope universe</v>
      </c>
      <c r="U18" s="93" t="str">
        <f t="array" ref="U18">IF(A18="","",IF(COUNT(IFNA(INDEX(Strength!$J$10:$J$59,MATCH(A18,Strength!$A$10:$A$59,0)),"n.a."),Valuation!$B$7,IFNA(INDEX(Growth!$K$15:$K$64,MATCH(A18,Growth!$A$15:$A$64,0)),"n.a."),IFNA(INDEX(Profitability!$M$15:$M$64,MATCH(A18,Profitability!$A$15:$A$64,0)),"n.a."))&lt;&gt;4,"n.a.",MIN(1+IFNA(INDEX(Strength!$J$10:$J$59,MATCH(A18,Strength!$A$10:$A$59,0)),"n.a."),Valuation!$B$7,IFNA(INDEX(Growth!$K$15:$K$64,MATCH(A18,Growth!$A$15:$A$64,0)),"n.a."),IFNA(INDEX(Profitability!$M$15:$M$64,MATCH(A18,Profitability!$A$15:$A$64,0)),"n.a."))))</f>
        <v>n.a.</v>
      </c>
      <c r="V18" s="93">
        <f t="shared" si="7"/>
        <v>2.5</v>
      </c>
    </row>
    <row r="19">
      <c r="A19" s="93" t="str">
        <f>IF(Companies!A10="","",Companies!A10)</f>
        <v>US-IBM</v>
      </c>
      <c r="B19" s="93" t="str">
        <f>IF(A19="","",Companies!C10)</f>
        <v>IBM</v>
      </c>
      <c r="C19" s="93" t="str">
        <f>IF(A19="","",Companies!D10)</f>
        <v>Information Technology</v>
      </c>
      <c r="D19" s="101">
        <f>IF(A19="","",Companies!I10)</f>
        <v>209.76</v>
      </c>
      <c r="E19" s="101" t="str">
        <f t="array" ref="E19">IF(A19="","",IFNA(INDEX(Strength!$U$10:$U$59,MATCH(A19,Strength!$A$10:$A$59,0)),"n.a."))</f>
        <v>n.a.</v>
      </c>
      <c r="F19" s="101" t="str">
        <f t="array" ref="F19">IF(A19="","",IFNA(INDEX(Valuation!$L$15:$L$64,MATCH(A19,Valuation!$A$15:$A$64,0)),"n.a."))</f>
        <v>n.a.</v>
      </c>
      <c r="G19" s="101" t="str">
        <f t="array" ref="G19">IF(A19="","",IFNA(INDEX(Growth!$J$15:$J$64,MATCH(A19,Growth!$A$15:$A$64,0)),"n.a."))</f>
        <v>n.a.</v>
      </c>
      <c r="H19" s="101" t="str">
        <f t="array" ref="H19">IF(A19="","",IFNA(INDEX(Profitability!$K$15:$K$64,MATCH(A19,Profitability!$A$15:$A$64,0)),"n.a."))</f>
        <v>n.a.</v>
      </c>
      <c r="I19" s="101">
        <f t="shared" si="1"/>
        <v>0</v>
      </c>
      <c r="J19" s="101" t="str">
        <f t="shared" si="2"/>
        <v>Unranked</v>
      </c>
      <c r="K19" s="101" t="str">
        <f t="shared" si="3"/>
        <v>Unranked</v>
      </c>
      <c r="L19" s="101" t="str">
        <f t="shared" si="4"/>
        <v>n.a.</v>
      </c>
      <c r="M19" s="101" t="str">
        <f t="shared" si="5"/>
        <v>n.a.</v>
      </c>
      <c r="N19" s="101" t="str">
        <f t="shared" si="6"/>
        <v>n.a.</v>
      </c>
      <c r="O19" s="93" t="str">
        <f>IF(A19="","",IF($G$10&lt;&gt;"Valid","Check score weights/sensitivity",IF(Companies!R10&lt;&gt;1,"Outside selected/approved universe",IF(Rules!B15&lt;&gt;"Yes","Confirm issuer universe",IF(I19&lt;&gt;4,"Missing modules: "&amp;TEXTJOIN(", ",TRUE,IF(NOT(ISNUMBER(E19)),"strength",""),IF(NOT(ISNUMBER(F19)),"valuation",""),IF(NOT(ISNUMBER(G19)),"growth",""),IF(NOT(ISNUMBER(H19)),"profitability","")),IF(P19=1,"Ready","Check module/cohort statuses"))))))</f>
        <v>Outside selected/approved universe</v>
      </c>
      <c r="P19" s="93">
        <f t="array" ref="P19">IF(A19="",0,IFERROR(IF(AND(Companies!R10=1,D19&gt;=MAX(10,Rules!$B$22),$G$10="Valid",Rules!B15="Yes",I19=4,MIN(E19:H19)&gt;=0,MAX(E19:H19)&lt;=100,Q19="Ready",R19="Ready",S19="Ready",T19="Ready",ISNUMBER(U19),U19&gt;=MAX(3,Rules!B12),IFNA(INDEX(Network!$P$14:$P$63,MATCH(A19,Network!$A$14:$A$63,0)),0)=1,IFNA(INDEX(Network!$C$14:$C$63,MATCH(A19,Network!$A$14:$A$63,0)),"No")="Yes",ISNUMBER(IFNA(INDEX(Network!$L$14:$L$63,MATCH(A19,Network!$A$14:$A$63,0)),"n.a.")),Rules!$B$46&gt;0),1,0),0))</f>
        <v>0</v>
      </c>
      <c r="Q19" s="93" t="str">
        <f t="array" ref="Q19">IF(A19="","",IFNA(INDEX(Strength!$V$10:$V$59,MATCH(A19,Strength!$A$10:$A$59,0)),"n.a."))</f>
        <v>n.a.</v>
      </c>
      <c r="R19" s="93" t="str">
        <f t="array" ref="R19">IF(A19="","",IFNA(INDEX(Valuation!$S$15:$S$64,MATCH(A19,Valuation!$A$15:$A$64,0)),"n.a."))</f>
        <v>n.a.</v>
      </c>
      <c r="S19" s="93" t="str">
        <f t="array" ref="S19">IF(A19="","",IFNA(INDEX(Growth!$L$15:$L$64,MATCH(A19,Growth!$A$15:$A$64,0)),"n.a."))</f>
        <v>Outside selected/approved universe</v>
      </c>
      <c r="T19" s="93" t="str">
        <f t="array" ref="T19">IF(A19="","",IFNA(INDEX(Profitability!$V$15:$V$64,MATCH(A19,Profitability!$A$15:$A$64,0)),"n.a."))</f>
        <v>Outside cap/scope universe</v>
      </c>
      <c r="U19" s="93" t="str">
        <f t="array" ref="U19">IF(A19="","",IF(COUNT(IFNA(INDEX(Strength!$J$10:$J$59,MATCH(A19,Strength!$A$10:$A$59,0)),"n.a."),Valuation!$B$7,IFNA(INDEX(Growth!$K$15:$K$64,MATCH(A19,Growth!$A$15:$A$64,0)),"n.a."),IFNA(INDEX(Profitability!$M$15:$M$64,MATCH(A19,Profitability!$A$15:$A$64,0)),"n.a."))&lt;&gt;4,"n.a.",MIN(1+IFNA(INDEX(Strength!$J$10:$J$59,MATCH(A19,Strength!$A$10:$A$59,0)),"n.a."),Valuation!$B$7,IFNA(INDEX(Growth!$K$15:$K$64,MATCH(A19,Growth!$A$15:$A$64,0)),"n.a."),IFNA(INDEX(Profitability!$M$15:$M$64,MATCH(A19,Profitability!$A$15:$A$64,0)),"n.a."))))</f>
        <v>n.a.</v>
      </c>
      <c r="V19" s="93">
        <f t="shared" si="7"/>
        <v>2.5</v>
      </c>
    </row>
    <row r="20">
      <c r="A20" s="93" t="str">
        <f>IF(Companies!A11="","",Companies!A11)</f>
        <v>US-VZ</v>
      </c>
      <c r="B20" s="93" t="str">
        <f>IF(A20="","",Companies!C11)</f>
        <v>Verizon</v>
      </c>
      <c r="C20" s="93" t="str">
        <f>IF(A20="","",Companies!D11)</f>
        <v>Communication Services</v>
      </c>
      <c r="D20" s="101">
        <f>IF(A20="","",Companies!I11)</f>
        <v>190.79</v>
      </c>
      <c r="E20" s="101" t="str">
        <f t="array" ref="E20">IF(A20="","",IFNA(INDEX(Strength!$U$10:$U$59,MATCH(A20,Strength!$A$10:$A$59,0)),"n.a."))</f>
        <v>n.a.</v>
      </c>
      <c r="F20" s="101" t="str">
        <f t="array" ref="F20">IF(A20="","",IFNA(INDEX(Valuation!$L$15:$L$64,MATCH(A20,Valuation!$A$15:$A$64,0)),"n.a."))</f>
        <v>n.a.</v>
      </c>
      <c r="G20" s="101" t="str">
        <f t="array" ref="G20">IF(A20="","",IFNA(INDEX(Growth!$J$15:$J$64,MATCH(A20,Growth!$A$15:$A$64,0)),"n.a."))</f>
        <v>n.a.</v>
      </c>
      <c r="H20" s="101" t="str">
        <f t="array" ref="H20">IF(A20="","",IFNA(INDEX(Profitability!$K$15:$K$64,MATCH(A20,Profitability!$A$15:$A$64,0)),"n.a."))</f>
        <v>n.a.</v>
      </c>
      <c r="I20" s="101">
        <f t="shared" si="1"/>
        <v>0</v>
      </c>
      <c r="J20" s="101" t="str">
        <f t="shared" si="2"/>
        <v>Unranked</v>
      </c>
      <c r="K20" s="101" t="str">
        <f t="shared" si="3"/>
        <v>Unranked</v>
      </c>
      <c r="L20" s="101" t="str">
        <f t="shared" si="4"/>
        <v>n.a.</v>
      </c>
      <c r="M20" s="101" t="str">
        <f t="shared" si="5"/>
        <v>n.a.</v>
      </c>
      <c r="N20" s="101" t="str">
        <f t="shared" si="6"/>
        <v>n.a.</v>
      </c>
      <c r="O20" s="93" t="str">
        <f>IF(A20="","",IF($G$10&lt;&gt;"Valid","Check score weights/sensitivity",IF(Companies!R11&lt;&gt;1,"Outside selected/approved universe",IF(Rules!B15&lt;&gt;"Yes","Confirm issuer universe",IF(I20&lt;&gt;4,"Missing modules: "&amp;TEXTJOIN(", ",TRUE,IF(NOT(ISNUMBER(E20)),"strength",""),IF(NOT(ISNUMBER(F20)),"valuation",""),IF(NOT(ISNUMBER(G20)),"growth",""),IF(NOT(ISNUMBER(H20)),"profitability","")),IF(P20=1,"Ready","Check module/cohort statuses"))))))</f>
        <v>Outside selected/approved universe</v>
      </c>
      <c r="P20" s="93">
        <f t="array" ref="P20">IF(A20="",0,IFERROR(IF(AND(Companies!R11=1,D20&gt;=MAX(10,Rules!$B$22),$G$10="Valid",Rules!B15="Yes",I20=4,MIN(E20:H20)&gt;=0,MAX(E20:H20)&lt;=100,Q20="Ready",R20="Ready",S20="Ready",T20="Ready",ISNUMBER(U20),U20&gt;=MAX(3,Rules!B12),IFNA(INDEX(Network!$P$14:$P$63,MATCH(A20,Network!$A$14:$A$63,0)),0)=1,IFNA(INDEX(Network!$C$14:$C$63,MATCH(A20,Network!$A$14:$A$63,0)),"No")="Yes",ISNUMBER(IFNA(INDEX(Network!$L$14:$L$63,MATCH(A20,Network!$A$14:$A$63,0)),"n.a.")),Rules!$B$46&gt;0),1,0),0))</f>
        <v>0</v>
      </c>
      <c r="Q20" s="93" t="str">
        <f t="array" ref="Q20">IF(A20="","",IFNA(INDEX(Strength!$V$10:$V$59,MATCH(A20,Strength!$A$10:$A$59,0)),"n.a."))</f>
        <v>n.a.</v>
      </c>
      <c r="R20" s="93" t="str">
        <f t="array" ref="R20">IF(A20="","",IFNA(INDEX(Valuation!$S$15:$S$64,MATCH(A20,Valuation!$A$15:$A$64,0)),"n.a."))</f>
        <v>n.a.</v>
      </c>
      <c r="S20" s="93" t="str">
        <f t="array" ref="S20">IF(A20="","",IFNA(INDEX(Growth!$L$15:$L$64,MATCH(A20,Growth!$A$15:$A$64,0)),"n.a."))</f>
        <v>Outside selected/approved universe</v>
      </c>
      <c r="T20" s="93" t="str">
        <f t="array" ref="T20">IF(A20="","",IFNA(INDEX(Profitability!$V$15:$V$64,MATCH(A20,Profitability!$A$15:$A$64,0)),"n.a."))</f>
        <v>Outside cap/scope universe</v>
      </c>
      <c r="U20" s="93" t="str">
        <f t="array" ref="U20">IF(A20="","",IF(COUNT(IFNA(INDEX(Strength!$J$10:$J$59,MATCH(A20,Strength!$A$10:$A$59,0)),"n.a."),Valuation!$B$7,IFNA(INDEX(Growth!$K$15:$K$64,MATCH(A20,Growth!$A$15:$A$64,0)),"n.a."),IFNA(INDEX(Profitability!$M$15:$M$64,MATCH(A20,Profitability!$A$15:$A$64,0)),"n.a."))&lt;&gt;4,"n.a.",MIN(1+IFNA(INDEX(Strength!$J$10:$J$59,MATCH(A20,Strength!$A$10:$A$59,0)),"n.a."),Valuation!$B$7,IFNA(INDEX(Growth!$K$15:$K$64,MATCH(A20,Growth!$A$15:$A$64,0)),"n.a."),IFNA(INDEX(Profitability!$M$15:$M$64,MATCH(A20,Profitability!$A$15:$A$64,0)),"n.a."))))</f>
        <v>n.a.</v>
      </c>
      <c r="V20" s="93">
        <f t="shared" si="7"/>
        <v>2.5</v>
      </c>
    </row>
    <row r="21">
      <c r="A21" s="93" t="str">
        <f>IF(Companies!A12="","",Companies!A12)</f>
        <v>US-HON</v>
      </c>
      <c r="B21" s="93" t="str">
        <f>IF(A21="","",Companies!C12)</f>
        <v>Honeywell Technologies</v>
      </c>
      <c r="C21" s="93" t="str">
        <f>IF(A21="","",Companies!D12)</f>
        <v>Industrials</v>
      </c>
      <c r="D21" s="101">
        <f>IF(A21="","",Companies!I12)</f>
        <v>67.82</v>
      </c>
      <c r="E21" s="101" t="str">
        <f t="array" ref="E21">IF(A21="","",IFNA(INDEX(Strength!$U$10:$U$59,MATCH(A21,Strength!$A$10:$A$59,0)),"n.a."))</f>
        <v>n.a.</v>
      </c>
      <c r="F21" s="101" t="str">
        <f t="array" ref="F21">IF(A21="","",IFNA(INDEX(Valuation!$L$15:$L$64,MATCH(A21,Valuation!$A$15:$A$64,0)),"n.a."))</f>
        <v>n.a.</v>
      </c>
      <c r="G21" s="101" t="str">
        <f t="array" ref="G21">IF(A21="","",IFNA(INDEX(Growth!$J$15:$J$64,MATCH(A21,Growth!$A$15:$A$64,0)),"n.a."))</f>
        <v>n.a.</v>
      </c>
      <c r="H21" s="101" t="str">
        <f t="array" ref="H21">IF(A21="","",IFNA(INDEX(Profitability!$K$15:$K$64,MATCH(A21,Profitability!$A$15:$A$64,0)),"n.a."))</f>
        <v>n.a.</v>
      </c>
      <c r="I21" s="101">
        <f t="shared" si="1"/>
        <v>0</v>
      </c>
      <c r="J21" s="101" t="str">
        <f t="shared" si="2"/>
        <v>Unranked</v>
      </c>
      <c r="K21" s="101" t="str">
        <f t="shared" si="3"/>
        <v>Unranked</v>
      </c>
      <c r="L21" s="101" t="str">
        <f t="shared" si="4"/>
        <v>n.a.</v>
      </c>
      <c r="M21" s="101" t="str">
        <f t="shared" si="5"/>
        <v>n.a.</v>
      </c>
      <c r="N21" s="101" t="str">
        <f t="shared" si="6"/>
        <v>n.a.</v>
      </c>
      <c r="O21" s="93" t="str">
        <f>IF(A21="","",IF($G$10&lt;&gt;"Valid","Check score weights/sensitivity",IF(Companies!R12&lt;&gt;1,"Outside selected/approved universe",IF(Rules!B15&lt;&gt;"Yes","Confirm issuer universe",IF(I21&lt;&gt;4,"Missing modules: "&amp;TEXTJOIN(", ",TRUE,IF(NOT(ISNUMBER(E21)),"strength",""),IF(NOT(ISNUMBER(F21)),"valuation",""),IF(NOT(ISNUMBER(G21)),"growth",""),IF(NOT(ISNUMBER(H21)),"profitability","")),IF(P21=1,"Ready","Check module/cohort statuses"))))))</f>
        <v>Outside selected/approved universe</v>
      </c>
      <c r="P21" s="93">
        <f t="array" ref="P21">IF(A21="",0,IFERROR(IF(AND(Companies!R12=1,D21&gt;=MAX(10,Rules!$B$22),$G$10="Valid",Rules!B15="Yes",I21=4,MIN(E21:H21)&gt;=0,MAX(E21:H21)&lt;=100,Q21="Ready",R21="Ready",S21="Ready",T21="Ready",ISNUMBER(U21),U21&gt;=MAX(3,Rules!B12),IFNA(INDEX(Network!$P$14:$P$63,MATCH(A21,Network!$A$14:$A$63,0)),0)=1,IFNA(INDEX(Network!$C$14:$C$63,MATCH(A21,Network!$A$14:$A$63,0)),"No")="Yes",ISNUMBER(IFNA(INDEX(Network!$L$14:$L$63,MATCH(A21,Network!$A$14:$A$63,0)),"n.a.")),Rules!$B$46&gt;0),1,0),0))</f>
        <v>0</v>
      </c>
      <c r="Q21" s="93" t="str">
        <f t="array" ref="Q21">IF(A21="","",IFNA(INDEX(Strength!$V$10:$V$59,MATCH(A21,Strength!$A$10:$A$59,0)),"n.a."))</f>
        <v>n.a.</v>
      </c>
      <c r="R21" s="93" t="str">
        <f t="array" ref="R21">IF(A21="","",IFNA(INDEX(Valuation!$S$15:$S$64,MATCH(A21,Valuation!$A$15:$A$64,0)),"n.a."))</f>
        <v>n.a.</v>
      </c>
      <c r="S21" s="93" t="str">
        <f t="array" ref="S21">IF(A21="","",IFNA(INDEX(Growth!$L$15:$L$64,MATCH(A21,Growth!$A$15:$A$64,0)),"n.a."))</f>
        <v>Outside selected/approved universe</v>
      </c>
      <c r="T21" s="93" t="str">
        <f t="array" ref="T21">IF(A21="","",IFNA(INDEX(Profitability!$V$15:$V$64,MATCH(A21,Profitability!$A$15:$A$64,0)),"n.a."))</f>
        <v>Outside cap/scope universe</v>
      </c>
      <c r="U21" s="93" t="str">
        <f t="array" ref="U21">IF(A21="","",IF(COUNT(IFNA(INDEX(Strength!$J$10:$J$59,MATCH(A21,Strength!$A$10:$A$59,0)),"n.a."),Valuation!$B$7,IFNA(INDEX(Growth!$K$15:$K$64,MATCH(A21,Growth!$A$15:$A$64,0)),"n.a."),IFNA(INDEX(Profitability!$M$15:$M$64,MATCH(A21,Profitability!$A$15:$A$64,0)),"n.a."))&lt;&gt;4,"n.a.",MIN(1+IFNA(INDEX(Strength!$J$10:$J$59,MATCH(A21,Strength!$A$10:$A$59,0)),"n.a."),Valuation!$B$7,IFNA(INDEX(Growth!$K$15:$K$64,MATCH(A21,Growth!$A$15:$A$64,0)),"n.a."),IFNA(INDEX(Profitability!$M$15:$M$64,MATCH(A21,Profitability!$A$15:$A$64,0)),"n.a."))))</f>
        <v>n.a.</v>
      </c>
      <c r="V21" s="93">
        <f t="shared" si="7"/>
        <v>2.5</v>
      </c>
    </row>
    <row r="22">
      <c r="A22" s="93" t="str">
        <f>IF(Companies!A13="","",Companies!A13)</f>
        <v>US-SHW</v>
      </c>
      <c r="B22" s="93" t="str">
        <f>IF(A22="","",Companies!C13)</f>
        <v>Sherwin-Williams</v>
      </c>
      <c r="C22" s="93" t="str">
        <f>IF(A22="","",Companies!D13)</f>
        <v>Materials</v>
      </c>
      <c r="D22" s="101">
        <f>IF(A22="","",Companies!I13)</f>
        <v>77.11</v>
      </c>
      <c r="E22" s="101" t="str">
        <f t="array" ref="E22">IF(A22="","",IFNA(INDEX(Strength!$U$10:$U$59,MATCH(A22,Strength!$A$10:$A$59,0)),"n.a."))</f>
        <v>n.a.</v>
      </c>
      <c r="F22" s="101" t="str">
        <f t="array" ref="F22">IF(A22="","",IFNA(INDEX(Valuation!$L$15:$L$64,MATCH(A22,Valuation!$A$15:$A$64,0)),"n.a."))</f>
        <v>n.a.</v>
      </c>
      <c r="G22" s="101" t="str">
        <f t="array" ref="G22">IF(A22="","",IFNA(INDEX(Growth!$J$15:$J$64,MATCH(A22,Growth!$A$15:$A$64,0)),"n.a."))</f>
        <v>n.a.</v>
      </c>
      <c r="H22" s="101" t="str">
        <f t="array" ref="H22">IF(A22="","",IFNA(INDEX(Profitability!$K$15:$K$64,MATCH(A22,Profitability!$A$15:$A$64,0)),"n.a."))</f>
        <v>n.a.</v>
      </c>
      <c r="I22" s="101">
        <f t="shared" si="1"/>
        <v>0</v>
      </c>
      <c r="J22" s="101" t="str">
        <f t="shared" si="2"/>
        <v>Unranked</v>
      </c>
      <c r="K22" s="101" t="str">
        <f t="shared" si="3"/>
        <v>Unranked</v>
      </c>
      <c r="L22" s="101" t="str">
        <f t="shared" si="4"/>
        <v>n.a.</v>
      </c>
      <c r="M22" s="101" t="str">
        <f t="shared" si="5"/>
        <v>n.a.</v>
      </c>
      <c r="N22" s="101" t="str">
        <f t="shared" si="6"/>
        <v>n.a.</v>
      </c>
      <c r="O22" s="93" t="str">
        <f>IF(A22="","",IF($G$10&lt;&gt;"Valid","Check score weights/sensitivity",IF(Companies!R13&lt;&gt;1,"Outside selected/approved universe",IF(Rules!B15&lt;&gt;"Yes","Confirm issuer universe",IF(I22&lt;&gt;4,"Missing modules: "&amp;TEXTJOIN(", ",TRUE,IF(NOT(ISNUMBER(E22)),"strength",""),IF(NOT(ISNUMBER(F22)),"valuation",""),IF(NOT(ISNUMBER(G22)),"growth",""),IF(NOT(ISNUMBER(H22)),"profitability","")),IF(P22=1,"Ready","Check module/cohort statuses"))))))</f>
        <v>Outside selected/approved universe</v>
      </c>
      <c r="P22" s="93">
        <f t="array" ref="P22">IF(A22="",0,IFERROR(IF(AND(Companies!R13=1,D22&gt;=MAX(10,Rules!$B$22),$G$10="Valid",Rules!B15="Yes",I22=4,MIN(E22:H22)&gt;=0,MAX(E22:H22)&lt;=100,Q22="Ready",R22="Ready",S22="Ready",T22="Ready",ISNUMBER(U22),U22&gt;=MAX(3,Rules!B12),IFNA(INDEX(Network!$P$14:$P$63,MATCH(A22,Network!$A$14:$A$63,0)),0)=1,IFNA(INDEX(Network!$C$14:$C$63,MATCH(A22,Network!$A$14:$A$63,0)),"No")="Yes",ISNUMBER(IFNA(INDEX(Network!$L$14:$L$63,MATCH(A22,Network!$A$14:$A$63,0)),"n.a.")),Rules!$B$46&gt;0),1,0),0))</f>
        <v>0</v>
      </c>
      <c r="Q22" s="93" t="str">
        <f t="array" ref="Q22">IF(A22="","",IFNA(INDEX(Strength!$V$10:$V$59,MATCH(A22,Strength!$A$10:$A$59,0)),"n.a."))</f>
        <v>n.a.</v>
      </c>
      <c r="R22" s="93" t="str">
        <f t="array" ref="R22">IF(A22="","",IFNA(INDEX(Valuation!$S$15:$S$64,MATCH(A22,Valuation!$A$15:$A$64,0)),"n.a."))</f>
        <v>n.a.</v>
      </c>
      <c r="S22" s="93" t="str">
        <f t="array" ref="S22">IF(A22="","",IFNA(INDEX(Growth!$L$15:$L$64,MATCH(A22,Growth!$A$15:$A$64,0)),"n.a."))</f>
        <v>Outside selected/approved universe</v>
      </c>
      <c r="T22" s="93" t="str">
        <f t="array" ref="T22">IF(A22="","",IFNA(INDEX(Profitability!$V$15:$V$64,MATCH(A22,Profitability!$A$15:$A$64,0)),"n.a."))</f>
        <v>Outside cap/scope universe</v>
      </c>
      <c r="U22" s="93" t="str">
        <f t="array" ref="U22">IF(A22="","",IF(COUNT(IFNA(INDEX(Strength!$J$10:$J$59,MATCH(A22,Strength!$A$10:$A$59,0)),"n.a."),Valuation!$B$7,IFNA(INDEX(Growth!$K$15:$K$64,MATCH(A22,Growth!$A$15:$A$64,0)),"n.a."),IFNA(INDEX(Profitability!$M$15:$M$64,MATCH(A22,Profitability!$A$15:$A$64,0)),"n.a."))&lt;&gt;4,"n.a.",MIN(1+IFNA(INDEX(Strength!$J$10:$J$59,MATCH(A22,Strength!$A$10:$A$59,0)),"n.a."),Valuation!$B$7,IFNA(INDEX(Growth!$K$15:$K$64,MATCH(A22,Growth!$A$15:$A$64,0)),"n.a."),IFNA(INDEX(Profitability!$M$15:$M$64,MATCH(A22,Profitability!$A$15:$A$64,0)),"n.a."))))</f>
        <v>n.a.</v>
      </c>
      <c r="V22" s="93">
        <f t="shared" si="7"/>
        <v>2.5</v>
      </c>
    </row>
    <row r="23">
      <c r="A23" s="93" t="str">
        <f>IF(Companies!A14="","",Companies!A14)</f>
        <v>US-AEP</v>
      </c>
      <c r="B23" s="93" t="str">
        <f>IF(A23="","",Companies!C14)</f>
        <v>American Electric Power</v>
      </c>
      <c r="C23" s="93" t="str">
        <f>IF(A23="","",Companies!D14)</f>
        <v>Utilities</v>
      </c>
      <c r="D23" s="101">
        <f>IF(A23="","",Companies!I14)</f>
        <v>65.09</v>
      </c>
      <c r="E23" s="101" t="str">
        <f t="array" ref="E23">IF(A23="","",IFNA(INDEX(Strength!$U$10:$U$59,MATCH(A23,Strength!$A$10:$A$59,0)),"n.a."))</f>
        <v>n.a.</v>
      </c>
      <c r="F23" s="101" t="str">
        <f t="array" ref="F23">IF(A23="","",IFNA(INDEX(Valuation!$L$15:$L$64,MATCH(A23,Valuation!$A$15:$A$64,0)),"n.a."))</f>
        <v>n.a.</v>
      </c>
      <c r="G23" s="101" t="str">
        <f t="array" ref="G23">IF(A23="","",IFNA(INDEX(Growth!$J$15:$J$64,MATCH(A23,Growth!$A$15:$A$64,0)),"n.a."))</f>
        <v>n.a.</v>
      </c>
      <c r="H23" s="101" t="str">
        <f t="array" ref="H23">IF(A23="","",IFNA(INDEX(Profitability!$K$15:$K$64,MATCH(A23,Profitability!$A$15:$A$64,0)),"n.a."))</f>
        <v>n.a.</v>
      </c>
      <c r="I23" s="101">
        <f t="shared" si="1"/>
        <v>0</v>
      </c>
      <c r="J23" s="101" t="str">
        <f t="shared" si="2"/>
        <v>Unranked</v>
      </c>
      <c r="K23" s="101" t="str">
        <f t="shared" si="3"/>
        <v>Unranked</v>
      </c>
      <c r="L23" s="101" t="str">
        <f t="shared" si="4"/>
        <v>n.a.</v>
      </c>
      <c r="M23" s="101" t="str">
        <f t="shared" si="5"/>
        <v>n.a.</v>
      </c>
      <c r="N23" s="101" t="str">
        <f t="shared" si="6"/>
        <v>n.a.</v>
      </c>
      <c r="O23" s="93" t="str">
        <f>IF(A23="","",IF($G$10&lt;&gt;"Valid","Check score weights/sensitivity",IF(Companies!R14&lt;&gt;1,"Outside selected/approved universe",IF(Rules!B15&lt;&gt;"Yes","Confirm issuer universe",IF(I23&lt;&gt;4,"Missing modules: "&amp;TEXTJOIN(", ",TRUE,IF(NOT(ISNUMBER(E23)),"strength",""),IF(NOT(ISNUMBER(F23)),"valuation",""),IF(NOT(ISNUMBER(G23)),"growth",""),IF(NOT(ISNUMBER(H23)),"profitability","")),IF(P23=1,"Ready","Check module/cohort statuses"))))))</f>
        <v>Outside selected/approved universe</v>
      </c>
      <c r="P23" s="93">
        <f t="array" ref="P23">IF(A23="",0,IFERROR(IF(AND(Companies!R14=1,D23&gt;=MAX(10,Rules!$B$22),$G$10="Valid",Rules!B15="Yes",I23=4,MIN(E23:H23)&gt;=0,MAX(E23:H23)&lt;=100,Q23="Ready",R23="Ready",S23="Ready",T23="Ready",ISNUMBER(U23),U23&gt;=MAX(3,Rules!B12),IFNA(INDEX(Network!$P$14:$P$63,MATCH(A23,Network!$A$14:$A$63,0)),0)=1,IFNA(INDEX(Network!$C$14:$C$63,MATCH(A23,Network!$A$14:$A$63,0)),"No")="Yes",ISNUMBER(IFNA(INDEX(Network!$L$14:$L$63,MATCH(A23,Network!$A$14:$A$63,0)),"n.a.")),Rules!$B$46&gt;0),1,0),0))</f>
        <v>0</v>
      </c>
      <c r="Q23" s="93" t="str">
        <f t="array" ref="Q23">IF(A23="","",IFNA(INDEX(Strength!$V$10:$V$59,MATCH(A23,Strength!$A$10:$A$59,0)),"n.a."))</f>
        <v>n.a.</v>
      </c>
      <c r="R23" s="93" t="str">
        <f t="array" ref="R23">IF(A23="","",IFNA(INDEX(Valuation!$S$15:$S$64,MATCH(A23,Valuation!$A$15:$A$64,0)),"n.a."))</f>
        <v>n.a.</v>
      </c>
      <c r="S23" s="93" t="str">
        <f t="array" ref="S23">IF(A23="","",IFNA(INDEX(Growth!$L$15:$L$64,MATCH(A23,Growth!$A$15:$A$64,0)),"n.a."))</f>
        <v>Outside selected/approved universe</v>
      </c>
      <c r="T23" s="93" t="str">
        <f t="array" ref="T23">IF(A23="","",IFNA(INDEX(Profitability!$V$15:$V$64,MATCH(A23,Profitability!$A$15:$A$64,0)),"n.a."))</f>
        <v>Outside cap/scope universe</v>
      </c>
      <c r="U23" s="93" t="str">
        <f t="array" ref="U23">IF(A23="","",IF(COUNT(IFNA(INDEX(Strength!$J$10:$J$59,MATCH(A23,Strength!$A$10:$A$59,0)),"n.a."),Valuation!$B$7,IFNA(INDEX(Growth!$K$15:$K$64,MATCH(A23,Growth!$A$15:$A$64,0)),"n.a."),IFNA(INDEX(Profitability!$M$15:$M$64,MATCH(A23,Profitability!$A$15:$A$64,0)),"n.a."))&lt;&gt;4,"n.a.",MIN(1+IFNA(INDEX(Strength!$J$10:$J$59,MATCH(A23,Strength!$A$10:$A$59,0)),"n.a."),Valuation!$B$7,IFNA(INDEX(Growth!$K$15:$K$64,MATCH(A23,Growth!$A$15:$A$64,0)),"n.a."),IFNA(INDEX(Profitability!$M$15:$M$64,MATCH(A23,Profitability!$A$15:$A$64,0)),"n.a."))))</f>
        <v>n.a.</v>
      </c>
      <c r="V23" s="93">
        <f t="shared" si="7"/>
        <v>2.5</v>
      </c>
    </row>
    <row r="24">
      <c r="A24" s="93" t="str">
        <f>IF(Companies!A15="","",Companies!A15)</f>
        <v>US-JPM</v>
      </c>
      <c r="B24" s="93" t="str">
        <f>IF(A24="","",Companies!C15)</f>
        <v>JPMorgan Chase</v>
      </c>
      <c r="C24" s="93" t="str">
        <f>IF(A24="","",Companies!D15)</f>
        <v>Financials</v>
      </c>
      <c r="D24" s="101">
        <f>IF(A24="","",Companies!I15)</f>
        <v>883.53</v>
      </c>
      <c r="E24" s="101" t="str">
        <f t="array" ref="E24">IF(A24="","",IFNA(INDEX(Strength!$U$10:$U$59,MATCH(A24,Strength!$A$10:$A$59,0)),"n.a."))</f>
        <v>n.a.</v>
      </c>
      <c r="F24" s="101" t="str">
        <f t="array" ref="F24">IF(A24="","",IFNA(INDEX(Valuation!$L$15:$L$64,MATCH(A24,Valuation!$A$15:$A$64,0)),"n.a."))</f>
        <v>n.a.</v>
      </c>
      <c r="G24" s="101" t="str">
        <f t="array" ref="G24">IF(A24="","",IFNA(INDEX(Growth!$J$15:$J$64,MATCH(A24,Growth!$A$15:$A$64,0)),"n.a."))</f>
        <v>n.a.</v>
      </c>
      <c r="H24" s="101" t="str">
        <f t="array" ref="H24">IF(A24="","",IFNA(INDEX(Profitability!$K$15:$K$64,MATCH(A24,Profitability!$A$15:$A$64,0)),"n.a."))</f>
        <v>n.a.</v>
      </c>
      <c r="I24" s="101">
        <f t="shared" si="1"/>
        <v>0</v>
      </c>
      <c r="J24" s="101" t="str">
        <f t="shared" si="2"/>
        <v>Unranked</v>
      </c>
      <c r="K24" s="101" t="str">
        <f t="shared" si="3"/>
        <v>Unranked</v>
      </c>
      <c r="L24" s="101" t="str">
        <f t="shared" si="4"/>
        <v>n.a.</v>
      </c>
      <c r="M24" s="101" t="str">
        <f t="shared" si="5"/>
        <v>n.a.</v>
      </c>
      <c r="N24" s="101" t="str">
        <f t="shared" si="6"/>
        <v>n.a.</v>
      </c>
      <c r="O24" s="93" t="str">
        <f>IF(A24="","",IF($G$10&lt;&gt;"Valid","Check score weights/sensitivity",IF(Companies!R15&lt;&gt;1,"Outside selected/approved universe",IF(Rules!B15&lt;&gt;"Yes","Confirm issuer universe",IF(I24&lt;&gt;4,"Missing modules: "&amp;TEXTJOIN(", ",TRUE,IF(NOT(ISNUMBER(E24)),"strength",""),IF(NOT(ISNUMBER(F24)),"valuation",""),IF(NOT(ISNUMBER(G24)),"growth",""),IF(NOT(ISNUMBER(H24)),"profitability","")),IF(P24=1,"Ready","Check module/cohort statuses"))))))</f>
        <v>Outside selected/approved universe</v>
      </c>
      <c r="P24" s="93">
        <f t="array" ref="P24">IF(A24="",0,IFERROR(IF(AND(Companies!R15=1,D24&gt;=MAX(10,Rules!$B$22),$G$10="Valid",Rules!B15="Yes",I24=4,MIN(E24:H24)&gt;=0,MAX(E24:H24)&lt;=100,Q24="Ready",R24="Ready",S24="Ready",T24="Ready",ISNUMBER(U24),U24&gt;=MAX(3,Rules!B12),IFNA(INDEX(Network!$P$14:$P$63,MATCH(A24,Network!$A$14:$A$63,0)),0)=1,IFNA(INDEX(Network!$C$14:$C$63,MATCH(A24,Network!$A$14:$A$63,0)),"No")="Yes",ISNUMBER(IFNA(INDEX(Network!$L$14:$L$63,MATCH(A24,Network!$A$14:$A$63,0)),"n.a.")),Rules!$B$46&gt;0),1,0),0))</f>
        <v>0</v>
      </c>
      <c r="Q24" s="93" t="str">
        <f t="array" ref="Q24">IF(A24="","",IFNA(INDEX(Strength!$V$10:$V$59,MATCH(A24,Strength!$A$10:$A$59,0)),"n.a."))</f>
        <v>n.a.</v>
      </c>
      <c r="R24" s="93" t="str">
        <f t="array" ref="R24">IF(A24="","",IFNA(INDEX(Valuation!$S$15:$S$64,MATCH(A24,Valuation!$A$15:$A$64,0)),"n.a."))</f>
        <v>n.a.</v>
      </c>
      <c r="S24" s="93" t="str">
        <f t="array" ref="S24">IF(A24="","",IFNA(INDEX(Growth!$L$15:$L$64,MATCH(A24,Growth!$A$15:$A$64,0)),"n.a."))</f>
        <v>Outside selected/approved universe</v>
      </c>
      <c r="T24" s="93" t="str">
        <f t="array" ref="T24">IF(A24="","",IFNA(INDEX(Profitability!$V$15:$V$64,MATCH(A24,Profitability!$A$15:$A$64,0)),"n.a."))</f>
        <v>Outside cap/scope universe</v>
      </c>
      <c r="U24" s="93" t="str">
        <f t="array" ref="U24">IF(A24="","",IF(COUNT(IFNA(INDEX(Strength!$J$10:$J$59,MATCH(A24,Strength!$A$10:$A$59,0)),"n.a."),Valuation!$B$7,IFNA(INDEX(Growth!$K$15:$K$64,MATCH(A24,Growth!$A$15:$A$64,0)),"n.a."),IFNA(INDEX(Profitability!$M$15:$M$64,MATCH(A24,Profitability!$A$15:$A$64,0)),"n.a."))&lt;&gt;4,"n.a.",MIN(1+IFNA(INDEX(Strength!$J$10:$J$59,MATCH(A24,Strength!$A$10:$A$59,0)),"n.a."),Valuation!$B$7,IFNA(INDEX(Growth!$K$15:$K$64,MATCH(A24,Growth!$A$15:$A$64,0)),"n.a."),IFNA(INDEX(Profitability!$M$15:$M$64,MATCH(A24,Profitability!$A$15:$A$64,0)),"n.a."))))</f>
        <v>n.a.</v>
      </c>
      <c r="V24" s="93">
        <f t="shared" si="7"/>
        <v>2.5</v>
      </c>
    </row>
    <row r="25">
      <c r="A25" s="93" t="str">
        <f>IF(Companies!A16="","",Companies!A16)</f>
        <v/>
      </c>
      <c r="B25" s="93" t="str">
        <f>IF(A25="","",Companies!C16)</f>
        <v/>
      </c>
      <c r="C25" s="93" t="str">
        <f>IF(A25="","",Companies!D16)</f>
        <v/>
      </c>
      <c r="D25" s="101" t="str">
        <f>IF(A25="","",Companies!I16)</f>
        <v/>
      </c>
      <c r="E25" s="101" t="str">
        <f t="array" ref="E25">IF(A25="","",IFNA(INDEX(Strength!$U$10:$U$59,MATCH(A25,Strength!$A$10:$A$59,0)),"n.a."))</f>
        <v/>
      </c>
      <c r="F25" s="101" t="str">
        <f t="array" ref="F25">IF(A25="","",IFNA(INDEX(Valuation!$L$15:$L$64,MATCH(A25,Valuation!$A$15:$A$64,0)),"n.a."))</f>
        <v/>
      </c>
      <c r="G25" s="101" t="str">
        <f t="array" ref="G25">IF(A25="","",IFNA(INDEX(Growth!$J$15:$J$64,MATCH(A25,Growth!$A$15:$A$64,0)),"n.a."))</f>
        <v/>
      </c>
      <c r="H25" s="101" t="str">
        <f t="array" ref="H25">IF(A25="","",IFNA(INDEX(Profitability!$K$15:$K$64,MATCH(A25,Profitability!$A$15:$A$64,0)),"n.a."))</f>
        <v/>
      </c>
      <c r="I25" s="101" t="str">
        <f t="shared" si="1"/>
        <v/>
      </c>
      <c r="J25" s="101" t="str">
        <f t="shared" si="2"/>
        <v/>
      </c>
      <c r="K25" s="101" t="str">
        <f t="shared" si="3"/>
        <v/>
      </c>
      <c r="L25" s="101" t="str">
        <f t="shared" si="4"/>
        <v/>
      </c>
      <c r="M25" s="101" t="str">
        <f t="shared" si="5"/>
        <v/>
      </c>
      <c r="N25" s="101" t="str">
        <f t="shared" si="6"/>
        <v/>
      </c>
      <c r="O25" s="93" t="str">
        <f>IF(A25="","",IF($G$10&lt;&gt;"Valid","Check score weights/sensitivity",IF(Companies!R16&lt;&gt;1,"Outside selected/approved universe",IF(Rules!B15&lt;&gt;"Yes","Confirm issuer universe",IF(I25&lt;&gt;4,"Missing modules: "&amp;TEXTJOIN(", ",TRUE,IF(NOT(ISNUMBER(E25)),"strength",""),IF(NOT(ISNUMBER(F25)),"valuation",""),IF(NOT(ISNUMBER(G25)),"growth",""),IF(NOT(ISNUMBER(H25)),"profitability","")),IF(P25=1,"Ready","Check module/cohort statuses"))))))</f>
        <v/>
      </c>
      <c r="P25" s="93">
        <f t="array" ref="P25">IF(A25="",0,IFERROR(IF(AND(Companies!R16=1,D25&gt;=MAX(10,Rules!$B$22),$G$10="Valid",Rules!B15="Yes",I25=4,MIN(E25:H25)&gt;=0,MAX(E25:H25)&lt;=100,Q25="Ready",R25="Ready",S25="Ready",T25="Ready",ISNUMBER(U25),U25&gt;=MAX(3,Rules!B12),IFNA(INDEX(Network!$P$14:$P$63,MATCH(A25,Network!$A$14:$A$63,0)),0)=1,IFNA(INDEX(Network!$C$14:$C$63,MATCH(A25,Network!$A$14:$A$63,0)),"No")="Yes",ISNUMBER(IFNA(INDEX(Network!$L$14:$L$63,MATCH(A25,Network!$A$14:$A$63,0)),"n.a.")),Rules!$B$46&gt;0),1,0),0))</f>
        <v>0</v>
      </c>
      <c r="Q25" s="93" t="str">
        <f t="array" ref="Q25">IF(A25="","",IFNA(INDEX(Strength!$V$10:$V$59,MATCH(A25,Strength!$A$10:$A$59,0)),"n.a."))</f>
        <v/>
      </c>
      <c r="R25" s="93" t="str">
        <f t="array" ref="R25">IF(A25="","",IFNA(INDEX(Valuation!$S$15:$S$64,MATCH(A25,Valuation!$A$15:$A$64,0)),"n.a."))</f>
        <v/>
      </c>
      <c r="S25" s="93" t="str">
        <f t="array" ref="S25">IF(A25="","",IFNA(INDEX(Growth!$L$15:$L$64,MATCH(A25,Growth!$A$15:$A$64,0)),"n.a."))</f>
        <v/>
      </c>
      <c r="T25" s="93" t="str">
        <f t="array" ref="T25">IF(A25="","",IFNA(INDEX(Profitability!$V$15:$V$64,MATCH(A25,Profitability!$A$15:$A$64,0)),"n.a."))</f>
        <v/>
      </c>
      <c r="U25" s="93" t="str">
        <f t="array" ref="U25">IF(A25="","",IF(COUNT(IFNA(INDEX(Strength!$J$10:$J$59,MATCH(A25,Strength!$A$10:$A$59,0)),"n.a."),Valuation!$B$7,IFNA(INDEX(Growth!$K$15:$K$64,MATCH(A25,Growth!$A$15:$A$64,0)),"n.a."),IFNA(INDEX(Profitability!$M$15:$M$64,MATCH(A25,Profitability!$A$15:$A$64,0)),"n.a."))&lt;&gt;4,"n.a.",MIN(1+IFNA(INDEX(Strength!$J$10:$J$59,MATCH(A25,Strength!$A$10:$A$59,0)),"n.a."),Valuation!$B$7,IFNA(INDEX(Growth!$K$15:$K$64,MATCH(A25,Growth!$A$15:$A$64,0)),"n.a."),IFNA(INDEX(Profitability!$M$15:$M$64,MATCH(A25,Profitability!$A$15:$A$64,0)),"n.a."))))</f>
        <v/>
      </c>
      <c r="V25" s="93" t="str">
        <f t="shared" si="7"/>
        <v/>
      </c>
    </row>
    <row r="26">
      <c r="A26" s="93" t="str">
        <f>IF(Companies!A17="","",Companies!A17)</f>
        <v/>
      </c>
      <c r="B26" s="93" t="str">
        <f>IF(A26="","",Companies!C17)</f>
        <v/>
      </c>
      <c r="C26" s="93" t="str">
        <f>IF(A26="","",Companies!D17)</f>
        <v/>
      </c>
      <c r="D26" s="101" t="str">
        <f>IF(A26="","",Companies!I17)</f>
        <v/>
      </c>
      <c r="E26" s="101" t="str">
        <f t="array" ref="E26">IF(A26="","",IFNA(INDEX(Strength!$U$10:$U$59,MATCH(A26,Strength!$A$10:$A$59,0)),"n.a."))</f>
        <v/>
      </c>
      <c r="F26" s="101" t="str">
        <f t="array" ref="F26">IF(A26="","",IFNA(INDEX(Valuation!$L$15:$L$64,MATCH(A26,Valuation!$A$15:$A$64,0)),"n.a."))</f>
        <v/>
      </c>
      <c r="G26" s="101" t="str">
        <f t="array" ref="G26">IF(A26="","",IFNA(INDEX(Growth!$J$15:$J$64,MATCH(A26,Growth!$A$15:$A$64,0)),"n.a."))</f>
        <v/>
      </c>
      <c r="H26" s="101" t="str">
        <f t="array" ref="H26">IF(A26="","",IFNA(INDEX(Profitability!$K$15:$K$64,MATCH(A26,Profitability!$A$15:$A$64,0)),"n.a."))</f>
        <v/>
      </c>
      <c r="I26" s="101" t="str">
        <f t="shared" si="1"/>
        <v/>
      </c>
      <c r="J26" s="101" t="str">
        <f t="shared" si="2"/>
        <v/>
      </c>
      <c r="K26" s="101" t="str">
        <f t="shared" si="3"/>
        <v/>
      </c>
      <c r="L26" s="101" t="str">
        <f t="shared" si="4"/>
        <v/>
      </c>
      <c r="M26" s="101" t="str">
        <f t="shared" si="5"/>
        <v/>
      </c>
      <c r="N26" s="101" t="str">
        <f t="shared" si="6"/>
        <v/>
      </c>
      <c r="O26" s="93" t="str">
        <f>IF(A26="","",IF($G$10&lt;&gt;"Valid","Check score weights/sensitivity",IF(Companies!R17&lt;&gt;1,"Outside selected/approved universe",IF(Rules!B15&lt;&gt;"Yes","Confirm issuer universe",IF(I26&lt;&gt;4,"Missing modules: "&amp;TEXTJOIN(", ",TRUE,IF(NOT(ISNUMBER(E26)),"strength",""),IF(NOT(ISNUMBER(F26)),"valuation",""),IF(NOT(ISNUMBER(G26)),"growth",""),IF(NOT(ISNUMBER(H26)),"profitability","")),IF(P26=1,"Ready","Check module/cohort statuses"))))))</f>
        <v/>
      </c>
      <c r="P26" s="93">
        <f t="array" ref="P26">IF(A26="",0,IFERROR(IF(AND(Companies!R17=1,D26&gt;=MAX(10,Rules!$B$22),$G$10="Valid",Rules!B15="Yes",I26=4,MIN(E26:H26)&gt;=0,MAX(E26:H26)&lt;=100,Q26="Ready",R26="Ready",S26="Ready",T26="Ready",ISNUMBER(U26),U26&gt;=MAX(3,Rules!B12),IFNA(INDEX(Network!$P$14:$P$63,MATCH(A26,Network!$A$14:$A$63,0)),0)=1,IFNA(INDEX(Network!$C$14:$C$63,MATCH(A26,Network!$A$14:$A$63,0)),"No")="Yes",ISNUMBER(IFNA(INDEX(Network!$L$14:$L$63,MATCH(A26,Network!$A$14:$A$63,0)),"n.a.")),Rules!$B$46&gt;0),1,0),0))</f>
        <v>0</v>
      </c>
      <c r="Q26" s="93" t="str">
        <f t="array" ref="Q26">IF(A26="","",IFNA(INDEX(Strength!$V$10:$V$59,MATCH(A26,Strength!$A$10:$A$59,0)),"n.a."))</f>
        <v/>
      </c>
      <c r="R26" s="93" t="str">
        <f t="array" ref="R26">IF(A26="","",IFNA(INDEX(Valuation!$S$15:$S$64,MATCH(A26,Valuation!$A$15:$A$64,0)),"n.a."))</f>
        <v/>
      </c>
      <c r="S26" s="93" t="str">
        <f t="array" ref="S26">IF(A26="","",IFNA(INDEX(Growth!$L$15:$L$64,MATCH(A26,Growth!$A$15:$A$64,0)),"n.a."))</f>
        <v/>
      </c>
      <c r="T26" s="93" t="str">
        <f t="array" ref="T26">IF(A26="","",IFNA(INDEX(Profitability!$V$15:$V$64,MATCH(A26,Profitability!$A$15:$A$64,0)),"n.a."))</f>
        <v/>
      </c>
      <c r="U26" s="93" t="str">
        <f t="array" ref="U26">IF(A26="","",IF(COUNT(IFNA(INDEX(Strength!$J$10:$J$59,MATCH(A26,Strength!$A$10:$A$59,0)),"n.a."),Valuation!$B$7,IFNA(INDEX(Growth!$K$15:$K$64,MATCH(A26,Growth!$A$15:$A$64,0)),"n.a."),IFNA(INDEX(Profitability!$M$15:$M$64,MATCH(A26,Profitability!$A$15:$A$64,0)),"n.a."))&lt;&gt;4,"n.a.",MIN(1+IFNA(INDEX(Strength!$J$10:$J$59,MATCH(A26,Strength!$A$10:$A$59,0)),"n.a."),Valuation!$B$7,IFNA(INDEX(Growth!$K$15:$K$64,MATCH(A26,Growth!$A$15:$A$64,0)),"n.a."),IFNA(INDEX(Profitability!$M$15:$M$64,MATCH(A26,Profitability!$A$15:$A$64,0)),"n.a."))))</f>
        <v/>
      </c>
      <c r="V26" s="93" t="str">
        <f t="shared" si="7"/>
        <v/>
      </c>
    </row>
    <row r="27">
      <c r="A27" s="93" t="str">
        <f>IF(Companies!A18="","",Companies!A18)</f>
        <v/>
      </c>
      <c r="B27" s="93" t="str">
        <f>IF(A27="","",Companies!C18)</f>
        <v/>
      </c>
      <c r="C27" s="93" t="str">
        <f>IF(A27="","",Companies!D18)</f>
        <v/>
      </c>
      <c r="D27" s="101" t="str">
        <f>IF(A27="","",Companies!I18)</f>
        <v/>
      </c>
      <c r="E27" s="101" t="str">
        <f t="array" ref="E27">IF(A27="","",IFNA(INDEX(Strength!$U$10:$U$59,MATCH(A27,Strength!$A$10:$A$59,0)),"n.a."))</f>
        <v/>
      </c>
      <c r="F27" s="101" t="str">
        <f t="array" ref="F27">IF(A27="","",IFNA(INDEX(Valuation!$L$15:$L$64,MATCH(A27,Valuation!$A$15:$A$64,0)),"n.a."))</f>
        <v/>
      </c>
      <c r="G27" s="101" t="str">
        <f t="array" ref="G27">IF(A27="","",IFNA(INDEX(Growth!$J$15:$J$64,MATCH(A27,Growth!$A$15:$A$64,0)),"n.a."))</f>
        <v/>
      </c>
      <c r="H27" s="101" t="str">
        <f t="array" ref="H27">IF(A27="","",IFNA(INDEX(Profitability!$K$15:$K$64,MATCH(A27,Profitability!$A$15:$A$64,0)),"n.a."))</f>
        <v/>
      </c>
      <c r="I27" s="101" t="str">
        <f t="shared" si="1"/>
        <v/>
      </c>
      <c r="J27" s="101" t="str">
        <f t="shared" si="2"/>
        <v/>
      </c>
      <c r="K27" s="101" t="str">
        <f t="shared" si="3"/>
        <v/>
      </c>
      <c r="L27" s="101" t="str">
        <f t="shared" si="4"/>
        <v/>
      </c>
      <c r="M27" s="101" t="str">
        <f t="shared" si="5"/>
        <v/>
      </c>
      <c r="N27" s="101" t="str">
        <f t="shared" si="6"/>
        <v/>
      </c>
      <c r="O27" s="93" t="str">
        <f>IF(A27="","",IF($G$10&lt;&gt;"Valid","Check score weights/sensitivity",IF(Companies!R18&lt;&gt;1,"Outside selected/approved universe",IF(Rules!B15&lt;&gt;"Yes","Confirm issuer universe",IF(I27&lt;&gt;4,"Missing modules: "&amp;TEXTJOIN(", ",TRUE,IF(NOT(ISNUMBER(E27)),"strength",""),IF(NOT(ISNUMBER(F27)),"valuation",""),IF(NOT(ISNUMBER(G27)),"growth",""),IF(NOT(ISNUMBER(H27)),"profitability","")),IF(P27=1,"Ready","Check module/cohort statuses"))))))</f>
        <v/>
      </c>
      <c r="P27" s="93">
        <f t="array" ref="P27">IF(A27="",0,IFERROR(IF(AND(Companies!R18=1,D27&gt;=MAX(10,Rules!$B$22),$G$10="Valid",Rules!B15="Yes",I27=4,MIN(E27:H27)&gt;=0,MAX(E27:H27)&lt;=100,Q27="Ready",R27="Ready",S27="Ready",T27="Ready",ISNUMBER(U27),U27&gt;=MAX(3,Rules!B12),IFNA(INDEX(Network!$P$14:$P$63,MATCH(A27,Network!$A$14:$A$63,0)),0)=1,IFNA(INDEX(Network!$C$14:$C$63,MATCH(A27,Network!$A$14:$A$63,0)),"No")="Yes",ISNUMBER(IFNA(INDEX(Network!$L$14:$L$63,MATCH(A27,Network!$A$14:$A$63,0)),"n.a.")),Rules!$B$46&gt;0),1,0),0))</f>
        <v>0</v>
      </c>
      <c r="Q27" s="93" t="str">
        <f t="array" ref="Q27">IF(A27="","",IFNA(INDEX(Strength!$V$10:$V$59,MATCH(A27,Strength!$A$10:$A$59,0)),"n.a."))</f>
        <v/>
      </c>
      <c r="R27" s="93" t="str">
        <f t="array" ref="R27">IF(A27="","",IFNA(INDEX(Valuation!$S$15:$S$64,MATCH(A27,Valuation!$A$15:$A$64,0)),"n.a."))</f>
        <v/>
      </c>
      <c r="S27" s="93" t="str">
        <f t="array" ref="S27">IF(A27="","",IFNA(INDEX(Growth!$L$15:$L$64,MATCH(A27,Growth!$A$15:$A$64,0)),"n.a."))</f>
        <v/>
      </c>
      <c r="T27" s="93" t="str">
        <f t="array" ref="T27">IF(A27="","",IFNA(INDEX(Profitability!$V$15:$V$64,MATCH(A27,Profitability!$A$15:$A$64,0)),"n.a."))</f>
        <v/>
      </c>
      <c r="U27" s="93" t="str">
        <f t="array" ref="U27">IF(A27="","",IF(COUNT(IFNA(INDEX(Strength!$J$10:$J$59,MATCH(A27,Strength!$A$10:$A$59,0)),"n.a."),Valuation!$B$7,IFNA(INDEX(Growth!$K$15:$K$64,MATCH(A27,Growth!$A$15:$A$64,0)),"n.a."),IFNA(INDEX(Profitability!$M$15:$M$64,MATCH(A27,Profitability!$A$15:$A$64,0)),"n.a."))&lt;&gt;4,"n.a.",MIN(1+IFNA(INDEX(Strength!$J$10:$J$59,MATCH(A27,Strength!$A$10:$A$59,0)),"n.a."),Valuation!$B$7,IFNA(INDEX(Growth!$K$15:$K$64,MATCH(A27,Growth!$A$15:$A$64,0)),"n.a."),IFNA(INDEX(Profitability!$M$15:$M$64,MATCH(A27,Profitability!$A$15:$A$64,0)),"n.a."))))</f>
        <v/>
      </c>
      <c r="V27" s="93" t="str">
        <f t="shared" si="7"/>
        <v/>
      </c>
    </row>
    <row r="28">
      <c r="A28" s="93" t="str">
        <f>IF(Companies!A19="","",Companies!A19)</f>
        <v/>
      </c>
      <c r="B28" s="93" t="str">
        <f>IF(A28="","",Companies!C19)</f>
        <v/>
      </c>
      <c r="C28" s="93" t="str">
        <f>IF(A28="","",Companies!D19)</f>
        <v/>
      </c>
      <c r="D28" s="101" t="str">
        <f>IF(A28="","",Companies!I19)</f>
        <v/>
      </c>
      <c r="E28" s="101" t="str">
        <f t="array" ref="E28">IF(A28="","",IFNA(INDEX(Strength!$U$10:$U$59,MATCH(A28,Strength!$A$10:$A$59,0)),"n.a."))</f>
        <v/>
      </c>
      <c r="F28" s="101" t="str">
        <f t="array" ref="F28">IF(A28="","",IFNA(INDEX(Valuation!$L$15:$L$64,MATCH(A28,Valuation!$A$15:$A$64,0)),"n.a."))</f>
        <v/>
      </c>
      <c r="G28" s="101" t="str">
        <f t="array" ref="G28">IF(A28="","",IFNA(INDEX(Growth!$J$15:$J$64,MATCH(A28,Growth!$A$15:$A$64,0)),"n.a."))</f>
        <v/>
      </c>
      <c r="H28" s="101" t="str">
        <f t="array" ref="H28">IF(A28="","",IFNA(INDEX(Profitability!$K$15:$K$64,MATCH(A28,Profitability!$A$15:$A$64,0)),"n.a."))</f>
        <v/>
      </c>
      <c r="I28" s="101" t="str">
        <f t="shared" si="1"/>
        <v/>
      </c>
      <c r="J28" s="101" t="str">
        <f t="shared" si="2"/>
        <v/>
      </c>
      <c r="K28" s="101" t="str">
        <f t="shared" si="3"/>
        <v/>
      </c>
      <c r="L28" s="101" t="str">
        <f t="shared" si="4"/>
        <v/>
      </c>
      <c r="M28" s="101" t="str">
        <f t="shared" si="5"/>
        <v/>
      </c>
      <c r="N28" s="101" t="str">
        <f t="shared" si="6"/>
        <v/>
      </c>
      <c r="O28" s="93" t="str">
        <f>IF(A28="","",IF($G$10&lt;&gt;"Valid","Check score weights/sensitivity",IF(Companies!R19&lt;&gt;1,"Outside selected/approved universe",IF(Rules!B15&lt;&gt;"Yes","Confirm issuer universe",IF(I28&lt;&gt;4,"Missing modules: "&amp;TEXTJOIN(", ",TRUE,IF(NOT(ISNUMBER(E28)),"strength",""),IF(NOT(ISNUMBER(F28)),"valuation",""),IF(NOT(ISNUMBER(G28)),"growth",""),IF(NOT(ISNUMBER(H28)),"profitability","")),IF(P28=1,"Ready","Check module/cohort statuses"))))))</f>
        <v/>
      </c>
      <c r="P28" s="93">
        <f t="array" ref="P28">IF(A28="",0,IFERROR(IF(AND(Companies!R19=1,D28&gt;=MAX(10,Rules!$B$22),$G$10="Valid",Rules!B15="Yes",I28=4,MIN(E28:H28)&gt;=0,MAX(E28:H28)&lt;=100,Q28="Ready",R28="Ready",S28="Ready",T28="Ready",ISNUMBER(U28),U28&gt;=MAX(3,Rules!B12),IFNA(INDEX(Network!$P$14:$P$63,MATCH(A28,Network!$A$14:$A$63,0)),0)=1,IFNA(INDEX(Network!$C$14:$C$63,MATCH(A28,Network!$A$14:$A$63,0)),"No")="Yes",ISNUMBER(IFNA(INDEX(Network!$L$14:$L$63,MATCH(A28,Network!$A$14:$A$63,0)),"n.a.")),Rules!$B$46&gt;0),1,0),0))</f>
        <v>0</v>
      </c>
      <c r="Q28" s="93" t="str">
        <f t="array" ref="Q28">IF(A28="","",IFNA(INDEX(Strength!$V$10:$V$59,MATCH(A28,Strength!$A$10:$A$59,0)),"n.a."))</f>
        <v/>
      </c>
      <c r="R28" s="93" t="str">
        <f t="array" ref="R28">IF(A28="","",IFNA(INDEX(Valuation!$S$15:$S$64,MATCH(A28,Valuation!$A$15:$A$64,0)),"n.a."))</f>
        <v/>
      </c>
      <c r="S28" s="93" t="str">
        <f t="array" ref="S28">IF(A28="","",IFNA(INDEX(Growth!$L$15:$L$64,MATCH(A28,Growth!$A$15:$A$64,0)),"n.a."))</f>
        <v/>
      </c>
      <c r="T28" s="93" t="str">
        <f t="array" ref="T28">IF(A28="","",IFNA(INDEX(Profitability!$V$15:$V$64,MATCH(A28,Profitability!$A$15:$A$64,0)),"n.a."))</f>
        <v/>
      </c>
      <c r="U28" s="93" t="str">
        <f t="array" ref="U28">IF(A28="","",IF(COUNT(IFNA(INDEX(Strength!$J$10:$J$59,MATCH(A28,Strength!$A$10:$A$59,0)),"n.a."),Valuation!$B$7,IFNA(INDEX(Growth!$K$15:$K$64,MATCH(A28,Growth!$A$15:$A$64,0)),"n.a."),IFNA(INDEX(Profitability!$M$15:$M$64,MATCH(A28,Profitability!$A$15:$A$64,0)),"n.a."))&lt;&gt;4,"n.a.",MIN(1+IFNA(INDEX(Strength!$J$10:$J$59,MATCH(A28,Strength!$A$10:$A$59,0)),"n.a."),Valuation!$B$7,IFNA(INDEX(Growth!$K$15:$K$64,MATCH(A28,Growth!$A$15:$A$64,0)),"n.a."),IFNA(INDEX(Profitability!$M$15:$M$64,MATCH(A28,Profitability!$A$15:$A$64,0)),"n.a."))))</f>
        <v/>
      </c>
      <c r="V28" s="93" t="str">
        <f t="shared" si="7"/>
        <v/>
      </c>
    </row>
    <row r="29">
      <c r="A29" s="93" t="str">
        <f>IF(Companies!A20="","",Companies!A20)</f>
        <v/>
      </c>
      <c r="B29" s="93" t="str">
        <f>IF(A29="","",Companies!C20)</f>
        <v/>
      </c>
      <c r="C29" s="93" t="str">
        <f>IF(A29="","",Companies!D20)</f>
        <v/>
      </c>
      <c r="D29" s="101" t="str">
        <f>IF(A29="","",Companies!I20)</f>
        <v/>
      </c>
      <c r="E29" s="101" t="str">
        <f t="array" ref="E29">IF(A29="","",IFNA(INDEX(Strength!$U$10:$U$59,MATCH(A29,Strength!$A$10:$A$59,0)),"n.a."))</f>
        <v/>
      </c>
      <c r="F29" s="101" t="str">
        <f t="array" ref="F29">IF(A29="","",IFNA(INDEX(Valuation!$L$15:$L$64,MATCH(A29,Valuation!$A$15:$A$64,0)),"n.a."))</f>
        <v/>
      </c>
      <c r="G29" s="101" t="str">
        <f t="array" ref="G29">IF(A29="","",IFNA(INDEX(Growth!$J$15:$J$64,MATCH(A29,Growth!$A$15:$A$64,0)),"n.a."))</f>
        <v/>
      </c>
      <c r="H29" s="101" t="str">
        <f t="array" ref="H29">IF(A29="","",IFNA(INDEX(Profitability!$K$15:$K$64,MATCH(A29,Profitability!$A$15:$A$64,0)),"n.a."))</f>
        <v/>
      </c>
      <c r="I29" s="101" t="str">
        <f t="shared" si="1"/>
        <v/>
      </c>
      <c r="J29" s="101" t="str">
        <f t="shared" si="2"/>
        <v/>
      </c>
      <c r="K29" s="101" t="str">
        <f t="shared" si="3"/>
        <v/>
      </c>
      <c r="L29" s="101" t="str">
        <f t="shared" si="4"/>
        <v/>
      </c>
      <c r="M29" s="101" t="str">
        <f t="shared" si="5"/>
        <v/>
      </c>
      <c r="N29" s="101" t="str">
        <f t="shared" si="6"/>
        <v/>
      </c>
      <c r="O29" s="93" t="str">
        <f>IF(A29="","",IF($G$10&lt;&gt;"Valid","Check score weights/sensitivity",IF(Companies!R20&lt;&gt;1,"Outside selected/approved universe",IF(Rules!B15&lt;&gt;"Yes","Confirm issuer universe",IF(I29&lt;&gt;4,"Missing modules: "&amp;TEXTJOIN(", ",TRUE,IF(NOT(ISNUMBER(E29)),"strength",""),IF(NOT(ISNUMBER(F29)),"valuation",""),IF(NOT(ISNUMBER(G29)),"growth",""),IF(NOT(ISNUMBER(H29)),"profitability","")),IF(P29=1,"Ready","Check module/cohort statuses"))))))</f>
        <v/>
      </c>
      <c r="P29" s="93">
        <f t="array" ref="P29">IF(A29="",0,IFERROR(IF(AND(Companies!R20=1,D29&gt;=MAX(10,Rules!$B$22),$G$10="Valid",Rules!B15="Yes",I29=4,MIN(E29:H29)&gt;=0,MAX(E29:H29)&lt;=100,Q29="Ready",R29="Ready",S29="Ready",T29="Ready",ISNUMBER(U29),U29&gt;=MAX(3,Rules!B12),IFNA(INDEX(Network!$P$14:$P$63,MATCH(A29,Network!$A$14:$A$63,0)),0)=1,IFNA(INDEX(Network!$C$14:$C$63,MATCH(A29,Network!$A$14:$A$63,0)),"No")="Yes",ISNUMBER(IFNA(INDEX(Network!$L$14:$L$63,MATCH(A29,Network!$A$14:$A$63,0)),"n.a.")),Rules!$B$46&gt;0),1,0),0))</f>
        <v>0</v>
      </c>
      <c r="Q29" s="93" t="str">
        <f t="array" ref="Q29">IF(A29="","",IFNA(INDEX(Strength!$V$10:$V$59,MATCH(A29,Strength!$A$10:$A$59,0)),"n.a."))</f>
        <v/>
      </c>
      <c r="R29" s="93" t="str">
        <f t="array" ref="R29">IF(A29="","",IFNA(INDEX(Valuation!$S$15:$S$64,MATCH(A29,Valuation!$A$15:$A$64,0)),"n.a."))</f>
        <v/>
      </c>
      <c r="S29" s="93" t="str">
        <f t="array" ref="S29">IF(A29="","",IFNA(INDEX(Growth!$L$15:$L$64,MATCH(A29,Growth!$A$15:$A$64,0)),"n.a."))</f>
        <v/>
      </c>
      <c r="T29" s="93" t="str">
        <f t="array" ref="T29">IF(A29="","",IFNA(INDEX(Profitability!$V$15:$V$64,MATCH(A29,Profitability!$A$15:$A$64,0)),"n.a."))</f>
        <v/>
      </c>
      <c r="U29" s="93" t="str">
        <f t="array" ref="U29">IF(A29="","",IF(COUNT(IFNA(INDEX(Strength!$J$10:$J$59,MATCH(A29,Strength!$A$10:$A$59,0)),"n.a."),Valuation!$B$7,IFNA(INDEX(Growth!$K$15:$K$64,MATCH(A29,Growth!$A$15:$A$64,0)),"n.a."),IFNA(INDEX(Profitability!$M$15:$M$64,MATCH(A29,Profitability!$A$15:$A$64,0)),"n.a."))&lt;&gt;4,"n.a.",MIN(1+IFNA(INDEX(Strength!$J$10:$J$59,MATCH(A29,Strength!$A$10:$A$59,0)),"n.a."),Valuation!$B$7,IFNA(INDEX(Growth!$K$15:$K$64,MATCH(A29,Growth!$A$15:$A$64,0)),"n.a."),IFNA(INDEX(Profitability!$M$15:$M$64,MATCH(A29,Profitability!$A$15:$A$64,0)),"n.a."))))</f>
        <v/>
      </c>
      <c r="V29" s="93" t="str">
        <f t="shared" si="7"/>
        <v/>
      </c>
    </row>
    <row r="30">
      <c r="A30" s="93" t="str">
        <f>IF(Companies!A21="","",Companies!A21)</f>
        <v/>
      </c>
      <c r="B30" s="93" t="str">
        <f>IF(A30="","",Companies!C21)</f>
        <v/>
      </c>
      <c r="C30" s="93" t="str">
        <f>IF(A30="","",Companies!D21)</f>
        <v/>
      </c>
      <c r="D30" s="101" t="str">
        <f>IF(A30="","",Companies!I21)</f>
        <v/>
      </c>
      <c r="E30" s="101" t="str">
        <f t="array" ref="E30">IF(A30="","",IFNA(INDEX(Strength!$U$10:$U$59,MATCH(A30,Strength!$A$10:$A$59,0)),"n.a."))</f>
        <v/>
      </c>
      <c r="F30" s="101" t="str">
        <f t="array" ref="F30">IF(A30="","",IFNA(INDEX(Valuation!$L$15:$L$64,MATCH(A30,Valuation!$A$15:$A$64,0)),"n.a."))</f>
        <v/>
      </c>
      <c r="G30" s="101" t="str">
        <f t="array" ref="G30">IF(A30="","",IFNA(INDEX(Growth!$J$15:$J$64,MATCH(A30,Growth!$A$15:$A$64,0)),"n.a."))</f>
        <v/>
      </c>
      <c r="H30" s="101" t="str">
        <f t="array" ref="H30">IF(A30="","",IFNA(INDEX(Profitability!$K$15:$K$64,MATCH(A30,Profitability!$A$15:$A$64,0)),"n.a."))</f>
        <v/>
      </c>
      <c r="I30" s="101" t="str">
        <f t="shared" si="1"/>
        <v/>
      </c>
      <c r="J30" s="101" t="str">
        <f t="shared" si="2"/>
        <v/>
      </c>
      <c r="K30" s="101" t="str">
        <f t="shared" si="3"/>
        <v/>
      </c>
      <c r="L30" s="101" t="str">
        <f t="shared" si="4"/>
        <v/>
      </c>
      <c r="M30" s="101" t="str">
        <f t="shared" si="5"/>
        <v/>
      </c>
      <c r="N30" s="101" t="str">
        <f t="shared" si="6"/>
        <v/>
      </c>
      <c r="O30" s="93" t="str">
        <f>IF(A30="","",IF($G$10&lt;&gt;"Valid","Check score weights/sensitivity",IF(Companies!R21&lt;&gt;1,"Outside selected/approved universe",IF(Rules!B15&lt;&gt;"Yes","Confirm issuer universe",IF(I30&lt;&gt;4,"Missing modules: "&amp;TEXTJOIN(", ",TRUE,IF(NOT(ISNUMBER(E30)),"strength",""),IF(NOT(ISNUMBER(F30)),"valuation",""),IF(NOT(ISNUMBER(G30)),"growth",""),IF(NOT(ISNUMBER(H30)),"profitability","")),IF(P30=1,"Ready","Check module/cohort statuses"))))))</f>
        <v/>
      </c>
      <c r="P30" s="93">
        <f t="array" ref="P30">IF(A30="",0,IFERROR(IF(AND(Companies!R21=1,D30&gt;=MAX(10,Rules!$B$22),$G$10="Valid",Rules!B15="Yes",I30=4,MIN(E30:H30)&gt;=0,MAX(E30:H30)&lt;=100,Q30="Ready",R30="Ready",S30="Ready",T30="Ready",ISNUMBER(U30),U30&gt;=MAX(3,Rules!B12),IFNA(INDEX(Network!$P$14:$P$63,MATCH(A30,Network!$A$14:$A$63,0)),0)=1,IFNA(INDEX(Network!$C$14:$C$63,MATCH(A30,Network!$A$14:$A$63,0)),"No")="Yes",ISNUMBER(IFNA(INDEX(Network!$L$14:$L$63,MATCH(A30,Network!$A$14:$A$63,0)),"n.a.")),Rules!$B$46&gt;0),1,0),0))</f>
        <v>0</v>
      </c>
      <c r="Q30" s="93" t="str">
        <f t="array" ref="Q30">IF(A30="","",IFNA(INDEX(Strength!$V$10:$V$59,MATCH(A30,Strength!$A$10:$A$59,0)),"n.a."))</f>
        <v/>
      </c>
      <c r="R30" s="93" t="str">
        <f t="array" ref="R30">IF(A30="","",IFNA(INDEX(Valuation!$S$15:$S$64,MATCH(A30,Valuation!$A$15:$A$64,0)),"n.a."))</f>
        <v/>
      </c>
      <c r="S30" s="93" t="str">
        <f t="array" ref="S30">IF(A30="","",IFNA(INDEX(Growth!$L$15:$L$64,MATCH(A30,Growth!$A$15:$A$64,0)),"n.a."))</f>
        <v/>
      </c>
      <c r="T30" s="93" t="str">
        <f t="array" ref="T30">IF(A30="","",IFNA(INDEX(Profitability!$V$15:$V$64,MATCH(A30,Profitability!$A$15:$A$64,0)),"n.a."))</f>
        <v/>
      </c>
      <c r="U30" s="93" t="str">
        <f t="array" ref="U30">IF(A30="","",IF(COUNT(IFNA(INDEX(Strength!$J$10:$J$59,MATCH(A30,Strength!$A$10:$A$59,0)),"n.a."),Valuation!$B$7,IFNA(INDEX(Growth!$K$15:$K$64,MATCH(A30,Growth!$A$15:$A$64,0)),"n.a."),IFNA(INDEX(Profitability!$M$15:$M$64,MATCH(A30,Profitability!$A$15:$A$64,0)),"n.a."))&lt;&gt;4,"n.a.",MIN(1+IFNA(INDEX(Strength!$J$10:$J$59,MATCH(A30,Strength!$A$10:$A$59,0)),"n.a."),Valuation!$B$7,IFNA(INDEX(Growth!$K$15:$K$64,MATCH(A30,Growth!$A$15:$A$64,0)),"n.a."),IFNA(INDEX(Profitability!$M$15:$M$64,MATCH(A30,Profitability!$A$15:$A$64,0)),"n.a."))))</f>
        <v/>
      </c>
      <c r="V30" s="93" t="str">
        <f t="shared" si="7"/>
        <v/>
      </c>
    </row>
    <row r="31">
      <c r="A31" s="93" t="str">
        <f>IF(Companies!A22="","",Companies!A22)</f>
        <v/>
      </c>
      <c r="B31" s="93" t="str">
        <f>IF(A31="","",Companies!C22)</f>
        <v/>
      </c>
      <c r="C31" s="93" t="str">
        <f>IF(A31="","",Companies!D22)</f>
        <v/>
      </c>
      <c r="D31" s="101" t="str">
        <f>IF(A31="","",Companies!I22)</f>
        <v/>
      </c>
      <c r="E31" s="101" t="str">
        <f t="array" ref="E31">IF(A31="","",IFNA(INDEX(Strength!$U$10:$U$59,MATCH(A31,Strength!$A$10:$A$59,0)),"n.a."))</f>
        <v/>
      </c>
      <c r="F31" s="101" t="str">
        <f t="array" ref="F31">IF(A31="","",IFNA(INDEX(Valuation!$L$15:$L$64,MATCH(A31,Valuation!$A$15:$A$64,0)),"n.a."))</f>
        <v/>
      </c>
      <c r="G31" s="101" t="str">
        <f t="array" ref="G31">IF(A31="","",IFNA(INDEX(Growth!$J$15:$J$64,MATCH(A31,Growth!$A$15:$A$64,0)),"n.a."))</f>
        <v/>
      </c>
      <c r="H31" s="101" t="str">
        <f t="array" ref="H31">IF(A31="","",IFNA(INDEX(Profitability!$K$15:$K$64,MATCH(A31,Profitability!$A$15:$A$64,0)),"n.a."))</f>
        <v/>
      </c>
      <c r="I31" s="101" t="str">
        <f t="shared" si="1"/>
        <v/>
      </c>
      <c r="J31" s="101" t="str">
        <f t="shared" si="2"/>
        <v/>
      </c>
      <c r="K31" s="101" t="str">
        <f t="shared" si="3"/>
        <v/>
      </c>
      <c r="L31" s="101" t="str">
        <f t="shared" si="4"/>
        <v/>
      </c>
      <c r="M31" s="101" t="str">
        <f t="shared" si="5"/>
        <v/>
      </c>
      <c r="N31" s="101" t="str">
        <f t="shared" si="6"/>
        <v/>
      </c>
      <c r="O31" s="93" t="str">
        <f>IF(A31="","",IF($G$10&lt;&gt;"Valid","Check score weights/sensitivity",IF(Companies!R22&lt;&gt;1,"Outside selected/approved universe",IF(Rules!B15&lt;&gt;"Yes","Confirm issuer universe",IF(I31&lt;&gt;4,"Missing modules: "&amp;TEXTJOIN(", ",TRUE,IF(NOT(ISNUMBER(E31)),"strength",""),IF(NOT(ISNUMBER(F31)),"valuation",""),IF(NOT(ISNUMBER(G31)),"growth",""),IF(NOT(ISNUMBER(H31)),"profitability","")),IF(P31=1,"Ready","Check module/cohort statuses"))))))</f>
        <v/>
      </c>
      <c r="P31" s="93">
        <f t="array" ref="P31">IF(A31="",0,IFERROR(IF(AND(Companies!R22=1,D31&gt;=MAX(10,Rules!$B$22),$G$10="Valid",Rules!B15="Yes",I31=4,MIN(E31:H31)&gt;=0,MAX(E31:H31)&lt;=100,Q31="Ready",R31="Ready",S31="Ready",T31="Ready",ISNUMBER(U31),U31&gt;=MAX(3,Rules!B12),IFNA(INDEX(Network!$P$14:$P$63,MATCH(A31,Network!$A$14:$A$63,0)),0)=1,IFNA(INDEX(Network!$C$14:$C$63,MATCH(A31,Network!$A$14:$A$63,0)),"No")="Yes",ISNUMBER(IFNA(INDEX(Network!$L$14:$L$63,MATCH(A31,Network!$A$14:$A$63,0)),"n.a.")),Rules!$B$46&gt;0),1,0),0))</f>
        <v>0</v>
      </c>
      <c r="Q31" s="93" t="str">
        <f t="array" ref="Q31">IF(A31="","",IFNA(INDEX(Strength!$V$10:$V$59,MATCH(A31,Strength!$A$10:$A$59,0)),"n.a."))</f>
        <v/>
      </c>
      <c r="R31" s="93" t="str">
        <f t="array" ref="R31">IF(A31="","",IFNA(INDEX(Valuation!$S$15:$S$64,MATCH(A31,Valuation!$A$15:$A$64,0)),"n.a."))</f>
        <v/>
      </c>
      <c r="S31" s="93" t="str">
        <f t="array" ref="S31">IF(A31="","",IFNA(INDEX(Growth!$L$15:$L$64,MATCH(A31,Growth!$A$15:$A$64,0)),"n.a."))</f>
        <v/>
      </c>
      <c r="T31" s="93" t="str">
        <f t="array" ref="T31">IF(A31="","",IFNA(INDEX(Profitability!$V$15:$V$64,MATCH(A31,Profitability!$A$15:$A$64,0)),"n.a."))</f>
        <v/>
      </c>
      <c r="U31" s="93" t="str">
        <f t="array" ref="U31">IF(A31="","",IF(COUNT(IFNA(INDEX(Strength!$J$10:$J$59,MATCH(A31,Strength!$A$10:$A$59,0)),"n.a."),Valuation!$B$7,IFNA(INDEX(Growth!$K$15:$K$64,MATCH(A31,Growth!$A$15:$A$64,0)),"n.a."),IFNA(INDEX(Profitability!$M$15:$M$64,MATCH(A31,Profitability!$A$15:$A$64,0)),"n.a."))&lt;&gt;4,"n.a.",MIN(1+IFNA(INDEX(Strength!$J$10:$J$59,MATCH(A31,Strength!$A$10:$A$59,0)),"n.a."),Valuation!$B$7,IFNA(INDEX(Growth!$K$15:$K$64,MATCH(A31,Growth!$A$15:$A$64,0)),"n.a."),IFNA(INDEX(Profitability!$M$15:$M$64,MATCH(A31,Profitability!$A$15:$A$64,0)),"n.a."))))</f>
        <v/>
      </c>
      <c r="V31" s="93" t="str">
        <f t="shared" si="7"/>
        <v/>
      </c>
    </row>
    <row r="32">
      <c r="A32" s="93" t="str">
        <f>IF(Companies!A23="","",Companies!A23)</f>
        <v/>
      </c>
      <c r="B32" s="93" t="str">
        <f>IF(A32="","",Companies!C23)</f>
        <v/>
      </c>
      <c r="C32" s="93" t="str">
        <f>IF(A32="","",Companies!D23)</f>
        <v/>
      </c>
      <c r="D32" s="101" t="str">
        <f>IF(A32="","",Companies!I23)</f>
        <v/>
      </c>
      <c r="E32" s="101" t="str">
        <f t="array" ref="E32">IF(A32="","",IFNA(INDEX(Strength!$U$10:$U$59,MATCH(A32,Strength!$A$10:$A$59,0)),"n.a."))</f>
        <v/>
      </c>
      <c r="F32" s="101" t="str">
        <f t="array" ref="F32">IF(A32="","",IFNA(INDEX(Valuation!$L$15:$L$64,MATCH(A32,Valuation!$A$15:$A$64,0)),"n.a."))</f>
        <v/>
      </c>
      <c r="G32" s="101" t="str">
        <f t="array" ref="G32">IF(A32="","",IFNA(INDEX(Growth!$J$15:$J$64,MATCH(A32,Growth!$A$15:$A$64,0)),"n.a."))</f>
        <v/>
      </c>
      <c r="H32" s="101" t="str">
        <f t="array" ref="H32">IF(A32="","",IFNA(INDEX(Profitability!$K$15:$K$64,MATCH(A32,Profitability!$A$15:$A$64,0)),"n.a."))</f>
        <v/>
      </c>
      <c r="I32" s="101" t="str">
        <f t="shared" si="1"/>
        <v/>
      </c>
      <c r="J32" s="101" t="str">
        <f t="shared" si="2"/>
        <v/>
      </c>
      <c r="K32" s="101" t="str">
        <f t="shared" si="3"/>
        <v/>
      </c>
      <c r="L32" s="101" t="str">
        <f t="shared" si="4"/>
        <v/>
      </c>
      <c r="M32" s="101" t="str">
        <f t="shared" si="5"/>
        <v/>
      </c>
      <c r="N32" s="101" t="str">
        <f t="shared" si="6"/>
        <v/>
      </c>
      <c r="O32" s="93" t="str">
        <f>IF(A32="","",IF($G$10&lt;&gt;"Valid","Check score weights/sensitivity",IF(Companies!R23&lt;&gt;1,"Outside selected/approved universe",IF(Rules!B15&lt;&gt;"Yes","Confirm issuer universe",IF(I32&lt;&gt;4,"Missing modules: "&amp;TEXTJOIN(", ",TRUE,IF(NOT(ISNUMBER(E32)),"strength",""),IF(NOT(ISNUMBER(F32)),"valuation",""),IF(NOT(ISNUMBER(G32)),"growth",""),IF(NOT(ISNUMBER(H32)),"profitability","")),IF(P32=1,"Ready","Check module/cohort statuses"))))))</f>
        <v/>
      </c>
      <c r="P32" s="93">
        <f t="array" ref="P32">IF(A32="",0,IFERROR(IF(AND(Companies!R23=1,D32&gt;=MAX(10,Rules!$B$22),$G$10="Valid",Rules!B15="Yes",I32=4,MIN(E32:H32)&gt;=0,MAX(E32:H32)&lt;=100,Q32="Ready",R32="Ready",S32="Ready",T32="Ready",ISNUMBER(U32),U32&gt;=MAX(3,Rules!B12),IFNA(INDEX(Network!$P$14:$P$63,MATCH(A32,Network!$A$14:$A$63,0)),0)=1,IFNA(INDEX(Network!$C$14:$C$63,MATCH(A32,Network!$A$14:$A$63,0)),"No")="Yes",ISNUMBER(IFNA(INDEX(Network!$L$14:$L$63,MATCH(A32,Network!$A$14:$A$63,0)),"n.a.")),Rules!$B$46&gt;0),1,0),0))</f>
        <v>0</v>
      </c>
      <c r="Q32" s="93" t="str">
        <f t="array" ref="Q32">IF(A32="","",IFNA(INDEX(Strength!$V$10:$V$59,MATCH(A32,Strength!$A$10:$A$59,0)),"n.a."))</f>
        <v/>
      </c>
      <c r="R32" s="93" t="str">
        <f t="array" ref="R32">IF(A32="","",IFNA(INDEX(Valuation!$S$15:$S$64,MATCH(A32,Valuation!$A$15:$A$64,0)),"n.a."))</f>
        <v/>
      </c>
      <c r="S32" s="93" t="str">
        <f t="array" ref="S32">IF(A32="","",IFNA(INDEX(Growth!$L$15:$L$64,MATCH(A32,Growth!$A$15:$A$64,0)),"n.a."))</f>
        <v/>
      </c>
      <c r="T32" s="93" t="str">
        <f t="array" ref="T32">IF(A32="","",IFNA(INDEX(Profitability!$V$15:$V$64,MATCH(A32,Profitability!$A$15:$A$64,0)),"n.a."))</f>
        <v/>
      </c>
      <c r="U32" s="93" t="str">
        <f t="array" ref="U32">IF(A32="","",IF(COUNT(IFNA(INDEX(Strength!$J$10:$J$59,MATCH(A32,Strength!$A$10:$A$59,0)),"n.a."),Valuation!$B$7,IFNA(INDEX(Growth!$K$15:$K$64,MATCH(A32,Growth!$A$15:$A$64,0)),"n.a."),IFNA(INDEX(Profitability!$M$15:$M$64,MATCH(A32,Profitability!$A$15:$A$64,0)),"n.a."))&lt;&gt;4,"n.a.",MIN(1+IFNA(INDEX(Strength!$J$10:$J$59,MATCH(A32,Strength!$A$10:$A$59,0)),"n.a."),Valuation!$B$7,IFNA(INDEX(Growth!$K$15:$K$64,MATCH(A32,Growth!$A$15:$A$64,0)),"n.a."),IFNA(INDEX(Profitability!$M$15:$M$64,MATCH(A32,Profitability!$A$15:$A$64,0)),"n.a."))))</f>
        <v/>
      </c>
      <c r="V32" s="93" t="str">
        <f t="shared" si="7"/>
        <v/>
      </c>
    </row>
    <row r="33">
      <c r="A33" s="93" t="str">
        <f>IF(Companies!A24="","",Companies!A24)</f>
        <v/>
      </c>
      <c r="B33" s="93" t="str">
        <f>IF(A33="","",Companies!C24)</f>
        <v/>
      </c>
      <c r="C33" s="93" t="str">
        <f>IF(A33="","",Companies!D24)</f>
        <v/>
      </c>
      <c r="D33" s="101" t="str">
        <f>IF(A33="","",Companies!I24)</f>
        <v/>
      </c>
      <c r="E33" s="101" t="str">
        <f t="array" ref="E33">IF(A33="","",IFNA(INDEX(Strength!$U$10:$U$59,MATCH(A33,Strength!$A$10:$A$59,0)),"n.a."))</f>
        <v/>
      </c>
      <c r="F33" s="101" t="str">
        <f t="array" ref="F33">IF(A33="","",IFNA(INDEX(Valuation!$L$15:$L$64,MATCH(A33,Valuation!$A$15:$A$64,0)),"n.a."))</f>
        <v/>
      </c>
      <c r="G33" s="101" t="str">
        <f t="array" ref="G33">IF(A33="","",IFNA(INDEX(Growth!$J$15:$J$64,MATCH(A33,Growth!$A$15:$A$64,0)),"n.a."))</f>
        <v/>
      </c>
      <c r="H33" s="101" t="str">
        <f t="array" ref="H33">IF(A33="","",IFNA(INDEX(Profitability!$K$15:$K$64,MATCH(A33,Profitability!$A$15:$A$64,0)),"n.a."))</f>
        <v/>
      </c>
      <c r="I33" s="101" t="str">
        <f t="shared" si="1"/>
        <v/>
      </c>
      <c r="J33" s="101" t="str">
        <f t="shared" si="2"/>
        <v/>
      </c>
      <c r="K33" s="101" t="str">
        <f t="shared" si="3"/>
        <v/>
      </c>
      <c r="L33" s="101" t="str">
        <f t="shared" si="4"/>
        <v/>
      </c>
      <c r="M33" s="101" t="str">
        <f t="shared" si="5"/>
        <v/>
      </c>
      <c r="N33" s="101" t="str">
        <f t="shared" si="6"/>
        <v/>
      </c>
      <c r="O33" s="93" t="str">
        <f>IF(A33="","",IF($G$10&lt;&gt;"Valid","Check score weights/sensitivity",IF(Companies!R24&lt;&gt;1,"Outside selected/approved universe",IF(Rules!B15&lt;&gt;"Yes","Confirm issuer universe",IF(I33&lt;&gt;4,"Missing modules: "&amp;TEXTJOIN(", ",TRUE,IF(NOT(ISNUMBER(E33)),"strength",""),IF(NOT(ISNUMBER(F33)),"valuation",""),IF(NOT(ISNUMBER(G33)),"growth",""),IF(NOT(ISNUMBER(H33)),"profitability","")),IF(P33=1,"Ready","Check module/cohort statuses"))))))</f>
        <v/>
      </c>
      <c r="P33" s="93">
        <f t="array" ref="P33">IF(A33="",0,IFERROR(IF(AND(Companies!R24=1,D33&gt;=MAX(10,Rules!$B$22),$G$10="Valid",Rules!B15="Yes",I33=4,MIN(E33:H33)&gt;=0,MAX(E33:H33)&lt;=100,Q33="Ready",R33="Ready",S33="Ready",T33="Ready",ISNUMBER(U33),U33&gt;=MAX(3,Rules!B12),IFNA(INDEX(Network!$P$14:$P$63,MATCH(A33,Network!$A$14:$A$63,0)),0)=1,IFNA(INDEX(Network!$C$14:$C$63,MATCH(A33,Network!$A$14:$A$63,0)),"No")="Yes",ISNUMBER(IFNA(INDEX(Network!$L$14:$L$63,MATCH(A33,Network!$A$14:$A$63,0)),"n.a.")),Rules!$B$46&gt;0),1,0),0))</f>
        <v>0</v>
      </c>
      <c r="Q33" s="93" t="str">
        <f t="array" ref="Q33">IF(A33="","",IFNA(INDEX(Strength!$V$10:$V$59,MATCH(A33,Strength!$A$10:$A$59,0)),"n.a."))</f>
        <v/>
      </c>
      <c r="R33" s="93" t="str">
        <f t="array" ref="R33">IF(A33="","",IFNA(INDEX(Valuation!$S$15:$S$64,MATCH(A33,Valuation!$A$15:$A$64,0)),"n.a."))</f>
        <v/>
      </c>
      <c r="S33" s="93" t="str">
        <f t="array" ref="S33">IF(A33="","",IFNA(INDEX(Growth!$L$15:$L$64,MATCH(A33,Growth!$A$15:$A$64,0)),"n.a."))</f>
        <v/>
      </c>
      <c r="T33" s="93" t="str">
        <f t="array" ref="T33">IF(A33="","",IFNA(INDEX(Profitability!$V$15:$V$64,MATCH(A33,Profitability!$A$15:$A$64,0)),"n.a."))</f>
        <v/>
      </c>
      <c r="U33" s="93" t="str">
        <f t="array" ref="U33">IF(A33="","",IF(COUNT(IFNA(INDEX(Strength!$J$10:$J$59,MATCH(A33,Strength!$A$10:$A$59,0)),"n.a."),Valuation!$B$7,IFNA(INDEX(Growth!$K$15:$K$64,MATCH(A33,Growth!$A$15:$A$64,0)),"n.a."),IFNA(INDEX(Profitability!$M$15:$M$64,MATCH(A33,Profitability!$A$15:$A$64,0)),"n.a."))&lt;&gt;4,"n.a.",MIN(1+IFNA(INDEX(Strength!$J$10:$J$59,MATCH(A33,Strength!$A$10:$A$59,0)),"n.a."),Valuation!$B$7,IFNA(INDEX(Growth!$K$15:$K$64,MATCH(A33,Growth!$A$15:$A$64,0)),"n.a."),IFNA(INDEX(Profitability!$M$15:$M$64,MATCH(A33,Profitability!$A$15:$A$64,0)),"n.a."))))</f>
        <v/>
      </c>
      <c r="V33" s="93" t="str">
        <f t="shared" si="7"/>
        <v/>
      </c>
    </row>
    <row r="34">
      <c r="A34" s="93" t="str">
        <f>IF(Companies!A25="","",Companies!A25)</f>
        <v/>
      </c>
      <c r="B34" s="93" t="str">
        <f>IF(A34="","",Companies!C25)</f>
        <v/>
      </c>
      <c r="C34" s="93" t="str">
        <f>IF(A34="","",Companies!D25)</f>
        <v/>
      </c>
      <c r="D34" s="101" t="str">
        <f>IF(A34="","",Companies!I25)</f>
        <v/>
      </c>
      <c r="E34" s="101" t="str">
        <f t="array" ref="E34">IF(A34="","",IFNA(INDEX(Strength!$U$10:$U$59,MATCH(A34,Strength!$A$10:$A$59,0)),"n.a."))</f>
        <v/>
      </c>
      <c r="F34" s="101" t="str">
        <f t="array" ref="F34">IF(A34="","",IFNA(INDEX(Valuation!$L$15:$L$64,MATCH(A34,Valuation!$A$15:$A$64,0)),"n.a."))</f>
        <v/>
      </c>
      <c r="G34" s="101" t="str">
        <f t="array" ref="G34">IF(A34="","",IFNA(INDEX(Growth!$J$15:$J$64,MATCH(A34,Growth!$A$15:$A$64,0)),"n.a."))</f>
        <v/>
      </c>
      <c r="H34" s="101" t="str">
        <f t="array" ref="H34">IF(A34="","",IFNA(INDEX(Profitability!$K$15:$K$64,MATCH(A34,Profitability!$A$15:$A$64,0)),"n.a."))</f>
        <v/>
      </c>
      <c r="I34" s="101" t="str">
        <f t="shared" si="1"/>
        <v/>
      </c>
      <c r="J34" s="101" t="str">
        <f t="shared" si="2"/>
        <v/>
      </c>
      <c r="K34" s="101" t="str">
        <f t="shared" si="3"/>
        <v/>
      </c>
      <c r="L34" s="101" t="str">
        <f t="shared" si="4"/>
        <v/>
      </c>
      <c r="M34" s="101" t="str">
        <f t="shared" si="5"/>
        <v/>
      </c>
      <c r="N34" s="101" t="str">
        <f t="shared" si="6"/>
        <v/>
      </c>
      <c r="O34" s="93" t="str">
        <f>IF(A34="","",IF($G$10&lt;&gt;"Valid","Check score weights/sensitivity",IF(Companies!R25&lt;&gt;1,"Outside selected/approved universe",IF(Rules!B15&lt;&gt;"Yes","Confirm issuer universe",IF(I34&lt;&gt;4,"Missing modules: "&amp;TEXTJOIN(", ",TRUE,IF(NOT(ISNUMBER(E34)),"strength",""),IF(NOT(ISNUMBER(F34)),"valuation",""),IF(NOT(ISNUMBER(G34)),"growth",""),IF(NOT(ISNUMBER(H34)),"profitability","")),IF(P34=1,"Ready","Check module/cohort statuses"))))))</f>
        <v/>
      </c>
      <c r="P34" s="93">
        <f t="array" ref="P34">IF(A34="",0,IFERROR(IF(AND(Companies!R25=1,D34&gt;=MAX(10,Rules!$B$22),$G$10="Valid",Rules!B15="Yes",I34=4,MIN(E34:H34)&gt;=0,MAX(E34:H34)&lt;=100,Q34="Ready",R34="Ready",S34="Ready",T34="Ready",ISNUMBER(U34),U34&gt;=MAX(3,Rules!B12),IFNA(INDEX(Network!$P$14:$P$63,MATCH(A34,Network!$A$14:$A$63,0)),0)=1,IFNA(INDEX(Network!$C$14:$C$63,MATCH(A34,Network!$A$14:$A$63,0)),"No")="Yes",ISNUMBER(IFNA(INDEX(Network!$L$14:$L$63,MATCH(A34,Network!$A$14:$A$63,0)),"n.a.")),Rules!$B$46&gt;0),1,0),0))</f>
        <v>0</v>
      </c>
      <c r="Q34" s="93" t="str">
        <f t="array" ref="Q34">IF(A34="","",IFNA(INDEX(Strength!$V$10:$V$59,MATCH(A34,Strength!$A$10:$A$59,0)),"n.a."))</f>
        <v/>
      </c>
      <c r="R34" s="93" t="str">
        <f t="array" ref="R34">IF(A34="","",IFNA(INDEX(Valuation!$S$15:$S$64,MATCH(A34,Valuation!$A$15:$A$64,0)),"n.a."))</f>
        <v/>
      </c>
      <c r="S34" s="93" t="str">
        <f t="array" ref="S34">IF(A34="","",IFNA(INDEX(Growth!$L$15:$L$64,MATCH(A34,Growth!$A$15:$A$64,0)),"n.a."))</f>
        <v/>
      </c>
      <c r="T34" s="93" t="str">
        <f t="array" ref="T34">IF(A34="","",IFNA(INDEX(Profitability!$V$15:$V$64,MATCH(A34,Profitability!$A$15:$A$64,0)),"n.a."))</f>
        <v/>
      </c>
      <c r="U34" s="93" t="str">
        <f t="array" ref="U34">IF(A34="","",IF(COUNT(IFNA(INDEX(Strength!$J$10:$J$59,MATCH(A34,Strength!$A$10:$A$59,0)),"n.a."),Valuation!$B$7,IFNA(INDEX(Growth!$K$15:$K$64,MATCH(A34,Growth!$A$15:$A$64,0)),"n.a."),IFNA(INDEX(Profitability!$M$15:$M$64,MATCH(A34,Profitability!$A$15:$A$64,0)),"n.a."))&lt;&gt;4,"n.a.",MIN(1+IFNA(INDEX(Strength!$J$10:$J$59,MATCH(A34,Strength!$A$10:$A$59,0)),"n.a."),Valuation!$B$7,IFNA(INDEX(Growth!$K$15:$K$64,MATCH(A34,Growth!$A$15:$A$64,0)),"n.a."),IFNA(INDEX(Profitability!$M$15:$M$64,MATCH(A34,Profitability!$A$15:$A$64,0)),"n.a."))))</f>
        <v/>
      </c>
      <c r="V34" s="93" t="str">
        <f t="shared" si="7"/>
        <v/>
      </c>
    </row>
    <row r="35">
      <c r="A35" s="93" t="str">
        <f>IF(Companies!A26="","",Companies!A26)</f>
        <v/>
      </c>
      <c r="B35" s="93" t="str">
        <f>IF(A35="","",Companies!C26)</f>
        <v/>
      </c>
      <c r="C35" s="93" t="str">
        <f>IF(A35="","",Companies!D26)</f>
        <v/>
      </c>
      <c r="D35" s="101" t="str">
        <f>IF(A35="","",Companies!I26)</f>
        <v/>
      </c>
      <c r="E35" s="101" t="str">
        <f t="array" ref="E35">IF(A35="","",IFNA(INDEX(Strength!$U$10:$U$59,MATCH(A35,Strength!$A$10:$A$59,0)),"n.a."))</f>
        <v/>
      </c>
      <c r="F35" s="101" t="str">
        <f t="array" ref="F35">IF(A35="","",IFNA(INDEX(Valuation!$L$15:$L$64,MATCH(A35,Valuation!$A$15:$A$64,0)),"n.a."))</f>
        <v/>
      </c>
      <c r="G35" s="101" t="str">
        <f t="array" ref="G35">IF(A35="","",IFNA(INDEX(Growth!$J$15:$J$64,MATCH(A35,Growth!$A$15:$A$64,0)),"n.a."))</f>
        <v/>
      </c>
      <c r="H35" s="101" t="str">
        <f t="array" ref="H35">IF(A35="","",IFNA(INDEX(Profitability!$K$15:$K$64,MATCH(A35,Profitability!$A$15:$A$64,0)),"n.a."))</f>
        <v/>
      </c>
      <c r="I35" s="101" t="str">
        <f t="shared" si="1"/>
        <v/>
      </c>
      <c r="J35" s="101" t="str">
        <f t="shared" si="2"/>
        <v/>
      </c>
      <c r="K35" s="101" t="str">
        <f t="shared" si="3"/>
        <v/>
      </c>
      <c r="L35" s="101" t="str">
        <f t="shared" si="4"/>
        <v/>
      </c>
      <c r="M35" s="101" t="str">
        <f t="shared" si="5"/>
        <v/>
      </c>
      <c r="N35" s="101" t="str">
        <f t="shared" si="6"/>
        <v/>
      </c>
      <c r="O35" s="93" t="str">
        <f>IF(A35="","",IF($G$10&lt;&gt;"Valid","Check score weights/sensitivity",IF(Companies!R26&lt;&gt;1,"Outside selected/approved universe",IF(Rules!B15&lt;&gt;"Yes","Confirm issuer universe",IF(I35&lt;&gt;4,"Missing modules: "&amp;TEXTJOIN(", ",TRUE,IF(NOT(ISNUMBER(E35)),"strength",""),IF(NOT(ISNUMBER(F35)),"valuation",""),IF(NOT(ISNUMBER(G35)),"growth",""),IF(NOT(ISNUMBER(H35)),"profitability","")),IF(P35=1,"Ready","Check module/cohort statuses"))))))</f>
        <v/>
      </c>
      <c r="P35" s="93">
        <f t="array" ref="P35">IF(A35="",0,IFERROR(IF(AND(Companies!R26=1,D35&gt;=MAX(10,Rules!$B$22),$G$10="Valid",Rules!B15="Yes",I35=4,MIN(E35:H35)&gt;=0,MAX(E35:H35)&lt;=100,Q35="Ready",R35="Ready",S35="Ready",T35="Ready",ISNUMBER(U35),U35&gt;=MAX(3,Rules!B12),IFNA(INDEX(Network!$P$14:$P$63,MATCH(A35,Network!$A$14:$A$63,0)),0)=1,IFNA(INDEX(Network!$C$14:$C$63,MATCH(A35,Network!$A$14:$A$63,0)),"No")="Yes",ISNUMBER(IFNA(INDEX(Network!$L$14:$L$63,MATCH(A35,Network!$A$14:$A$63,0)),"n.a.")),Rules!$B$46&gt;0),1,0),0))</f>
        <v>0</v>
      </c>
      <c r="Q35" s="93" t="str">
        <f t="array" ref="Q35">IF(A35="","",IFNA(INDEX(Strength!$V$10:$V$59,MATCH(A35,Strength!$A$10:$A$59,0)),"n.a."))</f>
        <v/>
      </c>
      <c r="R35" s="93" t="str">
        <f t="array" ref="R35">IF(A35="","",IFNA(INDEX(Valuation!$S$15:$S$64,MATCH(A35,Valuation!$A$15:$A$64,0)),"n.a."))</f>
        <v/>
      </c>
      <c r="S35" s="93" t="str">
        <f t="array" ref="S35">IF(A35="","",IFNA(INDEX(Growth!$L$15:$L$64,MATCH(A35,Growth!$A$15:$A$64,0)),"n.a."))</f>
        <v/>
      </c>
      <c r="T35" s="93" t="str">
        <f t="array" ref="T35">IF(A35="","",IFNA(INDEX(Profitability!$V$15:$V$64,MATCH(A35,Profitability!$A$15:$A$64,0)),"n.a."))</f>
        <v/>
      </c>
      <c r="U35" s="93" t="str">
        <f t="array" ref="U35">IF(A35="","",IF(COUNT(IFNA(INDEX(Strength!$J$10:$J$59,MATCH(A35,Strength!$A$10:$A$59,0)),"n.a."),Valuation!$B$7,IFNA(INDEX(Growth!$K$15:$K$64,MATCH(A35,Growth!$A$15:$A$64,0)),"n.a."),IFNA(INDEX(Profitability!$M$15:$M$64,MATCH(A35,Profitability!$A$15:$A$64,0)),"n.a."))&lt;&gt;4,"n.a.",MIN(1+IFNA(INDEX(Strength!$J$10:$J$59,MATCH(A35,Strength!$A$10:$A$59,0)),"n.a."),Valuation!$B$7,IFNA(INDEX(Growth!$K$15:$K$64,MATCH(A35,Growth!$A$15:$A$64,0)),"n.a."),IFNA(INDEX(Profitability!$M$15:$M$64,MATCH(A35,Profitability!$A$15:$A$64,0)),"n.a."))))</f>
        <v/>
      </c>
      <c r="V35" s="93" t="str">
        <f t="shared" si="7"/>
        <v/>
      </c>
    </row>
    <row r="36">
      <c r="A36" s="93" t="str">
        <f>IF(Companies!A27="","",Companies!A27)</f>
        <v/>
      </c>
      <c r="B36" s="93" t="str">
        <f>IF(A36="","",Companies!C27)</f>
        <v/>
      </c>
      <c r="C36" s="93" t="str">
        <f>IF(A36="","",Companies!D27)</f>
        <v/>
      </c>
      <c r="D36" s="101" t="str">
        <f>IF(A36="","",Companies!I27)</f>
        <v/>
      </c>
      <c r="E36" s="101" t="str">
        <f t="array" ref="E36">IF(A36="","",IFNA(INDEX(Strength!$U$10:$U$59,MATCH(A36,Strength!$A$10:$A$59,0)),"n.a."))</f>
        <v/>
      </c>
      <c r="F36" s="101" t="str">
        <f t="array" ref="F36">IF(A36="","",IFNA(INDEX(Valuation!$L$15:$L$64,MATCH(A36,Valuation!$A$15:$A$64,0)),"n.a."))</f>
        <v/>
      </c>
      <c r="G36" s="101" t="str">
        <f t="array" ref="G36">IF(A36="","",IFNA(INDEX(Growth!$J$15:$J$64,MATCH(A36,Growth!$A$15:$A$64,0)),"n.a."))</f>
        <v/>
      </c>
      <c r="H36" s="101" t="str">
        <f t="array" ref="H36">IF(A36="","",IFNA(INDEX(Profitability!$K$15:$K$64,MATCH(A36,Profitability!$A$15:$A$64,0)),"n.a."))</f>
        <v/>
      </c>
      <c r="I36" s="101" t="str">
        <f t="shared" si="1"/>
        <v/>
      </c>
      <c r="J36" s="101" t="str">
        <f t="shared" si="2"/>
        <v/>
      </c>
      <c r="K36" s="101" t="str">
        <f t="shared" si="3"/>
        <v/>
      </c>
      <c r="L36" s="101" t="str">
        <f t="shared" si="4"/>
        <v/>
      </c>
      <c r="M36" s="101" t="str">
        <f t="shared" si="5"/>
        <v/>
      </c>
      <c r="N36" s="101" t="str">
        <f t="shared" si="6"/>
        <v/>
      </c>
      <c r="O36" s="93" t="str">
        <f>IF(A36="","",IF($G$10&lt;&gt;"Valid","Check score weights/sensitivity",IF(Companies!R27&lt;&gt;1,"Outside selected/approved universe",IF(Rules!B15&lt;&gt;"Yes","Confirm issuer universe",IF(I36&lt;&gt;4,"Missing modules: "&amp;TEXTJOIN(", ",TRUE,IF(NOT(ISNUMBER(E36)),"strength",""),IF(NOT(ISNUMBER(F36)),"valuation",""),IF(NOT(ISNUMBER(G36)),"growth",""),IF(NOT(ISNUMBER(H36)),"profitability","")),IF(P36=1,"Ready","Check module/cohort statuses"))))))</f>
        <v/>
      </c>
      <c r="P36" s="93">
        <f t="array" ref="P36">IF(A36="",0,IFERROR(IF(AND(Companies!R27=1,D36&gt;=MAX(10,Rules!$B$22),$G$10="Valid",Rules!B15="Yes",I36=4,MIN(E36:H36)&gt;=0,MAX(E36:H36)&lt;=100,Q36="Ready",R36="Ready",S36="Ready",T36="Ready",ISNUMBER(U36),U36&gt;=MAX(3,Rules!B12),IFNA(INDEX(Network!$P$14:$P$63,MATCH(A36,Network!$A$14:$A$63,0)),0)=1,IFNA(INDEX(Network!$C$14:$C$63,MATCH(A36,Network!$A$14:$A$63,0)),"No")="Yes",ISNUMBER(IFNA(INDEX(Network!$L$14:$L$63,MATCH(A36,Network!$A$14:$A$63,0)),"n.a.")),Rules!$B$46&gt;0),1,0),0))</f>
        <v>0</v>
      </c>
      <c r="Q36" s="93" t="str">
        <f t="array" ref="Q36">IF(A36="","",IFNA(INDEX(Strength!$V$10:$V$59,MATCH(A36,Strength!$A$10:$A$59,0)),"n.a."))</f>
        <v/>
      </c>
      <c r="R36" s="93" t="str">
        <f t="array" ref="R36">IF(A36="","",IFNA(INDEX(Valuation!$S$15:$S$64,MATCH(A36,Valuation!$A$15:$A$64,0)),"n.a."))</f>
        <v/>
      </c>
      <c r="S36" s="93" t="str">
        <f t="array" ref="S36">IF(A36="","",IFNA(INDEX(Growth!$L$15:$L$64,MATCH(A36,Growth!$A$15:$A$64,0)),"n.a."))</f>
        <v/>
      </c>
      <c r="T36" s="93" t="str">
        <f t="array" ref="T36">IF(A36="","",IFNA(INDEX(Profitability!$V$15:$V$64,MATCH(A36,Profitability!$A$15:$A$64,0)),"n.a."))</f>
        <v/>
      </c>
      <c r="U36" s="93" t="str">
        <f t="array" ref="U36">IF(A36="","",IF(COUNT(IFNA(INDEX(Strength!$J$10:$J$59,MATCH(A36,Strength!$A$10:$A$59,0)),"n.a."),Valuation!$B$7,IFNA(INDEX(Growth!$K$15:$K$64,MATCH(A36,Growth!$A$15:$A$64,0)),"n.a."),IFNA(INDEX(Profitability!$M$15:$M$64,MATCH(A36,Profitability!$A$15:$A$64,0)),"n.a."))&lt;&gt;4,"n.a.",MIN(1+IFNA(INDEX(Strength!$J$10:$J$59,MATCH(A36,Strength!$A$10:$A$59,0)),"n.a."),Valuation!$B$7,IFNA(INDEX(Growth!$K$15:$K$64,MATCH(A36,Growth!$A$15:$A$64,0)),"n.a."),IFNA(INDEX(Profitability!$M$15:$M$64,MATCH(A36,Profitability!$A$15:$A$64,0)),"n.a."))))</f>
        <v/>
      </c>
      <c r="V36" s="93" t="str">
        <f t="shared" si="7"/>
        <v/>
      </c>
    </row>
    <row r="37">
      <c r="A37" s="93" t="str">
        <f>IF(Companies!A28="","",Companies!A28)</f>
        <v/>
      </c>
      <c r="B37" s="93" t="str">
        <f>IF(A37="","",Companies!C28)</f>
        <v/>
      </c>
      <c r="C37" s="93" t="str">
        <f>IF(A37="","",Companies!D28)</f>
        <v/>
      </c>
      <c r="D37" s="101" t="str">
        <f>IF(A37="","",Companies!I28)</f>
        <v/>
      </c>
      <c r="E37" s="101" t="str">
        <f t="array" ref="E37">IF(A37="","",IFNA(INDEX(Strength!$U$10:$U$59,MATCH(A37,Strength!$A$10:$A$59,0)),"n.a."))</f>
        <v/>
      </c>
      <c r="F37" s="101" t="str">
        <f t="array" ref="F37">IF(A37="","",IFNA(INDEX(Valuation!$L$15:$L$64,MATCH(A37,Valuation!$A$15:$A$64,0)),"n.a."))</f>
        <v/>
      </c>
      <c r="G37" s="101" t="str">
        <f t="array" ref="G37">IF(A37="","",IFNA(INDEX(Growth!$J$15:$J$64,MATCH(A37,Growth!$A$15:$A$64,0)),"n.a."))</f>
        <v/>
      </c>
      <c r="H37" s="101" t="str">
        <f t="array" ref="H37">IF(A37="","",IFNA(INDEX(Profitability!$K$15:$K$64,MATCH(A37,Profitability!$A$15:$A$64,0)),"n.a."))</f>
        <v/>
      </c>
      <c r="I37" s="101" t="str">
        <f t="shared" si="1"/>
        <v/>
      </c>
      <c r="J37" s="101" t="str">
        <f t="shared" si="2"/>
        <v/>
      </c>
      <c r="K37" s="101" t="str">
        <f t="shared" si="3"/>
        <v/>
      </c>
      <c r="L37" s="101" t="str">
        <f t="shared" si="4"/>
        <v/>
      </c>
      <c r="M37" s="101" t="str">
        <f t="shared" si="5"/>
        <v/>
      </c>
      <c r="N37" s="101" t="str">
        <f t="shared" si="6"/>
        <v/>
      </c>
      <c r="O37" s="93" t="str">
        <f>IF(A37="","",IF($G$10&lt;&gt;"Valid","Check score weights/sensitivity",IF(Companies!R28&lt;&gt;1,"Outside selected/approved universe",IF(Rules!B15&lt;&gt;"Yes","Confirm issuer universe",IF(I37&lt;&gt;4,"Missing modules: "&amp;TEXTJOIN(", ",TRUE,IF(NOT(ISNUMBER(E37)),"strength",""),IF(NOT(ISNUMBER(F37)),"valuation",""),IF(NOT(ISNUMBER(G37)),"growth",""),IF(NOT(ISNUMBER(H37)),"profitability","")),IF(P37=1,"Ready","Check module/cohort statuses"))))))</f>
        <v/>
      </c>
      <c r="P37" s="93">
        <f t="array" ref="P37">IF(A37="",0,IFERROR(IF(AND(Companies!R28=1,D37&gt;=MAX(10,Rules!$B$22),$G$10="Valid",Rules!B15="Yes",I37=4,MIN(E37:H37)&gt;=0,MAX(E37:H37)&lt;=100,Q37="Ready",R37="Ready",S37="Ready",T37="Ready",ISNUMBER(U37),U37&gt;=MAX(3,Rules!B12),IFNA(INDEX(Network!$P$14:$P$63,MATCH(A37,Network!$A$14:$A$63,0)),0)=1,IFNA(INDEX(Network!$C$14:$C$63,MATCH(A37,Network!$A$14:$A$63,0)),"No")="Yes",ISNUMBER(IFNA(INDEX(Network!$L$14:$L$63,MATCH(A37,Network!$A$14:$A$63,0)),"n.a.")),Rules!$B$46&gt;0),1,0),0))</f>
        <v>0</v>
      </c>
      <c r="Q37" s="93" t="str">
        <f t="array" ref="Q37">IF(A37="","",IFNA(INDEX(Strength!$V$10:$V$59,MATCH(A37,Strength!$A$10:$A$59,0)),"n.a."))</f>
        <v/>
      </c>
      <c r="R37" s="93" t="str">
        <f t="array" ref="R37">IF(A37="","",IFNA(INDEX(Valuation!$S$15:$S$64,MATCH(A37,Valuation!$A$15:$A$64,0)),"n.a."))</f>
        <v/>
      </c>
      <c r="S37" s="93" t="str">
        <f t="array" ref="S37">IF(A37="","",IFNA(INDEX(Growth!$L$15:$L$64,MATCH(A37,Growth!$A$15:$A$64,0)),"n.a."))</f>
        <v/>
      </c>
      <c r="T37" s="93" t="str">
        <f t="array" ref="T37">IF(A37="","",IFNA(INDEX(Profitability!$V$15:$V$64,MATCH(A37,Profitability!$A$15:$A$64,0)),"n.a."))</f>
        <v/>
      </c>
      <c r="U37" s="93" t="str">
        <f t="array" ref="U37">IF(A37="","",IF(COUNT(IFNA(INDEX(Strength!$J$10:$J$59,MATCH(A37,Strength!$A$10:$A$59,0)),"n.a."),Valuation!$B$7,IFNA(INDEX(Growth!$K$15:$K$64,MATCH(A37,Growth!$A$15:$A$64,0)),"n.a."),IFNA(INDEX(Profitability!$M$15:$M$64,MATCH(A37,Profitability!$A$15:$A$64,0)),"n.a."))&lt;&gt;4,"n.a.",MIN(1+IFNA(INDEX(Strength!$J$10:$J$59,MATCH(A37,Strength!$A$10:$A$59,0)),"n.a."),Valuation!$B$7,IFNA(INDEX(Growth!$K$15:$K$64,MATCH(A37,Growth!$A$15:$A$64,0)),"n.a."),IFNA(INDEX(Profitability!$M$15:$M$64,MATCH(A37,Profitability!$A$15:$A$64,0)),"n.a."))))</f>
        <v/>
      </c>
      <c r="V37" s="93" t="str">
        <f t="shared" si="7"/>
        <v/>
      </c>
    </row>
    <row r="38">
      <c r="A38" s="93" t="str">
        <f>IF(Companies!A29="","",Companies!A29)</f>
        <v/>
      </c>
      <c r="B38" s="93" t="str">
        <f>IF(A38="","",Companies!C29)</f>
        <v/>
      </c>
      <c r="C38" s="93" t="str">
        <f>IF(A38="","",Companies!D29)</f>
        <v/>
      </c>
      <c r="D38" s="101" t="str">
        <f>IF(A38="","",Companies!I29)</f>
        <v/>
      </c>
      <c r="E38" s="101" t="str">
        <f t="array" ref="E38">IF(A38="","",IFNA(INDEX(Strength!$U$10:$U$59,MATCH(A38,Strength!$A$10:$A$59,0)),"n.a."))</f>
        <v/>
      </c>
      <c r="F38" s="101" t="str">
        <f t="array" ref="F38">IF(A38="","",IFNA(INDEX(Valuation!$L$15:$L$64,MATCH(A38,Valuation!$A$15:$A$64,0)),"n.a."))</f>
        <v/>
      </c>
      <c r="G38" s="101" t="str">
        <f t="array" ref="G38">IF(A38="","",IFNA(INDEX(Growth!$J$15:$J$64,MATCH(A38,Growth!$A$15:$A$64,0)),"n.a."))</f>
        <v/>
      </c>
      <c r="H38" s="101" t="str">
        <f t="array" ref="H38">IF(A38="","",IFNA(INDEX(Profitability!$K$15:$K$64,MATCH(A38,Profitability!$A$15:$A$64,0)),"n.a."))</f>
        <v/>
      </c>
      <c r="I38" s="101" t="str">
        <f t="shared" si="1"/>
        <v/>
      </c>
      <c r="J38" s="101" t="str">
        <f t="shared" si="2"/>
        <v/>
      </c>
      <c r="K38" s="101" t="str">
        <f t="shared" si="3"/>
        <v/>
      </c>
      <c r="L38" s="101" t="str">
        <f t="shared" si="4"/>
        <v/>
      </c>
      <c r="M38" s="101" t="str">
        <f t="shared" si="5"/>
        <v/>
      </c>
      <c r="N38" s="101" t="str">
        <f t="shared" si="6"/>
        <v/>
      </c>
      <c r="O38" s="93" t="str">
        <f>IF(A38="","",IF($G$10&lt;&gt;"Valid","Check score weights/sensitivity",IF(Companies!R29&lt;&gt;1,"Outside selected/approved universe",IF(Rules!B15&lt;&gt;"Yes","Confirm issuer universe",IF(I38&lt;&gt;4,"Missing modules: "&amp;TEXTJOIN(", ",TRUE,IF(NOT(ISNUMBER(E38)),"strength",""),IF(NOT(ISNUMBER(F38)),"valuation",""),IF(NOT(ISNUMBER(G38)),"growth",""),IF(NOT(ISNUMBER(H38)),"profitability","")),IF(P38=1,"Ready","Check module/cohort statuses"))))))</f>
        <v/>
      </c>
      <c r="P38" s="93">
        <f t="array" ref="P38">IF(A38="",0,IFERROR(IF(AND(Companies!R29=1,D38&gt;=MAX(10,Rules!$B$22),$G$10="Valid",Rules!B15="Yes",I38=4,MIN(E38:H38)&gt;=0,MAX(E38:H38)&lt;=100,Q38="Ready",R38="Ready",S38="Ready",T38="Ready",ISNUMBER(U38),U38&gt;=MAX(3,Rules!B12),IFNA(INDEX(Network!$P$14:$P$63,MATCH(A38,Network!$A$14:$A$63,0)),0)=1,IFNA(INDEX(Network!$C$14:$C$63,MATCH(A38,Network!$A$14:$A$63,0)),"No")="Yes",ISNUMBER(IFNA(INDEX(Network!$L$14:$L$63,MATCH(A38,Network!$A$14:$A$63,0)),"n.a.")),Rules!$B$46&gt;0),1,0),0))</f>
        <v>0</v>
      </c>
      <c r="Q38" s="93" t="str">
        <f t="array" ref="Q38">IF(A38="","",IFNA(INDEX(Strength!$V$10:$V$59,MATCH(A38,Strength!$A$10:$A$59,0)),"n.a."))</f>
        <v/>
      </c>
      <c r="R38" s="93" t="str">
        <f t="array" ref="R38">IF(A38="","",IFNA(INDEX(Valuation!$S$15:$S$64,MATCH(A38,Valuation!$A$15:$A$64,0)),"n.a."))</f>
        <v/>
      </c>
      <c r="S38" s="93" t="str">
        <f t="array" ref="S38">IF(A38="","",IFNA(INDEX(Growth!$L$15:$L$64,MATCH(A38,Growth!$A$15:$A$64,0)),"n.a."))</f>
        <v/>
      </c>
      <c r="T38" s="93" t="str">
        <f t="array" ref="T38">IF(A38="","",IFNA(INDEX(Profitability!$V$15:$V$64,MATCH(A38,Profitability!$A$15:$A$64,0)),"n.a."))</f>
        <v/>
      </c>
      <c r="U38" s="93" t="str">
        <f t="array" ref="U38">IF(A38="","",IF(COUNT(IFNA(INDEX(Strength!$J$10:$J$59,MATCH(A38,Strength!$A$10:$A$59,0)),"n.a."),Valuation!$B$7,IFNA(INDEX(Growth!$K$15:$K$64,MATCH(A38,Growth!$A$15:$A$64,0)),"n.a."),IFNA(INDEX(Profitability!$M$15:$M$64,MATCH(A38,Profitability!$A$15:$A$64,0)),"n.a."))&lt;&gt;4,"n.a.",MIN(1+IFNA(INDEX(Strength!$J$10:$J$59,MATCH(A38,Strength!$A$10:$A$59,0)),"n.a."),Valuation!$B$7,IFNA(INDEX(Growth!$K$15:$K$64,MATCH(A38,Growth!$A$15:$A$64,0)),"n.a."),IFNA(INDEX(Profitability!$M$15:$M$64,MATCH(A38,Profitability!$A$15:$A$64,0)),"n.a."))))</f>
        <v/>
      </c>
      <c r="V38" s="93" t="str">
        <f t="shared" si="7"/>
        <v/>
      </c>
    </row>
    <row r="39">
      <c r="A39" s="93" t="str">
        <f>IF(Companies!A30="","",Companies!A30)</f>
        <v/>
      </c>
      <c r="B39" s="93" t="str">
        <f>IF(A39="","",Companies!C30)</f>
        <v/>
      </c>
      <c r="C39" s="93" t="str">
        <f>IF(A39="","",Companies!D30)</f>
        <v/>
      </c>
      <c r="D39" s="101" t="str">
        <f>IF(A39="","",Companies!I30)</f>
        <v/>
      </c>
      <c r="E39" s="101" t="str">
        <f t="array" ref="E39">IF(A39="","",IFNA(INDEX(Strength!$U$10:$U$59,MATCH(A39,Strength!$A$10:$A$59,0)),"n.a."))</f>
        <v/>
      </c>
      <c r="F39" s="101" t="str">
        <f t="array" ref="F39">IF(A39="","",IFNA(INDEX(Valuation!$L$15:$L$64,MATCH(A39,Valuation!$A$15:$A$64,0)),"n.a."))</f>
        <v/>
      </c>
      <c r="G39" s="101" t="str">
        <f t="array" ref="G39">IF(A39="","",IFNA(INDEX(Growth!$J$15:$J$64,MATCH(A39,Growth!$A$15:$A$64,0)),"n.a."))</f>
        <v/>
      </c>
      <c r="H39" s="101" t="str">
        <f t="array" ref="H39">IF(A39="","",IFNA(INDEX(Profitability!$K$15:$K$64,MATCH(A39,Profitability!$A$15:$A$64,0)),"n.a."))</f>
        <v/>
      </c>
      <c r="I39" s="101" t="str">
        <f t="shared" si="1"/>
        <v/>
      </c>
      <c r="J39" s="101" t="str">
        <f t="shared" si="2"/>
        <v/>
      </c>
      <c r="K39" s="101" t="str">
        <f t="shared" si="3"/>
        <v/>
      </c>
      <c r="L39" s="101" t="str">
        <f t="shared" si="4"/>
        <v/>
      </c>
      <c r="M39" s="101" t="str">
        <f t="shared" si="5"/>
        <v/>
      </c>
      <c r="N39" s="101" t="str">
        <f t="shared" si="6"/>
        <v/>
      </c>
      <c r="O39" s="93" t="str">
        <f>IF(A39="","",IF($G$10&lt;&gt;"Valid","Check score weights/sensitivity",IF(Companies!R30&lt;&gt;1,"Outside selected/approved universe",IF(Rules!B15&lt;&gt;"Yes","Confirm issuer universe",IF(I39&lt;&gt;4,"Missing modules: "&amp;TEXTJOIN(", ",TRUE,IF(NOT(ISNUMBER(E39)),"strength",""),IF(NOT(ISNUMBER(F39)),"valuation",""),IF(NOT(ISNUMBER(G39)),"growth",""),IF(NOT(ISNUMBER(H39)),"profitability","")),IF(P39=1,"Ready","Check module/cohort statuses"))))))</f>
        <v/>
      </c>
      <c r="P39" s="93">
        <f t="array" ref="P39">IF(A39="",0,IFERROR(IF(AND(Companies!R30=1,D39&gt;=MAX(10,Rules!$B$22),$G$10="Valid",Rules!B15="Yes",I39=4,MIN(E39:H39)&gt;=0,MAX(E39:H39)&lt;=100,Q39="Ready",R39="Ready",S39="Ready",T39="Ready",ISNUMBER(U39),U39&gt;=MAX(3,Rules!B12),IFNA(INDEX(Network!$P$14:$P$63,MATCH(A39,Network!$A$14:$A$63,0)),0)=1,IFNA(INDEX(Network!$C$14:$C$63,MATCH(A39,Network!$A$14:$A$63,0)),"No")="Yes",ISNUMBER(IFNA(INDEX(Network!$L$14:$L$63,MATCH(A39,Network!$A$14:$A$63,0)),"n.a.")),Rules!$B$46&gt;0),1,0),0))</f>
        <v>0</v>
      </c>
      <c r="Q39" s="93" t="str">
        <f t="array" ref="Q39">IF(A39="","",IFNA(INDEX(Strength!$V$10:$V$59,MATCH(A39,Strength!$A$10:$A$59,0)),"n.a."))</f>
        <v/>
      </c>
      <c r="R39" s="93" t="str">
        <f t="array" ref="R39">IF(A39="","",IFNA(INDEX(Valuation!$S$15:$S$64,MATCH(A39,Valuation!$A$15:$A$64,0)),"n.a."))</f>
        <v/>
      </c>
      <c r="S39" s="93" t="str">
        <f t="array" ref="S39">IF(A39="","",IFNA(INDEX(Growth!$L$15:$L$64,MATCH(A39,Growth!$A$15:$A$64,0)),"n.a."))</f>
        <v/>
      </c>
      <c r="T39" s="93" t="str">
        <f t="array" ref="T39">IF(A39="","",IFNA(INDEX(Profitability!$V$15:$V$64,MATCH(A39,Profitability!$A$15:$A$64,0)),"n.a."))</f>
        <v/>
      </c>
      <c r="U39" s="93" t="str">
        <f t="array" ref="U39">IF(A39="","",IF(COUNT(IFNA(INDEX(Strength!$J$10:$J$59,MATCH(A39,Strength!$A$10:$A$59,0)),"n.a."),Valuation!$B$7,IFNA(INDEX(Growth!$K$15:$K$64,MATCH(A39,Growth!$A$15:$A$64,0)),"n.a."),IFNA(INDEX(Profitability!$M$15:$M$64,MATCH(A39,Profitability!$A$15:$A$64,0)),"n.a."))&lt;&gt;4,"n.a.",MIN(1+IFNA(INDEX(Strength!$J$10:$J$59,MATCH(A39,Strength!$A$10:$A$59,0)),"n.a."),Valuation!$B$7,IFNA(INDEX(Growth!$K$15:$K$64,MATCH(A39,Growth!$A$15:$A$64,0)),"n.a."),IFNA(INDEX(Profitability!$M$15:$M$64,MATCH(A39,Profitability!$A$15:$A$64,0)),"n.a."))))</f>
        <v/>
      </c>
      <c r="V39" s="93" t="str">
        <f t="shared" si="7"/>
        <v/>
      </c>
    </row>
    <row r="40">
      <c r="A40" s="93" t="str">
        <f>IF(Companies!A31="","",Companies!A31)</f>
        <v/>
      </c>
      <c r="B40" s="93" t="str">
        <f>IF(A40="","",Companies!C31)</f>
        <v/>
      </c>
      <c r="C40" s="93" t="str">
        <f>IF(A40="","",Companies!D31)</f>
        <v/>
      </c>
      <c r="D40" s="101" t="str">
        <f>IF(A40="","",Companies!I31)</f>
        <v/>
      </c>
      <c r="E40" s="101" t="str">
        <f t="array" ref="E40">IF(A40="","",IFNA(INDEX(Strength!$U$10:$U$59,MATCH(A40,Strength!$A$10:$A$59,0)),"n.a."))</f>
        <v/>
      </c>
      <c r="F40" s="101" t="str">
        <f t="array" ref="F40">IF(A40="","",IFNA(INDEX(Valuation!$L$15:$L$64,MATCH(A40,Valuation!$A$15:$A$64,0)),"n.a."))</f>
        <v/>
      </c>
      <c r="G40" s="101" t="str">
        <f t="array" ref="G40">IF(A40="","",IFNA(INDEX(Growth!$J$15:$J$64,MATCH(A40,Growth!$A$15:$A$64,0)),"n.a."))</f>
        <v/>
      </c>
      <c r="H40" s="101" t="str">
        <f t="array" ref="H40">IF(A40="","",IFNA(INDEX(Profitability!$K$15:$K$64,MATCH(A40,Profitability!$A$15:$A$64,0)),"n.a."))</f>
        <v/>
      </c>
      <c r="I40" s="101" t="str">
        <f t="shared" si="1"/>
        <v/>
      </c>
      <c r="J40" s="101" t="str">
        <f t="shared" si="2"/>
        <v/>
      </c>
      <c r="K40" s="101" t="str">
        <f t="shared" si="3"/>
        <v/>
      </c>
      <c r="L40" s="101" t="str">
        <f t="shared" si="4"/>
        <v/>
      </c>
      <c r="M40" s="101" t="str">
        <f t="shared" si="5"/>
        <v/>
      </c>
      <c r="N40" s="101" t="str">
        <f t="shared" si="6"/>
        <v/>
      </c>
      <c r="O40" s="93" t="str">
        <f>IF(A40="","",IF($G$10&lt;&gt;"Valid","Check score weights/sensitivity",IF(Companies!R31&lt;&gt;1,"Outside selected/approved universe",IF(Rules!B15&lt;&gt;"Yes","Confirm issuer universe",IF(I40&lt;&gt;4,"Missing modules: "&amp;TEXTJOIN(", ",TRUE,IF(NOT(ISNUMBER(E40)),"strength",""),IF(NOT(ISNUMBER(F40)),"valuation",""),IF(NOT(ISNUMBER(G40)),"growth",""),IF(NOT(ISNUMBER(H40)),"profitability","")),IF(P40=1,"Ready","Check module/cohort statuses"))))))</f>
        <v/>
      </c>
      <c r="P40" s="93">
        <f t="array" ref="P40">IF(A40="",0,IFERROR(IF(AND(Companies!R31=1,D40&gt;=MAX(10,Rules!$B$22),$G$10="Valid",Rules!B15="Yes",I40=4,MIN(E40:H40)&gt;=0,MAX(E40:H40)&lt;=100,Q40="Ready",R40="Ready",S40="Ready",T40="Ready",ISNUMBER(U40),U40&gt;=MAX(3,Rules!B12),IFNA(INDEX(Network!$P$14:$P$63,MATCH(A40,Network!$A$14:$A$63,0)),0)=1,IFNA(INDEX(Network!$C$14:$C$63,MATCH(A40,Network!$A$14:$A$63,0)),"No")="Yes",ISNUMBER(IFNA(INDEX(Network!$L$14:$L$63,MATCH(A40,Network!$A$14:$A$63,0)),"n.a.")),Rules!$B$46&gt;0),1,0),0))</f>
        <v>0</v>
      </c>
      <c r="Q40" s="93" t="str">
        <f t="array" ref="Q40">IF(A40="","",IFNA(INDEX(Strength!$V$10:$V$59,MATCH(A40,Strength!$A$10:$A$59,0)),"n.a."))</f>
        <v/>
      </c>
      <c r="R40" s="93" t="str">
        <f t="array" ref="R40">IF(A40="","",IFNA(INDEX(Valuation!$S$15:$S$64,MATCH(A40,Valuation!$A$15:$A$64,0)),"n.a."))</f>
        <v/>
      </c>
      <c r="S40" s="93" t="str">
        <f t="array" ref="S40">IF(A40="","",IFNA(INDEX(Growth!$L$15:$L$64,MATCH(A40,Growth!$A$15:$A$64,0)),"n.a."))</f>
        <v/>
      </c>
      <c r="T40" s="93" t="str">
        <f t="array" ref="T40">IF(A40="","",IFNA(INDEX(Profitability!$V$15:$V$64,MATCH(A40,Profitability!$A$15:$A$64,0)),"n.a."))</f>
        <v/>
      </c>
      <c r="U40" s="93" t="str">
        <f t="array" ref="U40">IF(A40="","",IF(COUNT(IFNA(INDEX(Strength!$J$10:$J$59,MATCH(A40,Strength!$A$10:$A$59,0)),"n.a."),Valuation!$B$7,IFNA(INDEX(Growth!$K$15:$K$64,MATCH(A40,Growth!$A$15:$A$64,0)),"n.a."),IFNA(INDEX(Profitability!$M$15:$M$64,MATCH(A40,Profitability!$A$15:$A$64,0)),"n.a."))&lt;&gt;4,"n.a.",MIN(1+IFNA(INDEX(Strength!$J$10:$J$59,MATCH(A40,Strength!$A$10:$A$59,0)),"n.a."),Valuation!$B$7,IFNA(INDEX(Growth!$K$15:$K$64,MATCH(A40,Growth!$A$15:$A$64,0)),"n.a."),IFNA(INDEX(Profitability!$M$15:$M$64,MATCH(A40,Profitability!$A$15:$A$64,0)),"n.a."))))</f>
        <v/>
      </c>
      <c r="V40" s="93" t="str">
        <f t="shared" si="7"/>
        <v/>
      </c>
    </row>
    <row r="41">
      <c r="A41" s="93" t="str">
        <f>IF(Companies!A32="","",Companies!A32)</f>
        <v/>
      </c>
      <c r="B41" s="93" t="str">
        <f>IF(A41="","",Companies!C32)</f>
        <v/>
      </c>
      <c r="C41" s="93" t="str">
        <f>IF(A41="","",Companies!D32)</f>
        <v/>
      </c>
      <c r="D41" s="101" t="str">
        <f>IF(A41="","",Companies!I32)</f>
        <v/>
      </c>
      <c r="E41" s="101" t="str">
        <f t="array" ref="E41">IF(A41="","",IFNA(INDEX(Strength!$U$10:$U$59,MATCH(A41,Strength!$A$10:$A$59,0)),"n.a."))</f>
        <v/>
      </c>
      <c r="F41" s="101" t="str">
        <f t="array" ref="F41">IF(A41="","",IFNA(INDEX(Valuation!$L$15:$L$64,MATCH(A41,Valuation!$A$15:$A$64,0)),"n.a."))</f>
        <v/>
      </c>
      <c r="G41" s="101" t="str">
        <f t="array" ref="G41">IF(A41="","",IFNA(INDEX(Growth!$J$15:$J$64,MATCH(A41,Growth!$A$15:$A$64,0)),"n.a."))</f>
        <v/>
      </c>
      <c r="H41" s="101" t="str">
        <f t="array" ref="H41">IF(A41="","",IFNA(INDEX(Profitability!$K$15:$K$64,MATCH(A41,Profitability!$A$15:$A$64,0)),"n.a."))</f>
        <v/>
      </c>
      <c r="I41" s="101" t="str">
        <f t="shared" si="1"/>
        <v/>
      </c>
      <c r="J41" s="101" t="str">
        <f t="shared" si="2"/>
        <v/>
      </c>
      <c r="K41" s="101" t="str">
        <f t="shared" si="3"/>
        <v/>
      </c>
      <c r="L41" s="101" t="str">
        <f t="shared" si="4"/>
        <v/>
      </c>
      <c r="M41" s="101" t="str">
        <f t="shared" si="5"/>
        <v/>
      </c>
      <c r="N41" s="101" t="str">
        <f t="shared" si="6"/>
        <v/>
      </c>
      <c r="O41" s="93" t="str">
        <f>IF(A41="","",IF($G$10&lt;&gt;"Valid","Check score weights/sensitivity",IF(Companies!R32&lt;&gt;1,"Outside selected/approved universe",IF(Rules!B15&lt;&gt;"Yes","Confirm issuer universe",IF(I41&lt;&gt;4,"Missing modules: "&amp;TEXTJOIN(", ",TRUE,IF(NOT(ISNUMBER(E41)),"strength",""),IF(NOT(ISNUMBER(F41)),"valuation",""),IF(NOT(ISNUMBER(G41)),"growth",""),IF(NOT(ISNUMBER(H41)),"profitability","")),IF(P41=1,"Ready","Check module/cohort statuses"))))))</f>
        <v/>
      </c>
      <c r="P41" s="93">
        <f t="array" ref="P41">IF(A41="",0,IFERROR(IF(AND(Companies!R32=1,D41&gt;=MAX(10,Rules!$B$22),$G$10="Valid",Rules!B15="Yes",I41=4,MIN(E41:H41)&gt;=0,MAX(E41:H41)&lt;=100,Q41="Ready",R41="Ready",S41="Ready",T41="Ready",ISNUMBER(U41),U41&gt;=MAX(3,Rules!B12),IFNA(INDEX(Network!$P$14:$P$63,MATCH(A41,Network!$A$14:$A$63,0)),0)=1,IFNA(INDEX(Network!$C$14:$C$63,MATCH(A41,Network!$A$14:$A$63,0)),"No")="Yes",ISNUMBER(IFNA(INDEX(Network!$L$14:$L$63,MATCH(A41,Network!$A$14:$A$63,0)),"n.a.")),Rules!$B$46&gt;0),1,0),0))</f>
        <v>0</v>
      </c>
      <c r="Q41" s="93" t="str">
        <f t="array" ref="Q41">IF(A41="","",IFNA(INDEX(Strength!$V$10:$V$59,MATCH(A41,Strength!$A$10:$A$59,0)),"n.a."))</f>
        <v/>
      </c>
      <c r="R41" s="93" t="str">
        <f t="array" ref="R41">IF(A41="","",IFNA(INDEX(Valuation!$S$15:$S$64,MATCH(A41,Valuation!$A$15:$A$64,0)),"n.a."))</f>
        <v/>
      </c>
      <c r="S41" s="93" t="str">
        <f t="array" ref="S41">IF(A41="","",IFNA(INDEX(Growth!$L$15:$L$64,MATCH(A41,Growth!$A$15:$A$64,0)),"n.a."))</f>
        <v/>
      </c>
      <c r="T41" s="93" t="str">
        <f t="array" ref="T41">IF(A41="","",IFNA(INDEX(Profitability!$V$15:$V$64,MATCH(A41,Profitability!$A$15:$A$64,0)),"n.a."))</f>
        <v/>
      </c>
      <c r="U41" s="93" t="str">
        <f t="array" ref="U41">IF(A41="","",IF(COUNT(IFNA(INDEX(Strength!$J$10:$J$59,MATCH(A41,Strength!$A$10:$A$59,0)),"n.a."),Valuation!$B$7,IFNA(INDEX(Growth!$K$15:$K$64,MATCH(A41,Growth!$A$15:$A$64,0)),"n.a."),IFNA(INDEX(Profitability!$M$15:$M$64,MATCH(A41,Profitability!$A$15:$A$64,0)),"n.a."))&lt;&gt;4,"n.a.",MIN(1+IFNA(INDEX(Strength!$J$10:$J$59,MATCH(A41,Strength!$A$10:$A$59,0)),"n.a."),Valuation!$B$7,IFNA(INDEX(Growth!$K$15:$K$64,MATCH(A41,Growth!$A$15:$A$64,0)),"n.a."),IFNA(INDEX(Profitability!$M$15:$M$64,MATCH(A41,Profitability!$A$15:$A$64,0)),"n.a."))))</f>
        <v/>
      </c>
      <c r="V41" s="93" t="str">
        <f t="shared" si="7"/>
        <v/>
      </c>
    </row>
    <row r="42">
      <c r="A42" s="93" t="str">
        <f>IF(Companies!A33="","",Companies!A33)</f>
        <v/>
      </c>
      <c r="B42" s="93" t="str">
        <f>IF(A42="","",Companies!C33)</f>
        <v/>
      </c>
      <c r="C42" s="93" t="str">
        <f>IF(A42="","",Companies!D33)</f>
        <v/>
      </c>
      <c r="D42" s="101" t="str">
        <f>IF(A42="","",Companies!I33)</f>
        <v/>
      </c>
      <c r="E42" s="101" t="str">
        <f t="array" ref="E42">IF(A42="","",IFNA(INDEX(Strength!$U$10:$U$59,MATCH(A42,Strength!$A$10:$A$59,0)),"n.a."))</f>
        <v/>
      </c>
      <c r="F42" s="101" t="str">
        <f t="array" ref="F42">IF(A42="","",IFNA(INDEX(Valuation!$L$15:$L$64,MATCH(A42,Valuation!$A$15:$A$64,0)),"n.a."))</f>
        <v/>
      </c>
      <c r="G42" s="101" t="str">
        <f t="array" ref="G42">IF(A42="","",IFNA(INDEX(Growth!$J$15:$J$64,MATCH(A42,Growth!$A$15:$A$64,0)),"n.a."))</f>
        <v/>
      </c>
      <c r="H42" s="101" t="str">
        <f t="array" ref="H42">IF(A42="","",IFNA(INDEX(Profitability!$K$15:$K$64,MATCH(A42,Profitability!$A$15:$A$64,0)),"n.a."))</f>
        <v/>
      </c>
      <c r="I42" s="101" t="str">
        <f t="shared" si="1"/>
        <v/>
      </c>
      <c r="J42" s="101" t="str">
        <f t="shared" si="2"/>
        <v/>
      </c>
      <c r="K42" s="101" t="str">
        <f t="shared" si="3"/>
        <v/>
      </c>
      <c r="L42" s="101" t="str">
        <f t="shared" si="4"/>
        <v/>
      </c>
      <c r="M42" s="101" t="str">
        <f t="shared" si="5"/>
        <v/>
      </c>
      <c r="N42" s="101" t="str">
        <f t="shared" si="6"/>
        <v/>
      </c>
      <c r="O42" s="93" t="str">
        <f>IF(A42="","",IF($G$10&lt;&gt;"Valid","Check score weights/sensitivity",IF(Companies!R33&lt;&gt;1,"Outside selected/approved universe",IF(Rules!B15&lt;&gt;"Yes","Confirm issuer universe",IF(I42&lt;&gt;4,"Missing modules: "&amp;TEXTJOIN(", ",TRUE,IF(NOT(ISNUMBER(E42)),"strength",""),IF(NOT(ISNUMBER(F42)),"valuation",""),IF(NOT(ISNUMBER(G42)),"growth",""),IF(NOT(ISNUMBER(H42)),"profitability","")),IF(P42=1,"Ready","Check module/cohort statuses"))))))</f>
        <v/>
      </c>
      <c r="P42" s="93">
        <f t="array" ref="P42">IF(A42="",0,IFERROR(IF(AND(Companies!R33=1,D42&gt;=MAX(10,Rules!$B$22),$G$10="Valid",Rules!B15="Yes",I42=4,MIN(E42:H42)&gt;=0,MAX(E42:H42)&lt;=100,Q42="Ready",R42="Ready",S42="Ready",T42="Ready",ISNUMBER(U42),U42&gt;=MAX(3,Rules!B12),IFNA(INDEX(Network!$P$14:$P$63,MATCH(A42,Network!$A$14:$A$63,0)),0)=1,IFNA(INDEX(Network!$C$14:$C$63,MATCH(A42,Network!$A$14:$A$63,0)),"No")="Yes",ISNUMBER(IFNA(INDEX(Network!$L$14:$L$63,MATCH(A42,Network!$A$14:$A$63,0)),"n.a.")),Rules!$B$46&gt;0),1,0),0))</f>
        <v>0</v>
      </c>
      <c r="Q42" s="93" t="str">
        <f t="array" ref="Q42">IF(A42="","",IFNA(INDEX(Strength!$V$10:$V$59,MATCH(A42,Strength!$A$10:$A$59,0)),"n.a."))</f>
        <v/>
      </c>
      <c r="R42" s="93" t="str">
        <f t="array" ref="R42">IF(A42="","",IFNA(INDEX(Valuation!$S$15:$S$64,MATCH(A42,Valuation!$A$15:$A$64,0)),"n.a."))</f>
        <v/>
      </c>
      <c r="S42" s="93" t="str">
        <f t="array" ref="S42">IF(A42="","",IFNA(INDEX(Growth!$L$15:$L$64,MATCH(A42,Growth!$A$15:$A$64,0)),"n.a."))</f>
        <v/>
      </c>
      <c r="T42" s="93" t="str">
        <f t="array" ref="T42">IF(A42="","",IFNA(INDEX(Profitability!$V$15:$V$64,MATCH(A42,Profitability!$A$15:$A$64,0)),"n.a."))</f>
        <v/>
      </c>
      <c r="U42" s="93" t="str">
        <f t="array" ref="U42">IF(A42="","",IF(COUNT(IFNA(INDEX(Strength!$J$10:$J$59,MATCH(A42,Strength!$A$10:$A$59,0)),"n.a."),Valuation!$B$7,IFNA(INDEX(Growth!$K$15:$K$64,MATCH(A42,Growth!$A$15:$A$64,0)),"n.a."),IFNA(INDEX(Profitability!$M$15:$M$64,MATCH(A42,Profitability!$A$15:$A$64,0)),"n.a."))&lt;&gt;4,"n.a.",MIN(1+IFNA(INDEX(Strength!$J$10:$J$59,MATCH(A42,Strength!$A$10:$A$59,0)),"n.a."),Valuation!$B$7,IFNA(INDEX(Growth!$K$15:$K$64,MATCH(A42,Growth!$A$15:$A$64,0)),"n.a."),IFNA(INDEX(Profitability!$M$15:$M$64,MATCH(A42,Profitability!$A$15:$A$64,0)),"n.a."))))</f>
        <v/>
      </c>
      <c r="V42" s="93" t="str">
        <f t="shared" si="7"/>
        <v/>
      </c>
    </row>
    <row r="43">
      <c r="A43" s="93" t="str">
        <f>IF(Companies!A34="","",Companies!A34)</f>
        <v/>
      </c>
      <c r="B43" s="93" t="str">
        <f>IF(A43="","",Companies!C34)</f>
        <v/>
      </c>
      <c r="C43" s="93" t="str">
        <f>IF(A43="","",Companies!D34)</f>
        <v/>
      </c>
      <c r="D43" s="101" t="str">
        <f>IF(A43="","",Companies!I34)</f>
        <v/>
      </c>
      <c r="E43" s="101" t="str">
        <f t="array" ref="E43">IF(A43="","",IFNA(INDEX(Strength!$U$10:$U$59,MATCH(A43,Strength!$A$10:$A$59,0)),"n.a."))</f>
        <v/>
      </c>
      <c r="F43" s="101" t="str">
        <f t="array" ref="F43">IF(A43="","",IFNA(INDEX(Valuation!$L$15:$L$64,MATCH(A43,Valuation!$A$15:$A$64,0)),"n.a."))</f>
        <v/>
      </c>
      <c r="G43" s="101" t="str">
        <f t="array" ref="G43">IF(A43="","",IFNA(INDEX(Growth!$J$15:$J$64,MATCH(A43,Growth!$A$15:$A$64,0)),"n.a."))</f>
        <v/>
      </c>
      <c r="H43" s="101" t="str">
        <f t="array" ref="H43">IF(A43="","",IFNA(INDEX(Profitability!$K$15:$K$64,MATCH(A43,Profitability!$A$15:$A$64,0)),"n.a."))</f>
        <v/>
      </c>
      <c r="I43" s="101" t="str">
        <f t="shared" si="1"/>
        <v/>
      </c>
      <c r="J43" s="101" t="str">
        <f t="shared" si="2"/>
        <v/>
      </c>
      <c r="K43" s="101" t="str">
        <f t="shared" si="3"/>
        <v/>
      </c>
      <c r="L43" s="101" t="str">
        <f t="shared" si="4"/>
        <v/>
      </c>
      <c r="M43" s="101" t="str">
        <f t="shared" si="5"/>
        <v/>
      </c>
      <c r="N43" s="101" t="str">
        <f t="shared" si="6"/>
        <v/>
      </c>
      <c r="O43" s="93" t="str">
        <f>IF(A43="","",IF($G$10&lt;&gt;"Valid","Check score weights/sensitivity",IF(Companies!R34&lt;&gt;1,"Outside selected/approved universe",IF(Rules!B15&lt;&gt;"Yes","Confirm issuer universe",IF(I43&lt;&gt;4,"Missing modules: "&amp;TEXTJOIN(", ",TRUE,IF(NOT(ISNUMBER(E43)),"strength",""),IF(NOT(ISNUMBER(F43)),"valuation",""),IF(NOT(ISNUMBER(G43)),"growth",""),IF(NOT(ISNUMBER(H43)),"profitability","")),IF(P43=1,"Ready","Check module/cohort statuses"))))))</f>
        <v/>
      </c>
      <c r="P43" s="93">
        <f t="array" ref="P43">IF(A43="",0,IFERROR(IF(AND(Companies!R34=1,D43&gt;=MAX(10,Rules!$B$22),$G$10="Valid",Rules!B15="Yes",I43=4,MIN(E43:H43)&gt;=0,MAX(E43:H43)&lt;=100,Q43="Ready",R43="Ready",S43="Ready",T43="Ready",ISNUMBER(U43),U43&gt;=MAX(3,Rules!B12),IFNA(INDEX(Network!$P$14:$P$63,MATCH(A43,Network!$A$14:$A$63,0)),0)=1,IFNA(INDEX(Network!$C$14:$C$63,MATCH(A43,Network!$A$14:$A$63,0)),"No")="Yes",ISNUMBER(IFNA(INDEX(Network!$L$14:$L$63,MATCH(A43,Network!$A$14:$A$63,0)),"n.a.")),Rules!$B$46&gt;0),1,0),0))</f>
        <v>0</v>
      </c>
      <c r="Q43" s="93" t="str">
        <f t="array" ref="Q43">IF(A43="","",IFNA(INDEX(Strength!$V$10:$V$59,MATCH(A43,Strength!$A$10:$A$59,0)),"n.a."))</f>
        <v/>
      </c>
      <c r="R43" s="93" t="str">
        <f t="array" ref="R43">IF(A43="","",IFNA(INDEX(Valuation!$S$15:$S$64,MATCH(A43,Valuation!$A$15:$A$64,0)),"n.a."))</f>
        <v/>
      </c>
      <c r="S43" s="93" t="str">
        <f t="array" ref="S43">IF(A43="","",IFNA(INDEX(Growth!$L$15:$L$64,MATCH(A43,Growth!$A$15:$A$64,0)),"n.a."))</f>
        <v/>
      </c>
      <c r="T43" s="93" t="str">
        <f t="array" ref="T43">IF(A43="","",IFNA(INDEX(Profitability!$V$15:$V$64,MATCH(A43,Profitability!$A$15:$A$64,0)),"n.a."))</f>
        <v/>
      </c>
      <c r="U43" s="93" t="str">
        <f t="array" ref="U43">IF(A43="","",IF(COUNT(IFNA(INDEX(Strength!$J$10:$J$59,MATCH(A43,Strength!$A$10:$A$59,0)),"n.a."),Valuation!$B$7,IFNA(INDEX(Growth!$K$15:$K$64,MATCH(A43,Growth!$A$15:$A$64,0)),"n.a."),IFNA(INDEX(Profitability!$M$15:$M$64,MATCH(A43,Profitability!$A$15:$A$64,0)),"n.a."))&lt;&gt;4,"n.a.",MIN(1+IFNA(INDEX(Strength!$J$10:$J$59,MATCH(A43,Strength!$A$10:$A$59,0)),"n.a."),Valuation!$B$7,IFNA(INDEX(Growth!$K$15:$K$64,MATCH(A43,Growth!$A$15:$A$64,0)),"n.a."),IFNA(INDEX(Profitability!$M$15:$M$64,MATCH(A43,Profitability!$A$15:$A$64,0)),"n.a."))))</f>
        <v/>
      </c>
      <c r="V43" s="93" t="str">
        <f t="shared" si="7"/>
        <v/>
      </c>
    </row>
    <row r="44">
      <c r="A44" s="93" t="str">
        <f>IF(Companies!A35="","",Companies!A35)</f>
        <v/>
      </c>
      <c r="B44" s="93" t="str">
        <f>IF(A44="","",Companies!C35)</f>
        <v/>
      </c>
      <c r="C44" s="93" t="str">
        <f>IF(A44="","",Companies!D35)</f>
        <v/>
      </c>
      <c r="D44" s="101" t="str">
        <f>IF(A44="","",Companies!I35)</f>
        <v/>
      </c>
      <c r="E44" s="101" t="str">
        <f t="array" ref="E44">IF(A44="","",IFNA(INDEX(Strength!$U$10:$U$59,MATCH(A44,Strength!$A$10:$A$59,0)),"n.a."))</f>
        <v/>
      </c>
      <c r="F44" s="101" t="str">
        <f t="array" ref="F44">IF(A44="","",IFNA(INDEX(Valuation!$L$15:$L$64,MATCH(A44,Valuation!$A$15:$A$64,0)),"n.a."))</f>
        <v/>
      </c>
      <c r="G44" s="101" t="str">
        <f t="array" ref="G44">IF(A44="","",IFNA(INDEX(Growth!$J$15:$J$64,MATCH(A44,Growth!$A$15:$A$64,0)),"n.a."))</f>
        <v/>
      </c>
      <c r="H44" s="101" t="str">
        <f t="array" ref="H44">IF(A44="","",IFNA(INDEX(Profitability!$K$15:$K$64,MATCH(A44,Profitability!$A$15:$A$64,0)),"n.a."))</f>
        <v/>
      </c>
      <c r="I44" s="101" t="str">
        <f t="shared" si="1"/>
        <v/>
      </c>
      <c r="J44" s="101" t="str">
        <f t="shared" si="2"/>
        <v/>
      </c>
      <c r="K44" s="101" t="str">
        <f t="shared" si="3"/>
        <v/>
      </c>
      <c r="L44" s="101" t="str">
        <f t="shared" si="4"/>
        <v/>
      </c>
      <c r="M44" s="101" t="str">
        <f t="shared" si="5"/>
        <v/>
      </c>
      <c r="N44" s="101" t="str">
        <f t="shared" si="6"/>
        <v/>
      </c>
      <c r="O44" s="93" t="str">
        <f>IF(A44="","",IF($G$10&lt;&gt;"Valid","Check score weights/sensitivity",IF(Companies!R35&lt;&gt;1,"Outside selected/approved universe",IF(Rules!B15&lt;&gt;"Yes","Confirm issuer universe",IF(I44&lt;&gt;4,"Missing modules: "&amp;TEXTJOIN(", ",TRUE,IF(NOT(ISNUMBER(E44)),"strength",""),IF(NOT(ISNUMBER(F44)),"valuation",""),IF(NOT(ISNUMBER(G44)),"growth",""),IF(NOT(ISNUMBER(H44)),"profitability","")),IF(P44=1,"Ready","Check module/cohort statuses"))))))</f>
        <v/>
      </c>
      <c r="P44" s="93">
        <f t="array" ref="P44">IF(A44="",0,IFERROR(IF(AND(Companies!R35=1,D44&gt;=MAX(10,Rules!$B$22),$G$10="Valid",Rules!B15="Yes",I44=4,MIN(E44:H44)&gt;=0,MAX(E44:H44)&lt;=100,Q44="Ready",R44="Ready",S44="Ready",T44="Ready",ISNUMBER(U44),U44&gt;=MAX(3,Rules!B12),IFNA(INDEX(Network!$P$14:$P$63,MATCH(A44,Network!$A$14:$A$63,0)),0)=1,IFNA(INDEX(Network!$C$14:$C$63,MATCH(A44,Network!$A$14:$A$63,0)),"No")="Yes",ISNUMBER(IFNA(INDEX(Network!$L$14:$L$63,MATCH(A44,Network!$A$14:$A$63,0)),"n.a.")),Rules!$B$46&gt;0),1,0),0))</f>
        <v>0</v>
      </c>
      <c r="Q44" s="93" t="str">
        <f t="array" ref="Q44">IF(A44="","",IFNA(INDEX(Strength!$V$10:$V$59,MATCH(A44,Strength!$A$10:$A$59,0)),"n.a."))</f>
        <v/>
      </c>
      <c r="R44" s="93" t="str">
        <f t="array" ref="R44">IF(A44="","",IFNA(INDEX(Valuation!$S$15:$S$64,MATCH(A44,Valuation!$A$15:$A$64,0)),"n.a."))</f>
        <v/>
      </c>
      <c r="S44" s="93" t="str">
        <f t="array" ref="S44">IF(A44="","",IFNA(INDEX(Growth!$L$15:$L$64,MATCH(A44,Growth!$A$15:$A$64,0)),"n.a."))</f>
        <v/>
      </c>
      <c r="T44" s="93" t="str">
        <f t="array" ref="T44">IF(A44="","",IFNA(INDEX(Profitability!$V$15:$V$64,MATCH(A44,Profitability!$A$15:$A$64,0)),"n.a."))</f>
        <v/>
      </c>
      <c r="U44" s="93" t="str">
        <f t="array" ref="U44">IF(A44="","",IF(COUNT(IFNA(INDEX(Strength!$J$10:$J$59,MATCH(A44,Strength!$A$10:$A$59,0)),"n.a."),Valuation!$B$7,IFNA(INDEX(Growth!$K$15:$K$64,MATCH(A44,Growth!$A$15:$A$64,0)),"n.a."),IFNA(INDEX(Profitability!$M$15:$M$64,MATCH(A44,Profitability!$A$15:$A$64,0)),"n.a."))&lt;&gt;4,"n.a.",MIN(1+IFNA(INDEX(Strength!$J$10:$J$59,MATCH(A44,Strength!$A$10:$A$59,0)),"n.a."),Valuation!$B$7,IFNA(INDEX(Growth!$K$15:$K$64,MATCH(A44,Growth!$A$15:$A$64,0)),"n.a."),IFNA(INDEX(Profitability!$M$15:$M$64,MATCH(A44,Profitability!$A$15:$A$64,0)),"n.a."))))</f>
        <v/>
      </c>
      <c r="V44" s="93" t="str">
        <f t="shared" si="7"/>
        <v/>
      </c>
    </row>
    <row r="45">
      <c r="A45" s="93" t="str">
        <f>IF(Companies!A36="","",Companies!A36)</f>
        <v/>
      </c>
      <c r="B45" s="93" t="str">
        <f>IF(A45="","",Companies!C36)</f>
        <v/>
      </c>
      <c r="C45" s="93" t="str">
        <f>IF(A45="","",Companies!D36)</f>
        <v/>
      </c>
      <c r="D45" s="101" t="str">
        <f>IF(A45="","",Companies!I36)</f>
        <v/>
      </c>
      <c r="E45" s="101" t="str">
        <f t="array" ref="E45">IF(A45="","",IFNA(INDEX(Strength!$U$10:$U$59,MATCH(A45,Strength!$A$10:$A$59,0)),"n.a."))</f>
        <v/>
      </c>
      <c r="F45" s="101" t="str">
        <f t="array" ref="F45">IF(A45="","",IFNA(INDEX(Valuation!$L$15:$L$64,MATCH(A45,Valuation!$A$15:$A$64,0)),"n.a."))</f>
        <v/>
      </c>
      <c r="G45" s="101" t="str">
        <f t="array" ref="G45">IF(A45="","",IFNA(INDEX(Growth!$J$15:$J$64,MATCH(A45,Growth!$A$15:$A$64,0)),"n.a."))</f>
        <v/>
      </c>
      <c r="H45" s="101" t="str">
        <f t="array" ref="H45">IF(A45="","",IFNA(INDEX(Profitability!$K$15:$K$64,MATCH(A45,Profitability!$A$15:$A$64,0)),"n.a."))</f>
        <v/>
      </c>
      <c r="I45" s="101" t="str">
        <f t="shared" si="1"/>
        <v/>
      </c>
      <c r="J45" s="101" t="str">
        <f t="shared" si="2"/>
        <v/>
      </c>
      <c r="K45" s="101" t="str">
        <f t="shared" si="3"/>
        <v/>
      </c>
      <c r="L45" s="101" t="str">
        <f t="shared" si="4"/>
        <v/>
      </c>
      <c r="M45" s="101" t="str">
        <f t="shared" si="5"/>
        <v/>
      </c>
      <c r="N45" s="101" t="str">
        <f t="shared" si="6"/>
        <v/>
      </c>
      <c r="O45" s="93" t="str">
        <f>IF(A45="","",IF($G$10&lt;&gt;"Valid","Check score weights/sensitivity",IF(Companies!R36&lt;&gt;1,"Outside selected/approved universe",IF(Rules!B15&lt;&gt;"Yes","Confirm issuer universe",IF(I45&lt;&gt;4,"Missing modules: "&amp;TEXTJOIN(", ",TRUE,IF(NOT(ISNUMBER(E45)),"strength",""),IF(NOT(ISNUMBER(F45)),"valuation",""),IF(NOT(ISNUMBER(G45)),"growth",""),IF(NOT(ISNUMBER(H45)),"profitability","")),IF(P45=1,"Ready","Check module/cohort statuses"))))))</f>
        <v/>
      </c>
      <c r="P45" s="93">
        <f t="array" ref="P45">IF(A45="",0,IFERROR(IF(AND(Companies!R36=1,D45&gt;=MAX(10,Rules!$B$22),$G$10="Valid",Rules!B15="Yes",I45=4,MIN(E45:H45)&gt;=0,MAX(E45:H45)&lt;=100,Q45="Ready",R45="Ready",S45="Ready",T45="Ready",ISNUMBER(U45),U45&gt;=MAX(3,Rules!B12),IFNA(INDEX(Network!$P$14:$P$63,MATCH(A45,Network!$A$14:$A$63,0)),0)=1,IFNA(INDEX(Network!$C$14:$C$63,MATCH(A45,Network!$A$14:$A$63,0)),"No")="Yes",ISNUMBER(IFNA(INDEX(Network!$L$14:$L$63,MATCH(A45,Network!$A$14:$A$63,0)),"n.a.")),Rules!$B$46&gt;0),1,0),0))</f>
        <v>0</v>
      </c>
      <c r="Q45" s="93" t="str">
        <f t="array" ref="Q45">IF(A45="","",IFNA(INDEX(Strength!$V$10:$V$59,MATCH(A45,Strength!$A$10:$A$59,0)),"n.a."))</f>
        <v/>
      </c>
      <c r="R45" s="93" t="str">
        <f t="array" ref="R45">IF(A45="","",IFNA(INDEX(Valuation!$S$15:$S$64,MATCH(A45,Valuation!$A$15:$A$64,0)),"n.a."))</f>
        <v/>
      </c>
      <c r="S45" s="93" t="str">
        <f t="array" ref="S45">IF(A45="","",IFNA(INDEX(Growth!$L$15:$L$64,MATCH(A45,Growth!$A$15:$A$64,0)),"n.a."))</f>
        <v/>
      </c>
      <c r="T45" s="93" t="str">
        <f t="array" ref="T45">IF(A45="","",IFNA(INDEX(Profitability!$V$15:$V$64,MATCH(A45,Profitability!$A$15:$A$64,0)),"n.a."))</f>
        <v/>
      </c>
      <c r="U45" s="93" t="str">
        <f t="array" ref="U45">IF(A45="","",IF(COUNT(IFNA(INDEX(Strength!$J$10:$J$59,MATCH(A45,Strength!$A$10:$A$59,0)),"n.a."),Valuation!$B$7,IFNA(INDEX(Growth!$K$15:$K$64,MATCH(A45,Growth!$A$15:$A$64,0)),"n.a."),IFNA(INDEX(Profitability!$M$15:$M$64,MATCH(A45,Profitability!$A$15:$A$64,0)),"n.a."))&lt;&gt;4,"n.a.",MIN(1+IFNA(INDEX(Strength!$J$10:$J$59,MATCH(A45,Strength!$A$10:$A$59,0)),"n.a."),Valuation!$B$7,IFNA(INDEX(Growth!$K$15:$K$64,MATCH(A45,Growth!$A$15:$A$64,0)),"n.a."),IFNA(INDEX(Profitability!$M$15:$M$64,MATCH(A45,Profitability!$A$15:$A$64,0)),"n.a."))))</f>
        <v/>
      </c>
      <c r="V45" s="93" t="str">
        <f t="shared" si="7"/>
        <v/>
      </c>
    </row>
    <row r="46">
      <c r="A46" s="93" t="str">
        <f>IF(Companies!A37="","",Companies!A37)</f>
        <v/>
      </c>
      <c r="B46" s="93" t="str">
        <f>IF(A46="","",Companies!C37)</f>
        <v/>
      </c>
      <c r="C46" s="93" t="str">
        <f>IF(A46="","",Companies!D37)</f>
        <v/>
      </c>
      <c r="D46" s="101" t="str">
        <f>IF(A46="","",Companies!I37)</f>
        <v/>
      </c>
      <c r="E46" s="101" t="str">
        <f t="array" ref="E46">IF(A46="","",IFNA(INDEX(Strength!$U$10:$U$59,MATCH(A46,Strength!$A$10:$A$59,0)),"n.a."))</f>
        <v/>
      </c>
      <c r="F46" s="101" t="str">
        <f t="array" ref="F46">IF(A46="","",IFNA(INDEX(Valuation!$L$15:$L$64,MATCH(A46,Valuation!$A$15:$A$64,0)),"n.a."))</f>
        <v/>
      </c>
      <c r="G46" s="101" t="str">
        <f t="array" ref="G46">IF(A46="","",IFNA(INDEX(Growth!$J$15:$J$64,MATCH(A46,Growth!$A$15:$A$64,0)),"n.a."))</f>
        <v/>
      </c>
      <c r="H46" s="101" t="str">
        <f t="array" ref="H46">IF(A46="","",IFNA(INDEX(Profitability!$K$15:$K$64,MATCH(A46,Profitability!$A$15:$A$64,0)),"n.a."))</f>
        <v/>
      </c>
      <c r="I46" s="101" t="str">
        <f t="shared" si="1"/>
        <v/>
      </c>
      <c r="J46" s="101" t="str">
        <f t="shared" si="2"/>
        <v/>
      </c>
      <c r="K46" s="101" t="str">
        <f t="shared" si="3"/>
        <v/>
      </c>
      <c r="L46" s="101" t="str">
        <f t="shared" si="4"/>
        <v/>
      </c>
      <c r="M46" s="101" t="str">
        <f t="shared" si="5"/>
        <v/>
      </c>
      <c r="N46" s="101" t="str">
        <f t="shared" si="6"/>
        <v/>
      </c>
      <c r="O46" s="93" t="str">
        <f>IF(A46="","",IF($G$10&lt;&gt;"Valid","Check score weights/sensitivity",IF(Companies!R37&lt;&gt;1,"Outside selected/approved universe",IF(Rules!B15&lt;&gt;"Yes","Confirm issuer universe",IF(I46&lt;&gt;4,"Missing modules: "&amp;TEXTJOIN(", ",TRUE,IF(NOT(ISNUMBER(E46)),"strength",""),IF(NOT(ISNUMBER(F46)),"valuation",""),IF(NOT(ISNUMBER(G46)),"growth",""),IF(NOT(ISNUMBER(H46)),"profitability","")),IF(P46=1,"Ready","Check module/cohort statuses"))))))</f>
        <v/>
      </c>
      <c r="P46" s="93">
        <f t="array" ref="P46">IF(A46="",0,IFERROR(IF(AND(Companies!R37=1,D46&gt;=MAX(10,Rules!$B$22),$G$10="Valid",Rules!B15="Yes",I46=4,MIN(E46:H46)&gt;=0,MAX(E46:H46)&lt;=100,Q46="Ready",R46="Ready",S46="Ready",T46="Ready",ISNUMBER(U46),U46&gt;=MAX(3,Rules!B12),IFNA(INDEX(Network!$P$14:$P$63,MATCH(A46,Network!$A$14:$A$63,0)),0)=1,IFNA(INDEX(Network!$C$14:$C$63,MATCH(A46,Network!$A$14:$A$63,0)),"No")="Yes",ISNUMBER(IFNA(INDEX(Network!$L$14:$L$63,MATCH(A46,Network!$A$14:$A$63,0)),"n.a.")),Rules!$B$46&gt;0),1,0),0))</f>
        <v>0</v>
      </c>
      <c r="Q46" s="93" t="str">
        <f t="array" ref="Q46">IF(A46="","",IFNA(INDEX(Strength!$V$10:$V$59,MATCH(A46,Strength!$A$10:$A$59,0)),"n.a."))</f>
        <v/>
      </c>
      <c r="R46" s="93" t="str">
        <f t="array" ref="R46">IF(A46="","",IFNA(INDEX(Valuation!$S$15:$S$64,MATCH(A46,Valuation!$A$15:$A$64,0)),"n.a."))</f>
        <v/>
      </c>
      <c r="S46" s="93" t="str">
        <f t="array" ref="S46">IF(A46="","",IFNA(INDEX(Growth!$L$15:$L$64,MATCH(A46,Growth!$A$15:$A$64,0)),"n.a."))</f>
        <v/>
      </c>
      <c r="T46" s="93" t="str">
        <f t="array" ref="T46">IF(A46="","",IFNA(INDEX(Profitability!$V$15:$V$64,MATCH(A46,Profitability!$A$15:$A$64,0)),"n.a."))</f>
        <v/>
      </c>
      <c r="U46" s="93" t="str">
        <f t="array" ref="U46">IF(A46="","",IF(COUNT(IFNA(INDEX(Strength!$J$10:$J$59,MATCH(A46,Strength!$A$10:$A$59,0)),"n.a."),Valuation!$B$7,IFNA(INDEX(Growth!$K$15:$K$64,MATCH(A46,Growth!$A$15:$A$64,0)),"n.a."),IFNA(INDEX(Profitability!$M$15:$M$64,MATCH(A46,Profitability!$A$15:$A$64,0)),"n.a."))&lt;&gt;4,"n.a.",MIN(1+IFNA(INDEX(Strength!$J$10:$J$59,MATCH(A46,Strength!$A$10:$A$59,0)),"n.a."),Valuation!$B$7,IFNA(INDEX(Growth!$K$15:$K$64,MATCH(A46,Growth!$A$15:$A$64,0)),"n.a."),IFNA(INDEX(Profitability!$M$15:$M$64,MATCH(A46,Profitability!$A$15:$A$64,0)),"n.a."))))</f>
        <v/>
      </c>
      <c r="V46" s="93" t="str">
        <f t="shared" si="7"/>
        <v/>
      </c>
    </row>
    <row r="47">
      <c r="A47" s="93" t="str">
        <f>IF(Companies!A38="","",Companies!A38)</f>
        <v/>
      </c>
      <c r="B47" s="93" t="str">
        <f>IF(A47="","",Companies!C38)</f>
        <v/>
      </c>
      <c r="C47" s="93" t="str">
        <f>IF(A47="","",Companies!D38)</f>
        <v/>
      </c>
      <c r="D47" s="101" t="str">
        <f>IF(A47="","",Companies!I38)</f>
        <v/>
      </c>
      <c r="E47" s="101" t="str">
        <f t="array" ref="E47">IF(A47="","",IFNA(INDEX(Strength!$U$10:$U$59,MATCH(A47,Strength!$A$10:$A$59,0)),"n.a."))</f>
        <v/>
      </c>
      <c r="F47" s="101" t="str">
        <f t="array" ref="F47">IF(A47="","",IFNA(INDEX(Valuation!$L$15:$L$64,MATCH(A47,Valuation!$A$15:$A$64,0)),"n.a."))</f>
        <v/>
      </c>
      <c r="G47" s="101" t="str">
        <f t="array" ref="G47">IF(A47="","",IFNA(INDEX(Growth!$J$15:$J$64,MATCH(A47,Growth!$A$15:$A$64,0)),"n.a."))</f>
        <v/>
      </c>
      <c r="H47" s="101" t="str">
        <f t="array" ref="H47">IF(A47="","",IFNA(INDEX(Profitability!$K$15:$K$64,MATCH(A47,Profitability!$A$15:$A$64,0)),"n.a."))</f>
        <v/>
      </c>
      <c r="I47" s="101" t="str">
        <f t="shared" si="1"/>
        <v/>
      </c>
      <c r="J47" s="101" t="str">
        <f t="shared" si="2"/>
        <v/>
      </c>
      <c r="K47" s="101" t="str">
        <f t="shared" si="3"/>
        <v/>
      </c>
      <c r="L47" s="101" t="str">
        <f t="shared" si="4"/>
        <v/>
      </c>
      <c r="M47" s="101" t="str">
        <f t="shared" si="5"/>
        <v/>
      </c>
      <c r="N47" s="101" t="str">
        <f t="shared" si="6"/>
        <v/>
      </c>
      <c r="O47" s="93" t="str">
        <f>IF(A47="","",IF($G$10&lt;&gt;"Valid","Check score weights/sensitivity",IF(Companies!R38&lt;&gt;1,"Outside selected/approved universe",IF(Rules!B15&lt;&gt;"Yes","Confirm issuer universe",IF(I47&lt;&gt;4,"Missing modules: "&amp;TEXTJOIN(", ",TRUE,IF(NOT(ISNUMBER(E47)),"strength",""),IF(NOT(ISNUMBER(F47)),"valuation",""),IF(NOT(ISNUMBER(G47)),"growth",""),IF(NOT(ISNUMBER(H47)),"profitability","")),IF(P47=1,"Ready","Check module/cohort statuses"))))))</f>
        <v/>
      </c>
      <c r="P47" s="93">
        <f t="array" ref="P47">IF(A47="",0,IFERROR(IF(AND(Companies!R38=1,D47&gt;=MAX(10,Rules!$B$22),$G$10="Valid",Rules!B15="Yes",I47=4,MIN(E47:H47)&gt;=0,MAX(E47:H47)&lt;=100,Q47="Ready",R47="Ready",S47="Ready",T47="Ready",ISNUMBER(U47),U47&gt;=MAX(3,Rules!B12),IFNA(INDEX(Network!$P$14:$P$63,MATCH(A47,Network!$A$14:$A$63,0)),0)=1,IFNA(INDEX(Network!$C$14:$C$63,MATCH(A47,Network!$A$14:$A$63,0)),"No")="Yes",ISNUMBER(IFNA(INDEX(Network!$L$14:$L$63,MATCH(A47,Network!$A$14:$A$63,0)),"n.a.")),Rules!$B$46&gt;0),1,0),0))</f>
        <v>0</v>
      </c>
      <c r="Q47" s="93" t="str">
        <f t="array" ref="Q47">IF(A47="","",IFNA(INDEX(Strength!$V$10:$V$59,MATCH(A47,Strength!$A$10:$A$59,0)),"n.a."))</f>
        <v/>
      </c>
      <c r="R47" s="93" t="str">
        <f t="array" ref="R47">IF(A47="","",IFNA(INDEX(Valuation!$S$15:$S$64,MATCH(A47,Valuation!$A$15:$A$64,0)),"n.a."))</f>
        <v/>
      </c>
      <c r="S47" s="93" t="str">
        <f t="array" ref="S47">IF(A47="","",IFNA(INDEX(Growth!$L$15:$L$64,MATCH(A47,Growth!$A$15:$A$64,0)),"n.a."))</f>
        <v/>
      </c>
      <c r="T47" s="93" t="str">
        <f t="array" ref="T47">IF(A47="","",IFNA(INDEX(Profitability!$V$15:$V$64,MATCH(A47,Profitability!$A$15:$A$64,0)),"n.a."))</f>
        <v/>
      </c>
      <c r="U47" s="93" t="str">
        <f t="array" ref="U47">IF(A47="","",IF(COUNT(IFNA(INDEX(Strength!$J$10:$J$59,MATCH(A47,Strength!$A$10:$A$59,0)),"n.a."),Valuation!$B$7,IFNA(INDEX(Growth!$K$15:$K$64,MATCH(A47,Growth!$A$15:$A$64,0)),"n.a."),IFNA(INDEX(Profitability!$M$15:$M$64,MATCH(A47,Profitability!$A$15:$A$64,0)),"n.a."))&lt;&gt;4,"n.a.",MIN(1+IFNA(INDEX(Strength!$J$10:$J$59,MATCH(A47,Strength!$A$10:$A$59,0)),"n.a."),Valuation!$B$7,IFNA(INDEX(Growth!$K$15:$K$64,MATCH(A47,Growth!$A$15:$A$64,0)),"n.a."),IFNA(INDEX(Profitability!$M$15:$M$64,MATCH(A47,Profitability!$A$15:$A$64,0)),"n.a."))))</f>
        <v/>
      </c>
      <c r="V47" s="93" t="str">
        <f t="shared" si="7"/>
        <v/>
      </c>
    </row>
    <row r="48">
      <c r="A48" s="93" t="str">
        <f>IF(Companies!A39="","",Companies!A39)</f>
        <v/>
      </c>
      <c r="B48" s="93" t="str">
        <f>IF(A48="","",Companies!C39)</f>
        <v/>
      </c>
      <c r="C48" s="93" t="str">
        <f>IF(A48="","",Companies!D39)</f>
        <v/>
      </c>
      <c r="D48" s="101" t="str">
        <f>IF(A48="","",Companies!I39)</f>
        <v/>
      </c>
      <c r="E48" s="101" t="str">
        <f t="array" ref="E48">IF(A48="","",IFNA(INDEX(Strength!$U$10:$U$59,MATCH(A48,Strength!$A$10:$A$59,0)),"n.a."))</f>
        <v/>
      </c>
      <c r="F48" s="101" t="str">
        <f t="array" ref="F48">IF(A48="","",IFNA(INDEX(Valuation!$L$15:$L$64,MATCH(A48,Valuation!$A$15:$A$64,0)),"n.a."))</f>
        <v/>
      </c>
      <c r="G48" s="101" t="str">
        <f t="array" ref="G48">IF(A48="","",IFNA(INDEX(Growth!$J$15:$J$64,MATCH(A48,Growth!$A$15:$A$64,0)),"n.a."))</f>
        <v/>
      </c>
      <c r="H48" s="101" t="str">
        <f t="array" ref="H48">IF(A48="","",IFNA(INDEX(Profitability!$K$15:$K$64,MATCH(A48,Profitability!$A$15:$A$64,0)),"n.a."))</f>
        <v/>
      </c>
      <c r="I48" s="101" t="str">
        <f t="shared" si="1"/>
        <v/>
      </c>
      <c r="J48" s="101" t="str">
        <f t="shared" si="2"/>
        <v/>
      </c>
      <c r="K48" s="101" t="str">
        <f t="shared" si="3"/>
        <v/>
      </c>
      <c r="L48" s="101" t="str">
        <f t="shared" si="4"/>
        <v/>
      </c>
      <c r="M48" s="101" t="str">
        <f t="shared" si="5"/>
        <v/>
      </c>
      <c r="N48" s="101" t="str">
        <f t="shared" si="6"/>
        <v/>
      </c>
      <c r="O48" s="93" t="str">
        <f>IF(A48="","",IF($G$10&lt;&gt;"Valid","Check score weights/sensitivity",IF(Companies!R39&lt;&gt;1,"Outside selected/approved universe",IF(Rules!B15&lt;&gt;"Yes","Confirm issuer universe",IF(I48&lt;&gt;4,"Missing modules: "&amp;TEXTJOIN(", ",TRUE,IF(NOT(ISNUMBER(E48)),"strength",""),IF(NOT(ISNUMBER(F48)),"valuation",""),IF(NOT(ISNUMBER(G48)),"growth",""),IF(NOT(ISNUMBER(H48)),"profitability","")),IF(P48=1,"Ready","Check module/cohort statuses"))))))</f>
        <v/>
      </c>
      <c r="P48" s="93">
        <f t="array" ref="P48">IF(A48="",0,IFERROR(IF(AND(Companies!R39=1,D48&gt;=MAX(10,Rules!$B$22),$G$10="Valid",Rules!B15="Yes",I48=4,MIN(E48:H48)&gt;=0,MAX(E48:H48)&lt;=100,Q48="Ready",R48="Ready",S48="Ready",T48="Ready",ISNUMBER(U48),U48&gt;=MAX(3,Rules!B12),IFNA(INDEX(Network!$P$14:$P$63,MATCH(A48,Network!$A$14:$A$63,0)),0)=1,IFNA(INDEX(Network!$C$14:$C$63,MATCH(A48,Network!$A$14:$A$63,0)),"No")="Yes",ISNUMBER(IFNA(INDEX(Network!$L$14:$L$63,MATCH(A48,Network!$A$14:$A$63,0)),"n.a.")),Rules!$B$46&gt;0),1,0),0))</f>
        <v>0</v>
      </c>
      <c r="Q48" s="93" t="str">
        <f t="array" ref="Q48">IF(A48="","",IFNA(INDEX(Strength!$V$10:$V$59,MATCH(A48,Strength!$A$10:$A$59,0)),"n.a."))</f>
        <v/>
      </c>
      <c r="R48" s="93" t="str">
        <f t="array" ref="R48">IF(A48="","",IFNA(INDEX(Valuation!$S$15:$S$64,MATCH(A48,Valuation!$A$15:$A$64,0)),"n.a."))</f>
        <v/>
      </c>
      <c r="S48" s="93" t="str">
        <f t="array" ref="S48">IF(A48="","",IFNA(INDEX(Growth!$L$15:$L$64,MATCH(A48,Growth!$A$15:$A$64,0)),"n.a."))</f>
        <v/>
      </c>
      <c r="T48" s="93" t="str">
        <f t="array" ref="T48">IF(A48="","",IFNA(INDEX(Profitability!$V$15:$V$64,MATCH(A48,Profitability!$A$15:$A$64,0)),"n.a."))</f>
        <v/>
      </c>
      <c r="U48" s="93" t="str">
        <f t="array" ref="U48">IF(A48="","",IF(COUNT(IFNA(INDEX(Strength!$J$10:$J$59,MATCH(A48,Strength!$A$10:$A$59,0)),"n.a."),Valuation!$B$7,IFNA(INDEX(Growth!$K$15:$K$64,MATCH(A48,Growth!$A$15:$A$64,0)),"n.a."),IFNA(INDEX(Profitability!$M$15:$M$64,MATCH(A48,Profitability!$A$15:$A$64,0)),"n.a."))&lt;&gt;4,"n.a.",MIN(1+IFNA(INDEX(Strength!$J$10:$J$59,MATCH(A48,Strength!$A$10:$A$59,0)),"n.a."),Valuation!$B$7,IFNA(INDEX(Growth!$K$15:$K$64,MATCH(A48,Growth!$A$15:$A$64,0)),"n.a."),IFNA(INDEX(Profitability!$M$15:$M$64,MATCH(A48,Profitability!$A$15:$A$64,0)),"n.a."))))</f>
        <v/>
      </c>
      <c r="V48" s="93" t="str">
        <f t="shared" si="7"/>
        <v/>
      </c>
    </row>
    <row r="49">
      <c r="A49" s="93" t="str">
        <f>IF(Companies!A40="","",Companies!A40)</f>
        <v/>
      </c>
      <c r="B49" s="93" t="str">
        <f>IF(A49="","",Companies!C40)</f>
        <v/>
      </c>
      <c r="C49" s="93" t="str">
        <f>IF(A49="","",Companies!D40)</f>
        <v/>
      </c>
      <c r="D49" s="101" t="str">
        <f>IF(A49="","",Companies!I40)</f>
        <v/>
      </c>
      <c r="E49" s="101" t="str">
        <f t="array" ref="E49">IF(A49="","",IFNA(INDEX(Strength!$U$10:$U$59,MATCH(A49,Strength!$A$10:$A$59,0)),"n.a."))</f>
        <v/>
      </c>
      <c r="F49" s="101" t="str">
        <f t="array" ref="F49">IF(A49="","",IFNA(INDEX(Valuation!$L$15:$L$64,MATCH(A49,Valuation!$A$15:$A$64,0)),"n.a."))</f>
        <v/>
      </c>
      <c r="G49" s="101" t="str">
        <f t="array" ref="G49">IF(A49="","",IFNA(INDEX(Growth!$J$15:$J$64,MATCH(A49,Growth!$A$15:$A$64,0)),"n.a."))</f>
        <v/>
      </c>
      <c r="H49" s="101" t="str">
        <f t="array" ref="H49">IF(A49="","",IFNA(INDEX(Profitability!$K$15:$K$64,MATCH(A49,Profitability!$A$15:$A$64,0)),"n.a."))</f>
        <v/>
      </c>
      <c r="I49" s="101" t="str">
        <f t="shared" si="1"/>
        <v/>
      </c>
      <c r="J49" s="101" t="str">
        <f t="shared" si="2"/>
        <v/>
      </c>
      <c r="K49" s="101" t="str">
        <f t="shared" si="3"/>
        <v/>
      </c>
      <c r="L49" s="101" t="str">
        <f t="shared" si="4"/>
        <v/>
      </c>
      <c r="M49" s="101" t="str">
        <f t="shared" si="5"/>
        <v/>
      </c>
      <c r="N49" s="101" t="str">
        <f t="shared" si="6"/>
        <v/>
      </c>
      <c r="O49" s="93" t="str">
        <f>IF(A49="","",IF($G$10&lt;&gt;"Valid","Check score weights/sensitivity",IF(Companies!R40&lt;&gt;1,"Outside selected/approved universe",IF(Rules!B15&lt;&gt;"Yes","Confirm issuer universe",IF(I49&lt;&gt;4,"Missing modules: "&amp;TEXTJOIN(", ",TRUE,IF(NOT(ISNUMBER(E49)),"strength",""),IF(NOT(ISNUMBER(F49)),"valuation",""),IF(NOT(ISNUMBER(G49)),"growth",""),IF(NOT(ISNUMBER(H49)),"profitability","")),IF(P49=1,"Ready","Check module/cohort statuses"))))))</f>
        <v/>
      </c>
      <c r="P49" s="93">
        <f t="array" ref="P49">IF(A49="",0,IFERROR(IF(AND(Companies!R40=1,D49&gt;=MAX(10,Rules!$B$22),$G$10="Valid",Rules!B15="Yes",I49=4,MIN(E49:H49)&gt;=0,MAX(E49:H49)&lt;=100,Q49="Ready",R49="Ready",S49="Ready",T49="Ready",ISNUMBER(U49),U49&gt;=MAX(3,Rules!B12),IFNA(INDEX(Network!$P$14:$P$63,MATCH(A49,Network!$A$14:$A$63,0)),0)=1,IFNA(INDEX(Network!$C$14:$C$63,MATCH(A49,Network!$A$14:$A$63,0)),"No")="Yes",ISNUMBER(IFNA(INDEX(Network!$L$14:$L$63,MATCH(A49,Network!$A$14:$A$63,0)),"n.a.")),Rules!$B$46&gt;0),1,0),0))</f>
        <v>0</v>
      </c>
      <c r="Q49" s="93" t="str">
        <f t="array" ref="Q49">IF(A49="","",IFNA(INDEX(Strength!$V$10:$V$59,MATCH(A49,Strength!$A$10:$A$59,0)),"n.a."))</f>
        <v/>
      </c>
      <c r="R49" s="93" t="str">
        <f t="array" ref="R49">IF(A49="","",IFNA(INDEX(Valuation!$S$15:$S$64,MATCH(A49,Valuation!$A$15:$A$64,0)),"n.a."))</f>
        <v/>
      </c>
      <c r="S49" s="93" t="str">
        <f t="array" ref="S49">IF(A49="","",IFNA(INDEX(Growth!$L$15:$L$64,MATCH(A49,Growth!$A$15:$A$64,0)),"n.a."))</f>
        <v/>
      </c>
      <c r="T49" s="93" t="str">
        <f t="array" ref="T49">IF(A49="","",IFNA(INDEX(Profitability!$V$15:$V$64,MATCH(A49,Profitability!$A$15:$A$64,0)),"n.a."))</f>
        <v/>
      </c>
      <c r="U49" s="93" t="str">
        <f t="array" ref="U49">IF(A49="","",IF(COUNT(IFNA(INDEX(Strength!$J$10:$J$59,MATCH(A49,Strength!$A$10:$A$59,0)),"n.a."),Valuation!$B$7,IFNA(INDEX(Growth!$K$15:$K$64,MATCH(A49,Growth!$A$15:$A$64,0)),"n.a."),IFNA(INDEX(Profitability!$M$15:$M$64,MATCH(A49,Profitability!$A$15:$A$64,0)),"n.a."))&lt;&gt;4,"n.a.",MIN(1+IFNA(INDEX(Strength!$J$10:$J$59,MATCH(A49,Strength!$A$10:$A$59,0)),"n.a."),Valuation!$B$7,IFNA(INDEX(Growth!$K$15:$K$64,MATCH(A49,Growth!$A$15:$A$64,0)),"n.a."),IFNA(INDEX(Profitability!$M$15:$M$64,MATCH(A49,Profitability!$A$15:$A$64,0)),"n.a."))))</f>
        <v/>
      </c>
      <c r="V49" s="93" t="str">
        <f t="shared" si="7"/>
        <v/>
      </c>
    </row>
    <row r="50">
      <c r="A50" s="93" t="str">
        <f>IF(Companies!A41="","",Companies!A41)</f>
        <v/>
      </c>
      <c r="B50" s="93" t="str">
        <f>IF(A50="","",Companies!C41)</f>
        <v/>
      </c>
      <c r="C50" s="93" t="str">
        <f>IF(A50="","",Companies!D41)</f>
        <v/>
      </c>
      <c r="D50" s="101" t="str">
        <f>IF(A50="","",Companies!I41)</f>
        <v/>
      </c>
      <c r="E50" s="101" t="str">
        <f t="array" ref="E50">IF(A50="","",IFNA(INDEX(Strength!$U$10:$U$59,MATCH(A50,Strength!$A$10:$A$59,0)),"n.a."))</f>
        <v/>
      </c>
      <c r="F50" s="101" t="str">
        <f t="array" ref="F50">IF(A50="","",IFNA(INDEX(Valuation!$L$15:$L$64,MATCH(A50,Valuation!$A$15:$A$64,0)),"n.a."))</f>
        <v/>
      </c>
      <c r="G50" s="101" t="str">
        <f t="array" ref="G50">IF(A50="","",IFNA(INDEX(Growth!$J$15:$J$64,MATCH(A50,Growth!$A$15:$A$64,0)),"n.a."))</f>
        <v/>
      </c>
      <c r="H50" s="101" t="str">
        <f t="array" ref="H50">IF(A50="","",IFNA(INDEX(Profitability!$K$15:$K$64,MATCH(A50,Profitability!$A$15:$A$64,0)),"n.a."))</f>
        <v/>
      </c>
      <c r="I50" s="101" t="str">
        <f t="shared" si="1"/>
        <v/>
      </c>
      <c r="J50" s="101" t="str">
        <f t="shared" si="2"/>
        <v/>
      </c>
      <c r="K50" s="101" t="str">
        <f t="shared" si="3"/>
        <v/>
      </c>
      <c r="L50" s="101" t="str">
        <f t="shared" si="4"/>
        <v/>
      </c>
      <c r="M50" s="101" t="str">
        <f t="shared" si="5"/>
        <v/>
      </c>
      <c r="N50" s="101" t="str">
        <f t="shared" si="6"/>
        <v/>
      </c>
      <c r="O50" s="93" t="str">
        <f>IF(A50="","",IF($G$10&lt;&gt;"Valid","Check score weights/sensitivity",IF(Companies!R41&lt;&gt;1,"Outside selected/approved universe",IF(Rules!B15&lt;&gt;"Yes","Confirm issuer universe",IF(I50&lt;&gt;4,"Missing modules: "&amp;TEXTJOIN(", ",TRUE,IF(NOT(ISNUMBER(E50)),"strength",""),IF(NOT(ISNUMBER(F50)),"valuation",""),IF(NOT(ISNUMBER(G50)),"growth",""),IF(NOT(ISNUMBER(H50)),"profitability","")),IF(P50=1,"Ready","Check module/cohort statuses"))))))</f>
        <v/>
      </c>
      <c r="P50" s="93">
        <f t="array" ref="P50">IF(A50="",0,IFERROR(IF(AND(Companies!R41=1,D50&gt;=MAX(10,Rules!$B$22),$G$10="Valid",Rules!B15="Yes",I50=4,MIN(E50:H50)&gt;=0,MAX(E50:H50)&lt;=100,Q50="Ready",R50="Ready",S50="Ready",T50="Ready",ISNUMBER(U50),U50&gt;=MAX(3,Rules!B12),IFNA(INDEX(Network!$P$14:$P$63,MATCH(A50,Network!$A$14:$A$63,0)),0)=1,IFNA(INDEX(Network!$C$14:$C$63,MATCH(A50,Network!$A$14:$A$63,0)),"No")="Yes",ISNUMBER(IFNA(INDEX(Network!$L$14:$L$63,MATCH(A50,Network!$A$14:$A$63,0)),"n.a.")),Rules!$B$46&gt;0),1,0),0))</f>
        <v>0</v>
      </c>
      <c r="Q50" s="93" t="str">
        <f t="array" ref="Q50">IF(A50="","",IFNA(INDEX(Strength!$V$10:$V$59,MATCH(A50,Strength!$A$10:$A$59,0)),"n.a."))</f>
        <v/>
      </c>
      <c r="R50" s="93" t="str">
        <f t="array" ref="R50">IF(A50="","",IFNA(INDEX(Valuation!$S$15:$S$64,MATCH(A50,Valuation!$A$15:$A$64,0)),"n.a."))</f>
        <v/>
      </c>
      <c r="S50" s="93" t="str">
        <f t="array" ref="S50">IF(A50="","",IFNA(INDEX(Growth!$L$15:$L$64,MATCH(A50,Growth!$A$15:$A$64,0)),"n.a."))</f>
        <v/>
      </c>
      <c r="T50" s="93" t="str">
        <f t="array" ref="T50">IF(A50="","",IFNA(INDEX(Profitability!$V$15:$V$64,MATCH(A50,Profitability!$A$15:$A$64,0)),"n.a."))</f>
        <v/>
      </c>
      <c r="U50" s="93" t="str">
        <f t="array" ref="U50">IF(A50="","",IF(COUNT(IFNA(INDEX(Strength!$J$10:$J$59,MATCH(A50,Strength!$A$10:$A$59,0)),"n.a."),Valuation!$B$7,IFNA(INDEX(Growth!$K$15:$K$64,MATCH(A50,Growth!$A$15:$A$64,0)),"n.a."),IFNA(INDEX(Profitability!$M$15:$M$64,MATCH(A50,Profitability!$A$15:$A$64,0)),"n.a."))&lt;&gt;4,"n.a.",MIN(1+IFNA(INDEX(Strength!$J$10:$J$59,MATCH(A50,Strength!$A$10:$A$59,0)),"n.a."),Valuation!$B$7,IFNA(INDEX(Growth!$K$15:$K$64,MATCH(A50,Growth!$A$15:$A$64,0)),"n.a."),IFNA(INDEX(Profitability!$M$15:$M$64,MATCH(A50,Profitability!$A$15:$A$64,0)),"n.a."))))</f>
        <v/>
      </c>
      <c r="V50" s="93" t="str">
        <f t="shared" si="7"/>
        <v/>
      </c>
    </row>
    <row r="51">
      <c r="A51" s="93" t="str">
        <f>IF(Companies!A42="","",Companies!A42)</f>
        <v/>
      </c>
      <c r="B51" s="93" t="str">
        <f>IF(A51="","",Companies!C42)</f>
        <v/>
      </c>
      <c r="C51" s="93" t="str">
        <f>IF(A51="","",Companies!D42)</f>
        <v/>
      </c>
      <c r="D51" s="101" t="str">
        <f>IF(A51="","",Companies!I42)</f>
        <v/>
      </c>
      <c r="E51" s="101" t="str">
        <f t="array" ref="E51">IF(A51="","",IFNA(INDEX(Strength!$U$10:$U$59,MATCH(A51,Strength!$A$10:$A$59,0)),"n.a."))</f>
        <v/>
      </c>
      <c r="F51" s="101" t="str">
        <f t="array" ref="F51">IF(A51="","",IFNA(INDEX(Valuation!$L$15:$L$64,MATCH(A51,Valuation!$A$15:$A$64,0)),"n.a."))</f>
        <v/>
      </c>
      <c r="G51" s="101" t="str">
        <f t="array" ref="G51">IF(A51="","",IFNA(INDEX(Growth!$J$15:$J$64,MATCH(A51,Growth!$A$15:$A$64,0)),"n.a."))</f>
        <v/>
      </c>
      <c r="H51" s="101" t="str">
        <f t="array" ref="H51">IF(A51="","",IFNA(INDEX(Profitability!$K$15:$K$64,MATCH(A51,Profitability!$A$15:$A$64,0)),"n.a."))</f>
        <v/>
      </c>
      <c r="I51" s="101" t="str">
        <f t="shared" si="1"/>
        <v/>
      </c>
      <c r="J51" s="101" t="str">
        <f t="shared" si="2"/>
        <v/>
      </c>
      <c r="K51" s="101" t="str">
        <f t="shared" si="3"/>
        <v/>
      </c>
      <c r="L51" s="101" t="str">
        <f t="shared" si="4"/>
        <v/>
      </c>
      <c r="M51" s="101" t="str">
        <f t="shared" si="5"/>
        <v/>
      </c>
      <c r="N51" s="101" t="str">
        <f t="shared" si="6"/>
        <v/>
      </c>
      <c r="O51" s="93" t="str">
        <f>IF(A51="","",IF($G$10&lt;&gt;"Valid","Check score weights/sensitivity",IF(Companies!R42&lt;&gt;1,"Outside selected/approved universe",IF(Rules!B15&lt;&gt;"Yes","Confirm issuer universe",IF(I51&lt;&gt;4,"Missing modules: "&amp;TEXTJOIN(", ",TRUE,IF(NOT(ISNUMBER(E51)),"strength",""),IF(NOT(ISNUMBER(F51)),"valuation",""),IF(NOT(ISNUMBER(G51)),"growth",""),IF(NOT(ISNUMBER(H51)),"profitability","")),IF(P51=1,"Ready","Check module/cohort statuses"))))))</f>
        <v/>
      </c>
      <c r="P51" s="93">
        <f t="array" ref="P51">IF(A51="",0,IFERROR(IF(AND(Companies!R42=1,D51&gt;=MAX(10,Rules!$B$22),$G$10="Valid",Rules!B15="Yes",I51=4,MIN(E51:H51)&gt;=0,MAX(E51:H51)&lt;=100,Q51="Ready",R51="Ready",S51="Ready",T51="Ready",ISNUMBER(U51),U51&gt;=MAX(3,Rules!B12),IFNA(INDEX(Network!$P$14:$P$63,MATCH(A51,Network!$A$14:$A$63,0)),0)=1,IFNA(INDEX(Network!$C$14:$C$63,MATCH(A51,Network!$A$14:$A$63,0)),"No")="Yes",ISNUMBER(IFNA(INDEX(Network!$L$14:$L$63,MATCH(A51,Network!$A$14:$A$63,0)),"n.a.")),Rules!$B$46&gt;0),1,0),0))</f>
        <v>0</v>
      </c>
      <c r="Q51" s="93" t="str">
        <f t="array" ref="Q51">IF(A51="","",IFNA(INDEX(Strength!$V$10:$V$59,MATCH(A51,Strength!$A$10:$A$59,0)),"n.a."))</f>
        <v/>
      </c>
      <c r="R51" s="93" t="str">
        <f t="array" ref="R51">IF(A51="","",IFNA(INDEX(Valuation!$S$15:$S$64,MATCH(A51,Valuation!$A$15:$A$64,0)),"n.a."))</f>
        <v/>
      </c>
      <c r="S51" s="93" t="str">
        <f t="array" ref="S51">IF(A51="","",IFNA(INDEX(Growth!$L$15:$L$64,MATCH(A51,Growth!$A$15:$A$64,0)),"n.a."))</f>
        <v/>
      </c>
      <c r="T51" s="93" t="str">
        <f t="array" ref="T51">IF(A51="","",IFNA(INDEX(Profitability!$V$15:$V$64,MATCH(A51,Profitability!$A$15:$A$64,0)),"n.a."))</f>
        <v/>
      </c>
      <c r="U51" s="93" t="str">
        <f t="array" ref="U51">IF(A51="","",IF(COUNT(IFNA(INDEX(Strength!$J$10:$J$59,MATCH(A51,Strength!$A$10:$A$59,0)),"n.a."),Valuation!$B$7,IFNA(INDEX(Growth!$K$15:$K$64,MATCH(A51,Growth!$A$15:$A$64,0)),"n.a."),IFNA(INDEX(Profitability!$M$15:$M$64,MATCH(A51,Profitability!$A$15:$A$64,0)),"n.a."))&lt;&gt;4,"n.a.",MIN(1+IFNA(INDEX(Strength!$J$10:$J$59,MATCH(A51,Strength!$A$10:$A$59,0)),"n.a."),Valuation!$B$7,IFNA(INDEX(Growth!$K$15:$K$64,MATCH(A51,Growth!$A$15:$A$64,0)),"n.a."),IFNA(INDEX(Profitability!$M$15:$M$64,MATCH(A51,Profitability!$A$15:$A$64,0)),"n.a."))))</f>
        <v/>
      </c>
      <c r="V51" s="93" t="str">
        <f t="shared" si="7"/>
        <v/>
      </c>
    </row>
    <row r="52">
      <c r="A52" s="93" t="str">
        <f>IF(Companies!A43="","",Companies!A43)</f>
        <v/>
      </c>
      <c r="B52" s="93" t="str">
        <f>IF(A52="","",Companies!C43)</f>
        <v/>
      </c>
      <c r="C52" s="93" t="str">
        <f>IF(A52="","",Companies!D43)</f>
        <v/>
      </c>
      <c r="D52" s="101" t="str">
        <f>IF(A52="","",Companies!I43)</f>
        <v/>
      </c>
      <c r="E52" s="101" t="str">
        <f t="array" ref="E52">IF(A52="","",IFNA(INDEX(Strength!$U$10:$U$59,MATCH(A52,Strength!$A$10:$A$59,0)),"n.a."))</f>
        <v/>
      </c>
      <c r="F52" s="101" t="str">
        <f t="array" ref="F52">IF(A52="","",IFNA(INDEX(Valuation!$L$15:$L$64,MATCH(A52,Valuation!$A$15:$A$64,0)),"n.a."))</f>
        <v/>
      </c>
      <c r="G52" s="101" t="str">
        <f t="array" ref="G52">IF(A52="","",IFNA(INDEX(Growth!$J$15:$J$64,MATCH(A52,Growth!$A$15:$A$64,0)),"n.a."))</f>
        <v/>
      </c>
      <c r="H52" s="101" t="str">
        <f t="array" ref="H52">IF(A52="","",IFNA(INDEX(Profitability!$K$15:$K$64,MATCH(A52,Profitability!$A$15:$A$64,0)),"n.a."))</f>
        <v/>
      </c>
      <c r="I52" s="101" t="str">
        <f t="shared" si="1"/>
        <v/>
      </c>
      <c r="J52" s="101" t="str">
        <f t="shared" si="2"/>
        <v/>
      </c>
      <c r="K52" s="101" t="str">
        <f t="shared" si="3"/>
        <v/>
      </c>
      <c r="L52" s="101" t="str">
        <f t="shared" si="4"/>
        <v/>
      </c>
      <c r="M52" s="101" t="str">
        <f t="shared" si="5"/>
        <v/>
      </c>
      <c r="N52" s="101" t="str">
        <f t="shared" si="6"/>
        <v/>
      </c>
      <c r="O52" s="93" t="str">
        <f>IF(A52="","",IF($G$10&lt;&gt;"Valid","Check score weights/sensitivity",IF(Companies!R43&lt;&gt;1,"Outside selected/approved universe",IF(Rules!B15&lt;&gt;"Yes","Confirm issuer universe",IF(I52&lt;&gt;4,"Missing modules: "&amp;TEXTJOIN(", ",TRUE,IF(NOT(ISNUMBER(E52)),"strength",""),IF(NOT(ISNUMBER(F52)),"valuation",""),IF(NOT(ISNUMBER(G52)),"growth",""),IF(NOT(ISNUMBER(H52)),"profitability","")),IF(P52=1,"Ready","Check module/cohort statuses"))))))</f>
        <v/>
      </c>
      <c r="P52" s="93">
        <f t="array" ref="P52">IF(A52="",0,IFERROR(IF(AND(Companies!R43=1,D52&gt;=MAX(10,Rules!$B$22),$G$10="Valid",Rules!B15="Yes",I52=4,MIN(E52:H52)&gt;=0,MAX(E52:H52)&lt;=100,Q52="Ready",R52="Ready",S52="Ready",T52="Ready",ISNUMBER(U52),U52&gt;=MAX(3,Rules!B12),IFNA(INDEX(Network!$P$14:$P$63,MATCH(A52,Network!$A$14:$A$63,0)),0)=1,IFNA(INDEX(Network!$C$14:$C$63,MATCH(A52,Network!$A$14:$A$63,0)),"No")="Yes",ISNUMBER(IFNA(INDEX(Network!$L$14:$L$63,MATCH(A52,Network!$A$14:$A$63,0)),"n.a.")),Rules!$B$46&gt;0),1,0),0))</f>
        <v>0</v>
      </c>
      <c r="Q52" s="93" t="str">
        <f t="array" ref="Q52">IF(A52="","",IFNA(INDEX(Strength!$V$10:$V$59,MATCH(A52,Strength!$A$10:$A$59,0)),"n.a."))</f>
        <v/>
      </c>
      <c r="R52" s="93" t="str">
        <f t="array" ref="R52">IF(A52="","",IFNA(INDEX(Valuation!$S$15:$S$64,MATCH(A52,Valuation!$A$15:$A$64,0)),"n.a."))</f>
        <v/>
      </c>
      <c r="S52" s="93" t="str">
        <f t="array" ref="S52">IF(A52="","",IFNA(INDEX(Growth!$L$15:$L$64,MATCH(A52,Growth!$A$15:$A$64,0)),"n.a."))</f>
        <v/>
      </c>
      <c r="T52" s="93" t="str">
        <f t="array" ref="T52">IF(A52="","",IFNA(INDEX(Profitability!$V$15:$V$64,MATCH(A52,Profitability!$A$15:$A$64,0)),"n.a."))</f>
        <v/>
      </c>
      <c r="U52" s="93" t="str">
        <f t="array" ref="U52">IF(A52="","",IF(COUNT(IFNA(INDEX(Strength!$J$10:$J$59,MATCH(A52,Strength!$A$10:$A$59,0)),"n.a."),Valuation!$B$7,IFNA(INDEX(Growth!$K$15:$K$64,MATCH(A52,Growth!$A$15:$A$64,0)),"n.a."),IFNA(INDEX(Profitability!$M$15:$M$64,MATCH(A52,Profitability!$A$15:$A$64,0)),"n.a."))&lt;&gt;4,"n.a.",MIN(1+IFNA(INDEX(Strength!$J$10:$J$59,MATCH(A52,Strength!$A$10:$A$59,0)),"n.a."),Valuation!$B$7,IFNA(INDEX(Growth!$K$15:$K$64,MATCH(A52,Growth!$A$15:$A$64,0)),"n.a."),IFNA(INDEX(Profitability!$M$15:$M$64,MATCH(A52,Profitability!$A$15:$A$64,0)),"n.a."))))</f>
        <v/>
      </c>
      <c r="V52" s="93" t="str">
        <f t="shared" si="7"/>
        <v/>
      </c>
    </row>
    <row r="53">
      <c r="A53" s="93" t="str">
        <f>IF(Companies!A44="","",Companies!A44)</f>
        <v/>
      </c>
      <c r="B53" s="93" t="str">
        <f>IF(A53="","",Companies!C44)</f>
        <v/>
      </c>
      <c r="C53" s="93" t="str">
        <f>IF(A53="","",Companies!D44)</f>
        <v/>
      </c>
      <c r="D53" s="101" t="str">
        <f>IF(A53="","",Companies!I44)</f>
        <v/>
      </c>
      <c r="E53" s="101" t="str">
        <f t="array" ref="E53">IF(A53="","",IFNA(INDEX(Strength!$U$10:$U$59,MATCH(A53,Strength!$A$10:$A$59,0)),"n.a."))</f>
        <v/>
      </c>
      <c r="F53" s="101" t="str">
        <f t="array" ref="F53">IF(A53="","",IFNA(INDEX(Valuation!$L$15:$L$64,MATCH(A53,Valuation!$A$15:$A$64,0)),"n.a."))</f>
        <v/>
      </c>
      <c r="G53" s="101" t="str">
        <f t="array" ref="G53">IF(A53="","",IFNA(INDEX(Growth!$J$15:$J$64,MATCH(A53,Growth!$A$15:$A$64,0)),"n.a."))</f>
        <v/>
      </c>
      <c r="H53" s="101" t="str">
        <f t="array" ref="H53">IF(A53="","",IFNA(INDEX(Profitability!$K$15:$K$64,MATCH(A53,Profitability!$A$15:$A$64,0)),"n.a."))</f>
        <v/>
      </c>
      <c r="I53" s="101" t="str">
        <f t="shared" si="1"/>
        <v/>
      </c>
      <c r="J53" s="101" t="str">
        <f t="shared" si="2"/>
        <v/>
      </c>
      <c r="K53" s="101" t="str">
        <f t="shared" si="3"/>
        <v/>
      </c>
      <c r="L53" s="101" t="str">
        <f t="shared" si="4"/>
        <v/>
      </c>
      <c r="M53" s="101" t="str">
        <f t="shared" si="5"/>
        <v/>
      </c>
      <c r="N53" s="101" t="str">
        <f t="shared" si="6"/>
        <v/>
      </c>
      <c r="O53" s="93" t="str">
        <f>IF(A53="","",IF($G$10&lt;&gt;"Valid","Check score weights/sensitivity",IF(Companies!R44&lt;&gt;1,"Outside selected/approved universe",IF(Rules!B15&lt;&gt;"Yes","Confirm issuer universe",IF(I53&lt;&gt;4,"Missing modules: "&amp;TEXTJOIN(", ",TRUE,IF(NOT(ISNUMBER(E53)),"strength",""),IF(NOT(ISNUMBER(F53)),"valuation",""),IF(NOT(ISNUMBER(G53)),"growth",""),IF(NOT(ISNUMBER(H53)),"profitability","")),IF(P53=1,"Ready","Check module/cohort statuses"))))))</f>
        <v/>
      </c>
      <c r="P53" s="93">
        <f t="array" ref="P53">IF(A53="",0,IFERROR(IF(AND(Companies!R44=1,D53&gt;=MAX(10,Rules!$B$22),$G$10="Valid",Rules!B15="Yes",I53=4,MIN(E53:H53)&gt;=0,MAX(E53:H53)&lt;=100,Q53="Ready",R53="Ready",S53="Ready",T53="Ready",ISNUMBER(U53),U53&gt;=MAX(3,Rules!B12),IFNA(INDEX(Network!$P$14:$P$63,MATCH(A53,Network!$A$14:$A$63,0)),0)=1,IFNA(INDEX(Network!$C$14:$C$63,MATCH(A53,Network!$A$14:$A$63,0)),"No")="Yes",ISNUMBER(IFNA(INDEX(Network!$L$14:$L$63,MATCH(A53,Network!$A$14:$A$63,0)),"n.a.")),Rules!$B$46&gt;0),1,0),0))</f>
        <v>0</v>
      </c>
      <c r="Q53" s="93" t="str">
        <f t="array" ref="Q53">IF(A53="","",IFNA(INDEX(Strength!$V$10:$V$59,MATCH(A53,Strength!$A$10:$A$59,0)),"n.a."))</f>
        <v/>
      </c>
      <c r="R53" s="93" t="str">
        <f t="array" ref="R53">IF(A53="","",IFNA(INDEX(Valuation!$S$15:$S$64,MATCH(A53,Valuation!$A$15:$A$64,0)),"n.a."))</f>
        <v/>
      </c>
      <c r="S53" s="93" t="str">
        <f t="array" ref="S53">IF(A53="","",IFNA(INDEX(Growth!$L$15:$L$64,MATCH(A53,Growth!$A$15:$A$64,0)),"n.a."))</f>
        <v/>
      </c>
      <c r="T53" s="93" t="str">
        <f t="array" ref="T53">IF(A53="","",IFNA(INDEX(Profitability!$V$15:$V$64,MATCH(A53,Profitability!$A$15:$A$64,0)),"n.a."))</f>
        <v/>
      </c>
      <c r="U53" s="93" t="str">
        <f t="array" ref="U53">IF(A53="","",IF(COUNT(IFNA(INDEX(Strength!$J$10:$J$59,MATCH(A53,Strength!$A$10:$A$59,0)),"n.a."),Valuation!$B$7,IFNA(INDEX(Growth!$K$15:$K$64,MATCH(A53,Growth!$A$15:$A$64,0)),"n.a."),IFNA(INDEX(Profitability!$M$15:$M$64,MATCH(A53,Profitability!$A$15:$A$64,0)),"n.a."))&lt;&gt;4,"n.a.",MIN(1+IFNA(INDEX(Strength!$J$10:$J$59,MATCH(A53,Strength!$A$10:$A$59,0)),"n.a."),Valuation!$B$7,IFNA(INDEX(Growth!$K$15:$K$64,MATCH(A53,Growth!$A$15:$A$64,0)),"n.a."),IFNA(INDEX(Profitability!$M$15:$M$64,MATCH(A53,Profitability!$A$15:$A$64,0)),"n.a."))))</f>
        <v/>
      </c>
      <c r="V53" s="93" t="str">
        <f t="shared" si="7"/>
        <v/>
      </c>
    </row>
    <row r="54">
      <c r="A54" s="93" t="str">
        <f>IF(Companies!A45="","",Companies!A45)</f>
        <v/>
      </c>
      <c r="B54" s="93" t="str">
        <f>IF(A54="","",Companies!C45)</f>
        <v/>
      </c>
      <c r="C54" s="93" t="str">
        <f>IF(A54="","",Companies!D45)</f>
        <v/>
      </c>
      <c r="D54" s="101" t="str">
        <f>IF(A54="","",Companies!I45)</f>
        <v/>
      </c>
      <c r="E54" s="101" t="str">
        <f t="array" ref="E54">IF(A54="","",IFNA(INDEX(Strength!$U$10:$U$59,MATCH(A54,Strength!$A$10:$A$59,0)),"n.a."))</f>
        <v/>
      </c>
      <c r="F54" s="101" t="str">
        <f t="array" ref="F54">IF(A54="","",IFNA(INDEX(Valuation!$L$15:$L$64,MATCH(A54,Valuation!$A$15:$A$64,0)),"n.a."))</f>
        <v/>
      </c>
      <c r="G54" s="101" t="str">
        <f t="array" ref="G54">IF(A54="","",IFNA(INDEX(Growth!$J$15:$J$64,MATCH(A54,Growth!$A$15:$A$64,0)),"n.a."))</f>
        <v/>
      </c>
      <c r="H54" s="101" t="str">
        <f t="array" ref="H54">IF(A54="","",IFNA(INDEX(Profitability!$K$15:$K$64,MATCH(A54,Profitability!$A$15:$A$64,0)),"n.a."))</f>
        <v/>
      </c>
      <c r="I54" s="101" t="str">
        <f t="shared" si="1"/>
        <v/>
      </c>
      <c r="J54" s="101" t="str">
        <f t="shared" si="2"/>
        <v/>
      </c>
      <c r="K54" s="101" t="str">
        <f t="shared" si="3"/>
        <v/>
      </c>
      <c r="L54" s="101" t="str">
        <f t="shared" si="4"/>
        <v/>
      </c>
      <c r="M54" s="101" t="str">
        <f t="shared" si="5"/>
        <v/>
      </c>
      <c r="N54" s="101" t="str">
        <f t="shared" si="6"/>
        <v/>
      </c>
      <c r="O54" s="93" t="str">
        <f>IF(A54="","",IF($G$10&lt;&gt;"Valid","Check score weights/sensitivity",IF(Companies!R45&lt;&gt;1,"Outside selected/approved universe",IF(Rules!B15&lt;&gt;"Yes","Confirm issuer universe",IF(I54&lt;&gt;4,"Missing modules: "&amp;TEXTJOIN(", ",TRUE,IF(NOT(ISNUMBER(E54)),"strength",""),IF(NOT(ISNUMBER(F54)),"valuation",""),IF(NOT(ISNUMBER(G54)),"growth",""),IF(NOT(ISNUMBER(H54)),"profitability","")),IF(P54=1,"Ready","Check module/cohort statuses"))))))</f>
        <v/>
      </c>
      <c r="P54" s="93">
        <f t="array" ref="P54">IF(A54="",0,IFERROR(IF(AND(Companies!R45=1,D54&gt;=MAX(10,Rules!$B$22),$G$10="Valid",Rules!B15="Yes",I54=4,MIN(E54:H54)&gt;=0,MAX(E54:H54)&lt;=100,Q54="Ready",R54="Ready",S54="Ready",T54="Ready",ISNUMBER(U54),U54&gt;=MAX(3,Rules!B12),IFNA(INDEX(Network!$P$14:$P$63,MATCH(A54,Network!$A$14:$A$63,0)),0)=1,IFNA(INDEX(Network!$C$14:$C$63,MATCH(A54,Network!$A$14:$A$63,0)),"No")="Yes",ISNUMBER(IFNA(INDEX(Network!$L$14:$L$63,MATCH(A54,Network!$A$14:$A$63,0)),"n.a.")),Rules!$B$46&gt;0),1,0),0))</f>
        <v>0</v>
      </c>
      <c r="Q54" s="93" t="str">
        <f t="array" ref="Q54">IF(A54="","",IFNA(INDEX(Strength!$V$10:$V$59,MATCH(A54,Strength!$A$10:$A$59,0)),"n.a."))</f>
        <v/>
      </c>
      <c r="R54" s="93" t="str">
        <f t="array" ref="R54">IF(A54="","",IFNA(INDEX(Valuation!$S$15:$S$64,MATCH(A54,Valuation!$A$15:$A$64,0)),"n.a."))</f>
        <v/>
      </c>
      <c r="S54" s="93" t="str">
        <f t="array" ref="S54">IF(A54="","",IFNA(INDEX(Growth!$L$15:$L$64,MATCH(A54,Growth!$A$15:$A$64,0)),"n.a."))</f>
        <v/>
      </c>
      <c r="T54" s="93" t="str">
        <f t="array" ref="T54">IF(A54="","",IFNA(INDEX(Profitability!$V$15:$V$64,MATCH(A54,Profitability!$A$15:$A$64,0)),"n.a."))</f>
        <v/>
      </c>
      <c r="U54" s="93" t="str">
        <f t="array" ref="U54">IF(A54="","",IF(COUNT(IFNA(INDEX(Strength!$J$10:$J$59,MATCH(A54,Strength!$A$10:$A$59,0)),"n.a."),Valuation!$B$7,IFNA(INDEX(Growth!$K$15:$K$64,MATCH(A54,Growth!$A$15:$A$64,0)),"n.a."),IFNA(INDEX(Profitability!$M$15:$M$64,MATCH(A54,Profitability!$A$15:$A$64,0)),"n.a."))&lt;&gt;4,"n.a.",MIN(1+IFNA(INDEX(Strength!$J$10:$J$59,MATCH(A54,Strength!$A$10:$A$59,0)),"n.a."),Valuation!$B$7,IFNA(INDEX(Growth!$K$15:$K$64,MATCH(A54,Growth!$A$15:$A$64,0)),"n.a."),IFNA(INDEX(Profitability!$M$15:$M$64,MATCH(A54,Profitability!$A$15:$A$64,0)),"n.a."))))</f>
        <v/>
      </c>
      <c r="V54" s="93" t="str">
        <f t="shared" si="7"/>
        <v/>
      </c>
    </row>
    <row r="55">
      <c r="A55" s="93" t="str">
        <f>IF(Companies!A46="","",Companies!A46)</f>
        <v/>
      </c>
      <c r="B55" s="93" t="str">
        <f>IF(A55="","",Companies!C46)</f>
        <v/>
      </c>
      <c r="C55" s="93" t="str">
        <f>IF(A55="","",Companies!D46)</f>
        <v/>
      </c>
      <c r="D55" s="101" t="str">
        <f>IF(A55="","",Companies!I46)</f>
        <v/>
      </c>
      <c r="E55" s="101" t="str">
        <f t="array" ref="E55">IF(A55="","",IFNA(INDEX(Strength!$U$10:$U$59,MATCH(A55,Strength!$A$10:$A$59,0)),"n.a."))</f>
        <v/>
      </c>
      <c r="F55" s="101" t="str">
        <f t="array" ref="F55">IF(A55="","",IFNA(INDEX(Valuation!$L$15:$L$64,MATCH(A55,Valuation!$A$15:$A$64,0)),"n.a."))</f>
        <v/>
      </c>
      <c r="G55" s="101" t="str">
        <f t="array" ref="G55">IF(A55="","",IFNA(INDEX(Growth!$J$15:$J$64,MATCH(A55,Growth!$A$15:$A$64,0)),"n.a."))</f>
        <v/>
      </c>
      <c r="H55" s="101" t="str">
        <f t="array" ref="H55">IF(A55="","",IFNA(INDEX(Profitability!$K$15:$K$64,MATCH(A55,Profitability!$A$15:$A$64,0)),"n.a."))</f>
        <v/>
      </c>
      <c r="I55" s="101" t="str">
        <f t="shared" si="1"/>
        <v/>
      </c>
      <c r="J55" s="101" t="str">
        <f t="shared" si="2"/>
        <v/>
      </c>
      <c r="K55" s="101" t="str">
        <f t="shared" si="3"/>
        <v/>
      </c>
      <c r="L55" s="101" t="str">
        <f t="shared" si="4"/>
        <v/>
      </c>
      <c r="M55" s="101" t="str">
        <f t="shared" si="5"/>
        <v/>
      </c>
      <c r="N55" s="101" t="str">
        <f t="shared" si="6"/>
        <v/>
      </c>
      <c r="O55" s="93" t="str">
        <f>IF(A55="","",IF($G$10&lt;&gt;"Valid","Check score weights/sensitivity",IF(Companies!R46&lt;&gt;1,"Outside selected/approved universe",IF(Rules!B15&lt;&gt;"Yes","Confirm issuer universe",IF(I55&lt;&gt;4,"Missing modules: "&amp;TEXTJOIN(", ",TRUE,IF(NOT(ISNUMBER(E55)),"strength",""),IF(NOT(ISNUMBER(F55)),"valuation",""),IF(NOT(ISNUMBER(G55)),"growth",""),IF(NOT(ISNUMBER(H55)),"profitability","")),IF(P55=1,"Ready","Check module/cohort statuses"))))))</f>
        <v/>
      </c>
      <c r="P55" s="93">
        <f t="array" ref="P55">IF(A55="",0,IFERROR(IF(AND(Companies!R46=1,D55&gt;=MAX(10,Rules!$B$22),$G$10="Valid",Rules!B15="Yes",I55=4,MIN(E55:H55)&gt;=0,MAX(E55:H55)&lt;=100,Q55="Ready",R55="Ready",S55="Ready",T55="Ready",ISNUMBER(U55),U55&gt;=MAX(3,Rules!B12),IFNA(INDEX(Network!$P$14:$P$63,MATCH(A55,Network!$A$14:$A$63,0)),0)=1,IFNA(INDEX(Network!$C$14:$C$63,MATCH(A55,Network!$A$14:$A$63,0)),"No")="Yes",ISNUMBER(IFNA(INDEX(Network!$L$14:$L$63,MATCH(A55,Network!$A$14:$A$63,0)),"n.a.")),Rules!$B$46&gt;0),1,0),0))</f>
        <v>0</v>
      </c>
      <c r="Q55" s="93" t="str">
        <f t="array" ref="Q55">IF(A55="","",IFNA(INDEX(Strength!$V$10:$V$59,MATCH(A55,Strength!$A$10:$A$59,0)),"n.a."))</f>
        <v/>
      </c>
      <c r="R55" s="93" t="str">
        <f t="array" ref="R55">IF(A55="","",IFNA(INDEX(Valuation!$S$15:$S$64,MATCH(A55,Valuation!$A$15:$A$64,0)),"n.a."))</f>
        <v/>
      </c>
      <c r="S55" s="93" t="str">
        <f t="array" ref="S55">IF(A55="","",IFNA(INDEX(Growth!$L$15:$L$64,MATCH(A55,Growth!$A$15:$A$64,0)),"n.a."))</f>
        <v/>
      </c>
      <c r="T55" s="93" t="str">
        <f t="array" ref="T55">IF(A55="","",IFNA(INDEX(Profitability!$V$15:$V$64,MATCH(A55,Profitability!$A$15:$A$64,0)),"n.a."))</f>
        <v/>
      </c>
      <c r="U55" s="93" t="str">
        <f t="array" ref="U55">IF(A55="","",IF(COUNT(IFNA(INDEX(Strength!$J$10:$J$59,MATCH(A55,Strength!$A$10:$A$59,0)),"n.a."),Valuation!$B$7,IFNA(INDEX(Growth!$K$15:$K$64,MATCH(A55,Growth!$A$15:$A$64,0)),"n.a."),IFNA(INDEX(Profitability!$M$15:$M$64,MATCH(A55,Profitability!$A$15:$A$64,0)),"n.a."))&lt;&gt;4,"n.a.",MIN(1+IFNA(INDEX(Strength!$J$10:$J$59,MATCH(A55,Strength!$A$10:$A$59,0)),"n.a."),Valuation!$B$7,IFNA(INDEX(Growth!$K$15:$K$64,MATCH(A55,Growth!$A$15:$A$64,0)),"n.a."),IFNA(INDEX(Profitability!$M$15:$M$64,MATCH(A55,Profitability!$A$15:$A$64,0)),"n.a."))))</f>
        <v/>
      </c>
      <c r="V55" s="93" t="str">
        <f t="shared" si="7"/>
        <v/>
      </c>
    </row>
    <row r="56">
      <c r="A56" s="93" t="str">
        <f>IF(Companies!A47="","",Companies!A47)</f>
        <v/>
      </c>
      <c r="B56" s="93" t="str">
        <f>IF(A56="","",Companies!C47)</f>
        <v/>
      </c>
      <c r="C56" s="93" t="str">
        <f>IF(A56="","",Companies!D47)</f>
        <v/>
      </c>
      <c r="D56" s="101" t="str">
        <f>IF(A56="","",Companies!I47)</f>
        <v/>
      </c>
      <c r="E56" s="101" t="str">
        <f t="array" ref="E56">IF(A56="","",IFNA(INDEX(Strength!$U$10:$U$59,MATCH(A56,Strength!$A$10:$A$59,0)),"n.a."))</f>
        <v/>
      </c>
      <c r="F56" s="101" t="str">
        <f t="array" ref="F56">IF(A56="","",IFNA(INDEX(Valuation!$L$15:$L$64,MATCH(A56,Valuation!$A$15:$A$64,0)),"n.a."))</f>
        <v/>
      </c>
      <c r="G56" s="101" t="str">
        <f t="array" ref="G56">IF(A56="","",IFNA(INDEX(Growth!$J$15:$J$64,MATCH(A56,Growth!$A$15:$A$64,0)),"n.a."))</f>
        <v/>
      </c>
      <c r="H56" s="101" t="str">
        <f t="array" ref="H56">IF(A56="","",IFNA(INDEX(Profitability!$K$15:$K$64,MATCH(A56,Profitability!$A$15:$A$64,0)),"n.a."))</f>
        <v/>
      </c>
      <c r="I56" s="101" t="str">
        <f t="shared" si="1"/>
        <v/>
      </c>
      <c r="J56" s="101" t="str">
        <f t="shared" si="2"/>
        <v/>
      </c>
      <c r="K56" s="101" t="str">
        <f t="shared" si="3"/>
        <v/>
      </c>
      <c r="L56" s="101" t="str">
        <f t="shared" si="4"/>
        <v/>
      </c>
      <c r="M56" s="101" t="str">
        <f t="shared" si="5"/>
        <v/>
      </c>
      <c r="N56" s="101" t="str">
        <f t="shared" si="6"/>
        <v/>
      </c>
      <c r="O56" s="93" t="str">
        <f>IF(A56="","",IF($G$10&lt;&gt;"Valid","Check score weights/sensitivity",IF(Companies!R47&lt;&gt;1,"Outside selected/approved universe",IF(Rules!B15&lt;&gt;"Yes","Confirm issuer universe",IF(I56&lt;&gt;4,"Missing modules: "&amp;TEXTJOIN(", ",TRUE,IF(NOT(ISNUMBER(E56)),"strength",""),IF(NOT(ISNUMBER(F56)),"valuation",""),IF(NOT(ISNUMBER(G56)),"growth",""),IF(NOT(ISNUMBER(H56)),"profitability","")),IF(P56=1,"Ready","Check module/cohort statuses"))))))</f>
        <v/>
      </c>
      <c r="P56" s="93">
        <f t="array" ref="P56">IF(A56="",0,IFERROR(IF(AND(Companies!R47=1,D56&gt;=MAX(10,Rules!$B$22),$G$10="Valid",Rules!B15="Yes",I56=4,MIN(E56:H56)&gt;=0,MAX(E56:H56)&lt;=100,Q56="Ready",R56="Ready",S56="Ready",T56="Ready",ISNUMBER(U56),U56&gt;=MAX(3,Rules!B12),IFNA(INDEX(Network!$P$14:$P$63,MATCH(A56,Network!$A$14:$A$63,0)),0)=1,IFNA(INDEX(Network!$C$14:$C$63,MATCH(A56,Network!$A$14:$A$63,0)),"No")="Yes",ISNUMBER(IFNA(INDEX(Network!$L$14:$L$63,MATCH(A56,Network!$A$14:$A$63,0)),"n.a.")),Rules!$B$46&gt;0),1,0),0))</f>
        <v>0</v>
      </c>
      <c r="Q56" s="93" t="str">
        <f t="array" ref="Q56">IF(A56="","",IFNA(INDEX(Strength!$V$10:$V$59,MATCH(A56,Strength!$A$10:$A$59,0)),"n.a."))</f>
        <v/>
      </c>
      <c r="R56" s="93" t="str">
        <f t="array" ref="R56">IF(A56="","",IFNA(INDEX(Valuation!$S$15:$S$64,MATCH(A56,Valuation!$A$15:$A$64,0)),"n.a."))</f>
        <v/>
      </c>
      <c r="S56" s="93" t="str">
        <f t="array" ref="S56">IF(A56="","",IFNA(INDEX(Growth!$L$15:$L$64,MATCH(A56,Growth!$A$15:$A$64,0)),"n.a."))</f>
        <v/>
      </c>
      <c r="T56" s="93" t="str">
        <f t="array" ref="T56">IF(A56="","",IFNA(INDEX(Profitability!$V$15:$V$64,MATCH(A56,Profitability!$A$15:$A$64,0)),"n.a."))</f>
        <v/>
      </c>
      <c r="U56" s="93" t="str">
        <f t="array" ref="U56">IF(A56="","",IF(COUNT(IFNA(INDEX(Strength!$J$10:$J$59,MATCH(A56,Strength!$A$10:$A$59,0)),"n.a."),Valuation!$B$7,IFNA(INDEX(Growth!$K$15:$K$64,MATCH(A56,Growth!$A$15:$A$64,0)),"n.a."),IFNA(INDEX(Profitability!$M$15:$M$64,MATCH(A56,Profitability!$A$15:$A$64,0)),"n.a."))&lt;&gt;4,"n.a.",MIN(1+IFNA(INDEX(Strength!$J$10:$J$59,MATCH(A56,Strength!$A$10:$A$59,0)),"n.a."),Valuation!$B$7,IFNA(INDEX(Growth!$K$15:$K$64,MATCH(A56,Growth!$A$15:$A$64,0)),"n.a."),IFNA(INDEX(Profitability!$M$15:$M$64,MATCH(A56,Profitability!$A$15:$A$64,0)),"n.a."))))</f>
        <v/>
      </c>
      <c r="V56" s="93" t="str">
        <f t="shared" si="7"/>
        <v/>
      </c>
    </row>
    <row r="57">
      <c r="A57" s="93" t="str">
        <f>IF(Companies!A48="","",Companies!A48)</f>
        <v/>
      </c>
      <c r="B57" s="93" t="str">
        <f>IF(A57="","",Companies!C48)</f>
        <v/>
      </c>
      <c r="C57" s="93" t="str">
        <f>IF(A57="","",Companies!D48)</f>
        <v/>
      </c>
      <c r="D57" s="101" t="str">
        <f>IF(A57="","",Companies!I48)</f>
        <v/>
      </c>
      <c r="E57" s="101" t="str">
        <f t="array" ref="E57">IF(A57="","",IFNA(INDEX(Strength!$U$10:$U$59,MATCH(A57,Strength!$A$10:$A$59,0)),"n.a."))</f>
        <v/>
      </c>
      <c r="F57" s="101" t="str">
        <f t="array" ref="F57">IF(A57="","",IFNA(INDEX(Valuation!$L$15:$L$64,MATCH(A57,Valuation!$A$15:$A$64,0)),"n.a."))</f>
        <v/>
      </c>
      <c r="G57" s="101" t="str">
        <f t="array" ref="G57">IF(A57="","",IFNA(INDEX(Growth!$J$15:$J$64,MATCH(A57,Growth!$A$15:$A$64,0)),"n.a."))</f>
        <v/>
      </c>
      <c r="H57" s="101" t="str">
        <f t="array" ref="H57">IF(A57="","",IFNA(INDEX(Profitability!$K$15:$K$64,MATCH(A57,Profitability!$A$15:$A$64,0)),"n.a."))</f>
        <v/>
      </c>
      <c r="I57" s="101" t="str">
        <f t="shared" si="1"/>
        <v/>
      </c>
      <c r="J57" s="101" t="str">
        <f t="shared" si="2"/>
        <v/>
      </c>
      <c r="K57" s="101" t="str">
        <f t="shared" si="3"/>
        <v/>
      </c>
      <c r="L57" s="101" t="str">
        <f t="shared" si="4"/>
        <v/>
      </c>
      <c r="M57" s="101" t="str">
        <f t="shared" si="5"/>
        <v/>
      </c>
      <c r="N57" s="101" t="str">
        <f t="shared" si="6"/>
        <v/>
      </c>
      <c r="O57" s="93" t="str">
        <f>IF(A57="","",IF($G$10&lt;&gt;"Valid","Check score weights/sensitivity",IF(Companies!R48&lt;&gt;1,"Outside selected/approved universe",IF(Rules!B15&lt;&gt;"Yes","Confirm issuer universe",IF(I57&lt;&gt;4,"Missing modules: "&amp;TEXTJOIN(", ",TRUE,IF(NOT(ISNUMBER(E57)),"strength",""),IF(NOT(ISNUMBER(F57)),"valuation",""),IF(NOT(ISNUMBER(G57)),"growth",""),IF(NOT(ISNUMBER(H57)),"profitability","")),IF(P57=1,"Ready","Check module/cohort statuses"))))))</f>
        <v/>
      </c>
      <c r="P57" s="93">
        <f t="array" ref="P57">IF(A57="",0,IFERROR(IF(AND(Companies!R48=1,D57&gt;=MAX(10,Rules!$B$22),$G$10="Valid",Rules!B15="Yes",I57=4,MIN(E57:H57)&gt;=0,MAX(E57:H57)&lt;=100,Q57="Ready",R57="Ready",S57="Ready",T57="Ready",ISNUMBER(U57),U57&gt;=MAX(3,Rules!B12),IFNA(INDEX(Network!$P$14:$P$63,MATCH(A57,Network!$A$14:$A$63,0)),0)=1,IFNA(INDEX(Network!$C$14:$C$63,MATCH(A57,Network!$A$14:$A$63,0)),"No")="Yes",ISNUMBER(IFNA(INDEX(Network!$L$14:$L$63,MATCH(A57,Network!$A$14:$A$63,0)),"n.a.")),Rules!$B$46&gt;0),1,0),0))</f>
        <v>0</v>
      </c>
      <c r="Q57" s="93" t="str">
        <f t="array" ref="Q57">IF(A57="","",IFNA(INDEX(Strength!$V$10:$V$59,MATCH(A57,Strength!$A$10:$A$59,0)),"n.a."))</f>
        <v/>
      </c>
      <c r="R57" s="93" t="str">
        <f t="array" ref="R57">IF(A57="","",IFNA(INDEX(Valuation!$S$15:$S$64,MATCH(A57,Valuation!$A$15:$A$64,0)),"n.a."))</f>
        <v/>
      </c>
      <c r="S57" s="93" t="str">
        <f t="array" ref="S57">IF(A57="","",IFNA(INDEX(Growth!$L$15:$L$64,MATCH(A57,Growth!$A$15:$A$64,0)),"n.a."))</f>
        <v/>
      </c>
      <c r="T57" s="93" t="str">
        <f t="array" ref="T57">IF(A57="","",IFNA(INDEX(Profitability!$V$15:$V$64,MATCH(A57,Profitability!$A$15:$A$64,0)),"n.a."))</f>
        <v/>
      </c>
      <c r="U57" s="93" t="str">
        <f t="array" ref="U57">IF(A57="","",IF(COUNT(IFNA(INDEX(Strength!$J$10:$J$59,MATCH(A57,Strength!$A$10:$A$59,0)),"n.a."),Valuation!$B$7,IFNA(INDEX(Growth!$K$15:$K$64,MATCH(A57,Growth!$A$15:$A$64,0)),"n.a."),IFNA(INDEX(Profitability!$M$15:$M$64,MATCH(A57,Profitability!$A$15:$A$64,0)),"n.a."))&lt;&gt;4,"n.a.",MIN(1+IFNA(INDEX(Strength!$J$10:$J$59,MATCH(A57,Strength!$A$10:$A$59,0)),"n.a."),Valuation!$B$7,IFNA(INDEX(Growth!$K$15:$K$64,MATCH(A57,Growth!$A$15:$A$64,0)),"n.a."),IFNA(INDEX(Profitability!$M$15:$M$64,MATCH(A57,Profitability!$A$15:$A$64,0)),"n.a."))))</f>
        <v/>
      </c>
      <c r="V57" s="93" t="str">
        <f t="shared" si="7"/>
        <v/>
      </c>
    </row>
    <row r="58">
      <c r="A58" s="93" t="str">
        <f>IF(Companies!A49="","",Companies!A49)</f>
        <v/>
      </c>
      <c r="B58" s="93" t="str">
        <f>IF(A58="","",Companies!C49)</f>
        <v/>
      </c>
      <c r="C58" s="93" t="str">
        <f>IF(A58="","",Companies!D49)</f>
        <v/>
      </c>
      <c r="D58" s="101" t="str">
        <f>IF(A58="","",Companies!I49)</f>
        <v/>
      </c>
      <c r="E58" s="101" t="str">
        <f t="array" ref="E58">IF(A58="","",IFNA(INDEX(Strength!$U$10:$U$59,MATCH(A58,Strength!$A$10:$A$59,0)),"n.a."))</f>
        <v/>
      </c>
      <c r="F58" s="101" t="str">
        <f t="array" ref="F58">IF(A58="","",IFNA(INDEX(Valuation!$L$15:$L$64,MATCH(A58,Valuation!$A$15:$A$64,0)),"n.a."))</f>
        <v/>
      </c>
      <c r="G58" s="101" t="str">
        <f t="array" ref="G58">IF(A58="","",IFNA(INDEX(Growth!$J$15:$J$64,MATCH(A58,Growth!$A$15:$A$64,0)),"n.a."))</f>
        <v/>
      </c>
      <c r="H58" s="101" t="str">
        <f t="array" ref="H58">IF(A58="","",IFNA(INDEX(Profitability!$K$15:$K$64,MATCH(A58,Profitability!$A$15:$A$64,0)),"n.a."))</f>
        <v/>
      </c>
      <c r="I58" s="101" t="str">
        <f t="shared" si="1"/>
        <v/>
      </c>
      <c r="J58" s="101" t="str">
        <f t="shared" si="2"/>
        <v/>
      </c>
      <c r="K58" s="101" t="str">
        <f t="shared" si="3"/>
        <v/>
      </c>
      <c r="L58" s="101" t="str">
        <f t="shared" si="4"/>
        <v/>
      </c>
      <c r="M58" s="101" t="str">
        <f t="shared" si="5"/>
        <v/>
      </c>
      <c r="N58" s="101" t="str">
        <f t="shared" si="6"/>
        <v/>
      </c>
      <c r="O58" s="93" t="str">
        <f>IF(A58="","",IF($G$10&lt;&gt;"Valid","Check score weights/sensitivity",IF(Companies!R49&lt;&gt;1,"Outside selected/approved universe",IF(Rules!B15&lt;&gt;"Yes","Confirm issuer universe",IF(I58&lt;&gt;4,"Missing modules: "&amp;TEXTJOIN(", ",TRUE,IF(NOT(ISNUMBER(E58)),"strength",""),IF(NOT(ISNUMBER(F58)),"valuation",""),IF(NOT(ISNUMBER(G58)),"growth",""),IF(NOT(ISNUMBER(H58)),"profitability","")),IF(P58=1,"Ready","Check module/cohort statuses"))))))</f>
        <v/>
      </c>
      <c r="P58" s="93">
        <f t="array" ref="P58">IF(A58="",0,IFERROR(IF(AND(Companies!R49=1,D58&gt;=MAX(10,Rules!$B$22),$G$10="Valid",Rules!B15="Yes",I58=4,MIN(E58:H58)&gt;=0,MAX(E58:H58)&lt;=100,Q58="Ready",R58="Ready",S58="Ready",T58="Ready",ISNUMBER(U58),U58&gt;=MAX(3,Rules!B12),IFNA(INDEX(Network!$P$14:$P$63,MATCH(A58,Network!$A$14:$A$63,0)),0)=1,IFNA(INDEX(Network!$C$14:$C$63,MATCH(A58,Network!$A$14:$A$63,0)),"No")="Yes",ISNUMBER(IFNA(INDEX(Network!$L$14:$L$63,MATCH(A58,Network!$A$14:$A$63,0)),"n.a.")),Rules!$B$46&gt;0),1,0),0))</f>
        <v>0</v>
      </c>
      <c r="Q58" s="93" t="str">
        <f t="array" ref="Q58">IF(A58="","",IFNA(INDEX(Strength!$V$10:$V$59,MATCH(A58,Strength!$A$10:$A$59,0)),"n.a."))</f>
        <v/>
      </c>
      <c r="R58" s="93" t="str">
        <f t="array" ref="R58">IF(A58="","",IFNA(INDEX(Valuation!$S$15:$S$64,MATCH(A58,Valuation!$A$15:$A$64,0)),"n.a."))</f>
        <v/>
      </c>
      <c r="S58" s="93" t="str">
        <f t="array" ref="S58">IF(A58="","",IFNA(INDEX(Growth!$L$15:$L$64,MATCH(A58,Growth!$A$15:$A$64,0)),"n.a."))</f>
        <v/>
      </c>
      <c r="T58" s="93" t="str">
        <f t="array" ref="T58">IF(A58="","",IFNA(INDEX(Profitability!$V$15:$V$64,MATCH(A58,Profitability!$A$15:$A$64,0)),"n.a."))</f>
        <v/>
      </c>
      <c r="U58" s="93" t="str">
        <f t="array" ref="U58">IF(A58="","",IF(COUNT(IFNA(INDEX(Strength!$J$10:$J$59,MATCH(A58,Strength!$A$10:$A$59,0)),"n.a."),Valuation!$B$7,IFNA(INDEX(Growth!$K$15:$K$64,MATCH(A58,Growth!$A$15:$A$64,0)),"n.a."),IFNA(INDEX(Profitability!$M$15:$M$64,MATCH(A58,Profitability!$A$15:$A$64,0)),"n.a."))&lt;&gt;4,"n.a.",MIN(1+IFNA(INDEX(Strength!$J$10:$J$59,MATCH(A58,Strength!$A$10:$A$59,0)),"n.a."),Valuation!$B$7,IFNA(INDEX(Growth!$K$15:$K$64,MATCH(A58,Growth!$A$15:$A$64,0)),"n.a."),IFNA(INDEX(Profitability!$M$15:$M$64,MATCH(A58,Profitability!$A$15:$A$64,0)),"n.a."))))</f>
        <v/>
      </c>
      <c r="V58" s="93" t="str">
        <f t="shared" si="7"/>
        <v/>
      </c>
    </row>
    <row r="59">
      <c r="A59" s="93" t="str">
        <f>IF(Companies!A50="","",Companies!A50)</f>
        <v/>
      </c>
      <c r="B59" s="93" t="str">
        <f>IF(A59="","",Companies!C50)</f>
        <v/>
      </c>
      <c r="C59" s="93" t="str">
        <f>IF(A59="","",Companies!D50)</f>
        <v/>
      </c>
      <c r="D59" s="101" t="str">
        <f>IF(A59="","",Companies!I50)</f>
        <v/>
      </c>
      <c r="E59" s="101" t="str">
        <f t="array" ref="E59">IF(A59="","",IFNA(INDEX(Strength!$U$10:$U$59,MATCH(A59,Strength!$A$10:$A$59,0)),"n.a."))</f>
        <v/>
      </c>
      <c r="F59" s="101" t="str">
        <f t="array" ref="F59">IF(A59="","",IFNA(INDEX(Valuation!$L$15:$L$64,MATCH(A59,Valuation!$A$15:$A$64,0)),"n.a."))</f>
        <v/>
      </c>
      <c r="G59" s="101" t="str">
        <f t="array" ref="G59">IF(A59="","",IFNA(INDEX(Growth!$J$15:$J$64,MATCH(A59,Growth!$A$15:$A$64,0)),"n.a."))</f>
        <v/>
      </c>
      <c r="H59" s="101" t="str">
        <f t="array" ref="H59">IF(A59="","",IFNA(INDEX(Profitability!$K$15:$K$64,MATCH(A59,Profitability!$A$15:$A$64,0)),"n.a."))</f>
        <v/>
      </c>
      <c r="I59" s="101" t="str">
        <f t="shared" si="1"/>
        <v/>
      </c>
      <c r="J59" s="101" t="str">
        <f t="shared" si="2"/>
        <v/>
      </c>
      <c r="K59" s="101" t="str">
        <f t="shared" si="3"/>
        <v/>
      </c>
      <c r="L59" s="101" t="str">
        <f t="shared" si="4"/>
        <v/>
      </c>
      <c r="M59" s="101" t="str">
        <f t="shared" si="5"/>
        <v/>
      </c>
      <c r="N59" s="101" t="str">
        <f t="shared" si="6"/>
        <v/>
      </c>
      <c r="O59" s="93" t="str">
        <f>IF(A59="","",IF($G$10&lt;&gt;"Valid","Check score weights/sensitivity",IF(Companies!R50&lt;&gt;1,"Outside selected/approved universe",IF(Rules!B15&lt;&gt;"Yes","Confirm issuer universe",IF(I59&lt;&gt;4,"Missing modules: "&amp;TEXTJOIN(", ",TRUE,IF(NOT(ISNUMBER(E59)),"strength",""),IF(NOT(ISNUMBER(F59)),"valuation",""),IF(NOT(ISNUMBER(G59)),"growth",""),IF(NOT(ISNUMBER(H59)),"profitability","")),IF(P59=1,"Ready","Check module/cohort statuses"))))))</f>
        <v/>
      </c>
      <c r="P59" s="93">
        <f t="array" ref="P59">IF(A59="",0,IFERROR(IF(AND(Companies!R50=1,D59&gt;=MAX(10,Rules!$B$22),$G$10="Valid",Rules!B15="Yes",I59=4,MIN(E59:H59)&gt;=0,MAX(E59:H59)&lt;=100,Q59="Ready",R59="Ready",S59="Ready",T59="Ready",ISNUMBER(U59),U59&gt;=MAX(3,Rules!B12),IFNA(INDEX(Network!$P$14:$P$63,MATCH(A59,Network!$A$14:$A$63,0)),0)=1,IFNA(INDEX(Network!$C$14:$C$63,MATCH(A59,Network!$A$14:$A$63,0)),"No")="Yes",ISNUMBER(IFNA(INDEX(Network!$L$14:$L$63,MATCH(A59,Network!$A$14:$A$63,0)),"n.a.")),Rules!$B$46&gt;0),1,0),0))</f>
        <v>0</v>
      </c>
      <c r="Q59" s="93" t="str">
        <f t="array" ref="Q59">IF(A59="","",IFNA(INDEX(Strength!$V$10:$V$59,MATCH(A59,Strength!$A$10:$A$59,0)),"n.a."))</f>
        <v/>
      </c>
      <c r="R59" s="93" t="str">
        <f t="array" ref="R59">IF(A59="","",IFNA(INDEX(Valuation!$S$15:$S$64,MATCH(A59,Valuation!$A$15:$A$64,0)),"n.a."))</f>
        <v/>
      </c>
      <c r="S59" s="93" t="str">
        <f t="array" ref="S59">IF(A59="","",IFNA(INDEX(Growth!$L$15:$L$64,MATCH(A59,Growth!$A$15:$A$64,0)),"n.a."))</f>
        <v/>
      </c>
      <c r="T59" s="93" t="str">
        <f t="array" ref="T59">IF(A59="","",IFNA(INDEX(Profitability!$V$15:$V$64,MATCH(A59,Profitability!$A$15:$A$64,0)),"n.a."))</f>
        <v/>
      </c>
      <c r="U59" s="93" t="str">
        <f t="array" ref="U59">IF(A59="","",IF(COUNT(IFNA(INDEX(Strength!$J$10:$J$59,MATCH(A59,Strength!$A$10:$A$59,0)),"n.a."),Valuation!$B$7,IFNA(INDEX(Growth!$K$15:$K$64,MATCH(A59,Growth!$A$15:$A$64,0)),"n.a."),IFNA(INDEX(Profitability!$M$15:$M$64,MATCH(A59,Profitability!$A$15:$A$64,0)),"n.a."))&lt;&gt;4,"n.a.",MIN(1+IFNA(INDEX(Strength!$J$10:$J$59,MATCH(A59,Strength!$A$10:$A$59,0)),"n.a."),Valuation!$B$7,IFNA(INDEX(Growth!$K$15:$K$64,MATCH(A59,Growth!$A$15:$A$64,0)),"n.a."),IFNA(INDEX(Profitability!$M$15:$M$64,MATCH(A59,Profitability!$A$15:$A$64,0)),"n.a."))))</f>
        <v/>
      </c>
      <c r="V59" s="93" t="str">
        <f t="shared" si="7"/>
        <v/>
      </c>
    </row>
    <row r="60">
      <c r="A60" s="93" t="str">
        <f>IF(Companies!A51="","",Companies!A51)</f>
        <v/>
      </c>
      <c r="B60" s="93" t="str">
        <f>IF(A60="","",Companies!C51)</f>
        <v/>
      </c>
      <c r="C60" s="93" t="str">
        <f>IF(A60="","",Companies!D51)</f>
        <v/>
      </c>
      <c r="D60" s="101" t="str">
        <f>IF(A60="","",Companies!I51)</f>
        <v/>
      </c>
      <c r="E60" s="101" t="str">
        <f t="array" ref="E60">IF(A60="","",IFNA(INDEX(Strength!$U$10:$U$59,MATCH(A60,Strength!$A$10:$A$59,0)),"n.a."))</f>
        <v/>
      </c>
      <c r="F60" s="101" t="str">
        <f t="array" ref="F60">IF(A60="","",IFNA(INDEX(Valuation!$L$15:$L$64,MATCH(A60,Valuation!$A$15:$A$64,0)),"n.a."))</f>
        <v/>
      </c>
      <c r="G60" s="101" t="str">
        <f t="array" ref="G60">IF(A60="","",IFNA(INDEX(Growth!$J$15:$J$64,MATCH(A60,Growth!$A$15:$A$64,0)),"n.a."))</f>
        <v/>
      </c>
      <c r="H60" s="101" t="str">
        <f t="array" ref="H60">IF(A60="","",IFNA(INDEX(Profitability!$K$15:$K$64,MATCH(A60,Profitability!$A$15:$A$64,0)),"n.a."))</f>
        <v/>
      </c>
      <c r="I60" s="101" t="str">
        <f t="shared" si="1"/>
        <v/>
      </c>
      <c r="J60" s="101" t="str">
        <f t="shared" si="2"/>
        <v/>
      </c>
      <c r="K60" s="101" t="str">
        <f t="shared" si="3"/>
        <v/>
      </c>
      <c r="L60" s="101" t="str">
        <f t="shared" si="4"/>
        <v/>
      </c>
      <c r="M60" s="101" t="str">
        <f t="shared" si="5"/>
        <v/>
      </c>
      <c r="N60" s="101" t="str">
        <f t="shared" si="6"/>
        <v/>
      </c>
      <c r="O60" s="93" t="str">
        <f>IF(A60="","",IF($G$10&lt;&gt;"Valid","Check score weights/sensitivity",IF(Companies!R51&lt;&gt;1,"Outside selected/approved universe",IF(Rules!B15&lt;&gt;"Yes","Confirm issuer universe",IF(I60&lt;&gt;4,"Missing modules: "&amp;TEXTJOIN(", ",TRUE,IF(NOT(ISNUMBER(E60)),"strength",""),IF(NOT(ISNUMBER(F60)),"valuation",""),IF(NOT(ISNUMBER(G60)),"growth",""),IF(NOT(ISNUMBER(H60)),"profitability","")),IF(P60=1,"Ready","Check module/cohort statuses"))))))</f>
        <v/>
      </c>
      <c r="P60" s="93">
        <f t="array" ref="P60">IF(A60="",0,IFERROR(IF(AND(Companies!R51=1,D60&gt;=MAX(10,Rules!$B$22),$G$10="Valid",Rules!B15="Yes",I60=4,MIN(E60:H60)&gt;=0,MAX(E60:H60)&lt;=100,Q60="Ready",R60="Ready",S60="Ready",T60="Ready",ISNUMBER(U60),U60&gt;=MAX(3,Rules!B12),IFNA(INDEX(Network!$P$14:$P$63,MATCH(A60,Network!$A$14:$A$63,0)),0)=1,IFNA(INDEX(Network!$C$14:$C$63,MATCH(A60,Network!$A$14:$A$63,0)),"No")="Yes",ISNUMBER(IFNA(INDEX(Network!$L$14:$L$63,MATCH(A60,Network!$A$14:$A$63,0)),"n.a.")),Rules!$B$46&gt;0),1,0),0))</f>
        <v>0</v>
      </c>
      <c r="Q60" s="93" t="str">
        <f t="array" ref="Q60">IF(A60="","",IFNA(INDEX(Strength!$V$10:$V$59,MATCH(A60,Strength!$A$10:$A$59,0)),"n.a."))</f>
        <v/>
      </c>
      <c r="R60" s="93" t="str">
        <f t="array" ref="R60">IF(A60="","",IFNA(INDEX(Valuation!$S$15:$S$64,MATCH(A60,Valuation!$A$15:$A$64,0)),"n.a."))</f>
        <v/>
      </c>
      <c r="S60" s="93" t="str">
        <f t="array" ref="S60">IF(A60="","",IFNA(INDEX(Growth!$L$15:$L$64,MATCH(A60,Growth!$A$15:$A$64,0)),"n.a."))</f>
        <v/>
      </c>
      <c r="T60" s="93" t="str">
        <f t="array" ref="T60">IF(A60="","",IFNA(INDEX(Profitability!$V$15:$V$64,MATCH(A60,Profitability!$A$15:$A$64,0)),"n.a."))</f>
        <v/>
      </c>
      <c r="U60" s="93" t="str">
        <f t="array" ref="U60">IF(A60="","",IF(COUNT(IFNA(INDEX(Strength!$J$10:$J$59,MATCH(A60,Strength!$A$10:$A$59,0)),"n.a."),Valuation!$B$7,IFNA(INDEX(Growth!$K$15:$K$64,MATCH(A60,Growth!$A$15:$A$64,0)),"n.a."),IFNA(INDEX(Profitability!$M$15:$M$64,MATCH(A60,Profitability!$A$15:$A$64,0)),"n.a."))&lt;&gt;4,"n.a.",MIN(1+IFNA(INDEX(Strength!$J$10:$J$59,MATCH(A60,Strength!$A$10:$A$59,0)),"n.a."),Valuation!$B$7,IFNA(INDEX(Growth!$K$15:$K$64,MATCH(A60,Growth!$A$15:$A$64,0)),"n.a."),IFNA(INDEX(Profitability!$M$15:$M$64,MATCH(A60,Profitability!$A$15:$A$64,0)),"n.a."))))</f>
        <v/>
      </c>
      <c r="V60" s="93" t="str">
        <f t="shared" si="7"/>
        <v/>
      </c>
    </row>
    <row r="61">
      <c r="A61" s="93" t="str">
        <f>IF(Companies!A52="","",Companies!A52)</f>
        <v/>
      </c>
      <c r="B61" s="93" t="str">
        <f>IF(A61="","",Companies!C52)</f>
        <v/>
      </c>
      <c r="C61" s="93" t="str">
        <f>IF(A61="","",Companies!D52)</f>
        <v/>
      </c>
      <c r="D61" s="101" t="str">
        <f>IF(A61="","",Companies!I52)</f>
        <v/>
      </c>
      <c r="E61" s="101" t="str">
        <f t="array" ref="E61">IF(A61="","",IFNA(INDEX(Strength!$U$10:$U$59,MATCH(A61,Strength!$A$10:$A$59,0)),"n.a."))</f>
        <v/>
      </c>
      <c r="F61" s="101" t="str">
        <f t="array" ref="F61">IF(A61="","",IFNA(INDEX(Valuation!$L$15:$L$64,MATCH(A61,Valuation!$A$15:$A$64,0)),"n.a."))</f>
        <v/>
      </c>
      <c r="G61" s="101" t="str">
        <f t="array" ref="G61">IF(A61="","",IFNA(INDEX(Growth!$J$15:$J$64,MATCH(A61,Growth!$A$15:$A$64,0)),"n.a."))</f>
        <v/>
      </c>
      <c r="H61" s="101" t="str">
        <f t="array" ref="H61">IF(A61="","",IFNA(INDEX(Profitability!$K$15:$K$64,MATCH(A61,Profitability!$A$15:$A$64,0)),"n.a."))</f>
        <v/>
      </c>
      <c r="I61" s="101" t="str">
        <f t="shared" si="1"/>
        <v/>
      </c>
      <c r="J61" s="101" t="str">
        <f t="shared" si="2"/>
        <v/>
      </c>
      <c r="K61" s="101" t="str">
        <f t="shared" si="3"/>
        <v/>
      </c>
      <c r="L61" s="101" t="str">
        <f t="shared" si="4"/>
        <v/>
      </c>
      <c r="M61" s="101" t="str">
        <f t="shared" si="5"/>
        <v/>
      </c>
      <c r="N61" s="101" t="str">
        <f t="shared" si="6"/>
        <v/>
      </c>
      <c r="O61" s="93" t="str">
        <f>IF(A61="","",IF($G$10&lt;&gt;"Valid","Check score weights/sensitivity",IF(Companies!R52&lt;&gt;1,"Outside selected/approved universe",IF(Rules!B15&lt;&gt;"Yes","Confirm issuer universe",IF(I61&lt;&gt;4,"Missing modules: "&amp;TEXTJOIN(", ",TRUE,IF(NOT(ISNUMBER(E61)),"strength",""),IF(NOT(ISNUMBER(F61)),"valuation",""),IF(NOT(ISNUMBER(G61)),"growth",""),IF(NOT(ISNUMBER(H61)),"profitability","")),IF(P61=1,"Ready","Check module/cohort statuses"))))))</f>
        <v/>
      </c>
      <c r="P61" s="93">
        <f t="array" ref="P61">IF(A61="",0,IFERROR(IF(AND(Companies!R52=1,D61&gt;=MAX(10,Rules!$B$22),$G$10="Valid",Rules!B15="Yes",I61=4,MIN(E61:H61)&gt;=0,MAX(E61:H61)&lt;=100,Q61="Ready",R61="Ready",S61="Ready",T61="Ready",ISNUMBER(U61),U61&gt;=MAX(3,Rules!B12),IFNA(INDEX(Network!$P$14:$P$63,MATCH(A61,Network!$A$14:$A$63,0)),0)=1,IFNA(INDEX(Network!$C$14:$C$63,MATCH(A61,Network!$A$14:$A$63,0)),"No")="Yes",ISNUMBER(IFNA(INDEX(Network!$L$14:$L$63,MATCH(A61,Network!$A$14:$A$63,0)),"n.a.")),Rules!$B$46&gt;0),1,0),0))</f>
        <v>0</v>
      </c>
      <c r="Q61" s="93" t="str">
        <f t="array" ref="Q61">IF(A61="","",IFNA(INDEX(Strength!$V$10:$V$59,MATCH(A61,Strength!$A$10:$A$59,0)),"n.a."))</f>
        <v/>
      </c>
      <c r="R61" s="93" t="str">
        <f t="array" ref="R61">IF(A61="","",IFNA(INDEX(Valuation!$S$15:$S$64,MATCH(A61,Valuation!$A$15:$A$64,0)),"n.a."))</f>
        <v/>
      </c>
      <c r="S61" s="93" t="str">
        <f t="array" ref="S61">IF(A61="","",IFNA(INDEX(Growth!$L$15:$L$64,MATCH(A61,Growth!$A$15:$A$64,0)),"n.a."))</f>
        <v/>
      </c>
      <c r="T61" s="93" t="str">
        <f t="array" ref="T61">IF(A61="","",IFNA(INDEX(Profitability!$V$15:$V$64,MATCH(A61,Profitability!$A$15:$A$64,0)),"n.a."))</f>
        <v/>
      </c>
      <c r="U61" s="93" t="str">
        <f t="array" ref="U61">IF(A61="","",IF(COUNT(IFNA(INDEX(Strength!$J$10:$J$59,MATCH(A61,Strength!$A$10:$A$59,0)),"n.a."),Valuation!$B$7,IFNA(INDEX(Growth!$K$15:$K$64,MATCH(A61,Growth!$A$15:$A$64,0)),"n.a."),IFNA(INDEX(Profitability!$M$15:$M$64,MATCH(A61,Profitability!$A$15:$A$64,0)),"n.a."))&lt;&gt;4,"n.a.",MIN(1+IFNA(INDEX(Strength!$J$10:$J$59,MATCH(A61,Strength!$A$10:$A$59,0)),"n.a."),Valuation!$B$7,IFNA(INDEX(Growth!$K$15:$K$64,MATCH(A61,Growth!$A$15:$A$64,0)),"n.a."),IFNA(INDEX(Profitability!$M$15:$M$64,MATCH(A61,Profitability!$A$15:$A$64,0)),"n.a."))))</f>
        <v/>
      </c>
      <c r="V61" s="93" t="str">
        <f t="shared" si="7"/>
        <v/>
      </c>
    </row>
    <row r="62">
      <c r="A62" s="93" t="str">
        <f>IF(Companies!A53="","",Companies!A53)</f>
        <v/>
      </c>
      <c r="B62" s="93" t="str">
        <f>IF(A62="","",Companies!C53)</f>
        <v/>
      </c>
      <c r="C62" s="93" t="str">
        <f>IF(A62="","",Companies!D53)</f>
        <v/>
      </c>
      <c r="D62" s="101" t="str">
        <f>IF(A62="","",Companies!I53)</f>
        <v/>
      </c>
      <c r="E62" s="101" t="str">
        <f t="array" ref="E62">IF(A62="","",IFNA(INDEX(Strength!$U$10:$U$59,MATCH(A62,Strength!$A$10:$A$59,0)),"n.a."))</f>
        <v/>
      </c>
      <c r="F62" s="101" t="str">
        <f t="array" ref="F62">IF(A62="","",IFNA(INDEX(Valuation!$L$15:$L$64,MATCH(A62,Valuation!$A$15:$A$64,0)),"n.a."))</f>
        <v/>
      </c>
      <c r="G62" s="101" t="str">
        <f t="array" ref="G62">IF(A62="","",IFNA(INDEX(Growth!$J$15:$J$64,MATCH(A62,Growth!$A$15:$A$64,0)),"n.a."))</f>
        <v/>
      </c>
      <c r="H62" s="101" t="str">
        <f t="array" ref="H62">IF(A62="","",IFNA(INDEX(Profitability!$K$15:$K$64,MATCH(A62,Profitability!$A$15:$A$64,0)),"n.a."))</f>
        <v/>
      </c>
      <c r="I62" s="101" t="str">
        <f t="shared" si="1"/>
        <v/>
      </c>
      <c r="J62" s="101" t="str">
        <f t="shared" si="2"/>
        <v/>
      </c>
      <c r="K62" s="101" t="str">
        <f t="shared" si="3"/>
        <v/>
      </c>
      <c r="L62" s="101" t="str">
        <f t="shared" si="4"/>
        <v/>
      </c>
      <c r="M62" s="101" t="str">
        <f t="shared" si="5"/>
        <v/>
      </c>
      <c r="N62" s="101" t="str">
        <f t="shared" si="6"/>
        <v/>
      </c>
      <c r="O62" s="93" t="str">
        <f>IF(A62="","",IF($G$10&lt;&gt;"Valid","Check score weights/sensitivity",IF(Companies!R53&lt;&gt;1,"Outside selected/approved universe",IF(Rules!B15&lt;&gt;"Yes","Confirm issuer universe",IF(I62&lt;&gt;4,"Missing modules: "&amp;TEXTJOIN(", ",TRUE,IF(NOT(ISNUMBER(E62)),"strength",""),IF(NOT(ISNUMBER(F62)),"valuation",""),IF(NOT(ISNUMBER(G62)),"growth",""),IF(NOT(ISNUMBER(H62)),"profitability","")),IF(P62=1,"Ready","Check module/cohort statuses"))))))</f>
        <v/>
      </c>
      <c r="P62" s="93">
        <f t="array" ref="P62">IF(A62="",0,IFERROR(IF(AND(Companies!R53=1,D62&gt;=MAX(10,Rules!$B$22),$G$10="Valid",Rules!B15="Yes",I62=4,MIN(E62:H62)&gt;=0,MAX(E62:H62)&lt;=100,Q62="Ready",R62="Ready",S62="Ready",T62="Ready",ISNUMBER(U62),U62&gt;=MAX(3,Rules!B12),IFNA(INDEX(Network!$P$14:$P$63,MATCH(A62,Network!$A$14:$A$63,0)),0)=1,IFNA(INDEX(Network!$C$14:$C$63,MATCH(A62,Network!$A$14:$A$63,0)),"No")="Yes",ISNUMBER(IFNA(INDEX(Network!$L$14:$L$63,MATCH(A62,Network!$A$14:$A$63,0)),"n.a.")),Rules!$B$46&gt;0),1,0),0))</f>
        <v>0</v>
      </c>
      <c r="Q62" s="93" t="str">
        <f t="array" ref="Q62">IF(A62="","",IFNA(INDEX(Strength!$V$10:$V$59,MATCH(A62,Strength!$A$10:$A$59,0)),"n.a."))</f>
        <v/>
      </c>
      <c r="R62" s="93" t="str">
        <f t="array" ref="R62">IF(A62="","",IFNA(INDEX(Valuation!$S$15:$S$64,MATCH(A62,Valuation!$A$15:$A$64,0)),"n.a."))</f>
        <v/>
      </c>
      <c r="S62" s="93" t="str">
        <f t="array" ref="S62">IF(A62="","",IFNA(INDEX(Growth!$L$15:$L$64,MATCH(A62,Growth!$A$15:$A$64,0)),"n.a."))</f>
        <v/>
      </c>
      <c r="T62" s="93" t="str">
        <f t="array" ref="T62">IF(A62="","",IFNA(INDEX(Profitability!$V$15:$V$64,MATCH(A62,Profitability!$A$15:$A$64,0)),"n.a."))</f>
        <v/>
      </c>
      <c r="U62" s="93" t="str">
        <f t="array" ref="U62">IF(A62="","",IF(COUNT(IFNA(INDEX(Strength!$J$10:$J$59,MATCH(A62,Strength!$A$10:$A$59,0)),"n.a."),Valuation!$B$7,IFNA(INDEX(Growth!$K$15:$K$64,MATCH(A62,Growth!$A$15:$A$64,0)),"n.a."),IFNA(INDEX(Profitability!$M$15:$M$64,MATCH(A62,Profitability!$A$15:$A$64,0)),"n.a."))&lt;&gt;4,"n.a.",MIN(1+IFNA(INDEX(Strength!$J$10:$J$59,MATCH(A62,Strength!$A$10:$A$59,0)),"n.a."),Valuation!$B$7,IFNA(INDEX(Growth!$K$15:$K$64,MATCH(A62,Growth!$A$15:$A$64,0)),"n.a."),IFNA(INDEX(Profitability!$M$15:$M$64,MATCH(A62,Profitability!$A$15:$A$64,0)),"n.a."))))</f>
        <v/>
      </c>
      <c r="V62" s="93" t="str">
        <f t="shared" si="7"/>
        <v/>
      </c>
    </row>
    <row r="63">
      <c r="A63" s="93" t="str">
        <f>IF(Companies!A54="","",Companies!A54)</f>
        <v/>
      </c>
      <c r="B63" s="93" t="str">
        <f>IF(A63="","",Companies!C54)</f>
        <v/>
      </c>
      <c r="C63" s="93" t="str">
        <f>IF(A63="","",Companies!D54)</f>
        <v/>
      </c>
      <c r="D63" s="101" t="str">
        <f>IF(A63="","",Companies!I54)</f>
        <v/>
      </c>
      <c r="E63" s="101" t="str">
        <f t="array" ref="E63">IF(A63="","",IFNA(INDEX(Strength!$U$10:$U$59,MATCH(A63,Strength!$A$10:$A$59,0)),"n.a."))</f>
        <v/>
      </c>
      <c r="F63" s="101" t="str">
        <f t="array" ref="F63">IF(A63="","",IFNA(INDEX(Valuation!$L$15:$L$64,MATCH(A63,Valuation!$A$15:$A$64,0)),"n.a."))</f>
        <v/>
      </c>
      <c r="G63" s="101" t="str">
        <f t="array" ref="G63">IF(A63="","",IFNA(INDEX(Growth!$J$15:$J$64,MATCH(A63,Growth!$A$15:$A$64,0)),"n.a."))</f>
        <v/>
      </c>
      <c r="H63" s="101" t="str">
        <f t="array" ref="H63">IF(A63="","",IFNA(INDEX(Profitability!$K$15:$K$64,MATCH(A63,Profitability!$A$15:$A$64,0)),"n.a."))</f>
        <v/>
      </c>
      <c r="I63" s="101" t="str">
        <f t="shared" si="1"/>
        <v/>
      </c>
      <c r="J63" s="101" t="str">
        <f t="shared" si="2"/>
        <v/>
      </c>
      <c r="K63" s="101" t="str">
        <f t="shared" si="3"/>
        <v/>
      </c>
      <c r="L63" s="101" t="str">
        <f t="shared" si="4"/>
        <v/>
      </c>
      <c r="M63" s="101" t="str">
        <f t="shared" si="5"/>
        <v/>
      </c>
      <c r="N63" s="101" t="str">
        <f t="shared" si="6"/>
        <v/>
      </c>
      <c r="O63" s="93" t="str">
        <f>IF(A63="","",IF($G$10&lt;&gt;"Valid","Check score weights/sensitivity",IF(Companies!R54&lt;&gt;1,"Outside selected/approved universe",IF(Rules!B15&lt;&gt;"Yes","Confirm issuer universe",IF(I63&lt;&gt;4,"Missing modules: "&amp;TEXTJOIN(", ",TRUE,IF(NOT(ISNUMBER(E63)),"strength",""),IF(NOT(ISNUMBER(F63)),"valuation",""),IF(NOT(ISNUMBER(G63)),"growth",""),IF(NOT(ISNUMBER(H63)),"profitability","")),IF(P63=1,"Ready","Check module/cohort statuses"))))))</f>
        <v/>
      </c>
      <c r="P63" s="93">
        <f t="array" ref="P63">IF(A63="",0,IFERROR(IF(AND(Companies!R54=1,D63&gt;=MAX(10,Rules!$B$22),$G$10="Valid",Rules!B15="Yes",I63=4,MIN(E63:H63)&gt;=0,MAX(E63:H63)&lt;=100,Q63="Ready",R63="Ready",S63="Ready",T63="Ready",ISNUMBER(U63),U63&gt;=MAX(3,Rules!B12),IFNA(INDEX(Network!$P$14:$P$63,MATCH(A63,Network!$A$14:$A$63,0)),0)=1,IFNA(INDEX(Network!$C$14:$C$63,MATCH(A63,Network!$A$14:$A$63,0)),"No")="Yes",ISNUMBER(IFNA(INDEX(Network!$L$14:$L$63,MATCH(A63,Network!$A$14:$A$63,0)),"n.a.")),Rules!$B$46&gt;0),1,0),0))</f>
        <v>0</v>
      </c>
      <c r="Q63" s="93" t="str">
        <f t="array" ref="Q63">IF(A63="","",IFNA(INDEX(Strength!$V$10:$V$59,MATCH(A63,Strength!$A$10:$A$59,0)),"n.a."))</f>
        <v/>
      </c>
      <c r="R63" s="93" t="str">
        <f t="array" ref="R63">IF(A63="","",IFNA(INDEX(Valuation!$S$15:$S$64,MATCH(A63,Valuation!$A$15:$A$64,0)),"n.a."))</f>
        <v/>
      </c>
      <c r="S63" s="93" t="str">
        <f t="array" ref="S63">IF(A63="","",IFNA(INDEX(Growth!$L$15:$L$64,MATCH(A63,Growth!$A$15:$A$64,0)),"n.a."))</f>
        <v/>
      </c>
      <c r="T63" s="93" t="str">
        <f t="array" ref="T63">IF(A63="","",IFNA(INDEX(Profitability!$V$15:$V$64,MATCH(A63,Profitability!$A$15:$A$64,0)),"n.a."))</f>
        <v/>
      </c>
      <c r="U63" s="93" t="str">
        <f t="array" ref="U63">IF(A63="","",IF(COUNT(IFNA(INDEX(Strength!$J$10:$J$59,MATCH(A63,Strength!$A$10:$A$59,0)),"n.a."),Valuation!$B$7,IFNA(INDEX(Growth!$K$15:$K$64,MATCH(A63,Growth!$A$15:$A$64,0)),"n.a."),IFNA(INDEX(Profitability!$M$15:$M$64,MATCH(A63,Profitability!$A$15:$A$64,0)),"n.a."))&lt;&gt;4,"n.a.",MIN(1+IFNA(INDEX(Strength!$J$10:$J$59,MATCH(A63,Strength!$A$10:$A$59,0)),"n.a."),Valuation!$B$7,IFNA(INDEX(Growth!$K$15:$K$64,MATCH(A63,Growth!$A$15:$A$64,0)),"n.a."),IFNA(INDEX(Profitability!$M$15:$M$64,MATCH(A63,Profitability!$A$15:$A$64,0)),"n.a."))))</f>
        <v/>
      </c>
      <c r="V63" s="93" t="str">
        <f t="shared" si="7"/>
        <v/>
      </c>
    </row>
    <row r="64">
      <c r="A64" s="93" t="str">
        <f>IF(Companies!A55="","",Companies!A55)</f>
        <v/>
      </c>
      <c r="B64" s="93" t="str">
        <f>IF(A64="","",Companies!C55)</f>
        <v/>
      </c>
      <c r="C64" s="93" t="str">
        <f>IF(A64="","",Companies!D55)</f>
        <v/>
      </c>
      <c r="D64" s="101" t="str">
        <f>IF(A64="","",Companies!I55)</f>
        <v/>
      </c>
      <c r="E64" s="101" t="str">
        <f t="array" ref="E64">IF(A64="","",IFNA(INDEX(Strength!$U$10:$U$59,MATCH(A64,Strength!$A$10:$A$59,0)),"n.a."))</f>
        <v/>
      </c>
      <c r="F64" s="101" t="str">
        <f t="array" ref="F64">IF(A64="","",IFNA(INDEX(Valuation!$L$15:$L$64,MATCH(A64,Valuation!$A$15:$A$64,0)),"n.a."))</f>
        <v/>
      </c>
      <c r="G64" s="101" t="str">
        <f t="array" ref="G64">IF(A64="","",IFNA(INDEX(Growth!$J$15:$J$64,MATCH(A64,Growth!$A$15:$A$64,0)),"n.a."))</f>
        <v/>
      </c>
      <c r="H64" s="101" t="str">
        <f t="array" ref="H64">IF(A64="","",IFNA(INDEX(Profitability!$K$15:$K$64,MATCH(A64,Profitability!$A$15:$A$64,0)),"n.a."))</f>
        <v/>
      </c>
      <c r="I64" s="101" t="str">
        <f t="shared" si="1"/>
        <v/>
      </c>
      <c r="J64" s="101" t="str">
        <f t="shared" si="2"/>
        <v/>
      </c>
      <c r="K64" s="101" t="str">
        <f t="shared" si="3"/>
        <v/>
      </c>
      <c r="L64" s="101" t="str">
        <f t="shared" si="4"/>
        <v/>
      </c>
      <c r="M64" s="101" t="str">
        <f t="shared" si="5"/>
        <v/>
      </c>
      <c r="N64" s="101" t="str">
        <f t="shared" si="6"/>
        <v/>
      </c>
      <c r="O64" s="93" t="str">
        <f>IF(A64="","",IF($G$10&lt;&gt;"Valid","Check score weights/sensitivity",IF(Companies!R55&lt;&gt;1,"Outside selected/approved universe",IF(Rules!B15&lt;&gt;"Yes","Confirm issuer universe",IF(I64&lt;&gt;4,"Missing modules: "&amp;TEXTJOIN(", ",TRUE,IF(NOT(ISNUMBER(E64)),"strength",""),IF(NOT(ISNUMBER(F64)),"valuation",""),IF(NOT(ISNUMBER(G64)),"growth",""),IF(NOT(ISNUMBER(H64)),"profitability","")),IF(P64=1,"Ready","Check module/cohort statuses"))))))</f>
        <v/>
      </c>
      <c r="P64" s="93">
        <f t="array" ref="P64">IF(A64="",0,IFERROR(IF(AND(Companies!R55=1,D64&gt;=MAX(10,Rules!$B$22),$G$10="Valid",Rules!B15="Yes",I64=4,MIN(E64:H64)&gt;=0,MAX(E64:H64)&lt;=100,Q64="Ready",R64="Ready",S64="Ready",T64="Ready",ISNUMBER(U64),U64&gt;=MAX(3,Rules!B12),IFNA(INDEX(Network!$P$14:$P$63,MATCH(A64,Network!$A$14:$A$63,0)),0)=1,IFNA(INDEX(Network!$C$14:$C$63,MATCH(A64,Network!$A$14:$A$63,0)),"No")="Yes",ISNUMBER(IFNA(INDEX(Network!$L$14:$L$63,MATCH(A64,Network!$A$14:$A$63,0)),"n.a.")),Rules!$B$46&gt;0),1,0),0))</f>
        <v>0</v>
      </c>
      <c r="Q64" s="93" t="str">
        <f t="array" ref="Q64">IF(A64="","",IFNA(INDEX(Strength!$V$10:$V$59,MATCH(A64,Strength!$A$10:$A$59,0)),"n.a."))</f>
        <v/>
      </c>
      <c r="R64" s="93" t="str">
        <f t="array" ref="R64">IF(A64="","",IFNA(INDEX(Valuation!$S$15:$S$64,MATCH(A64,Valuation!$A$15:$A$64,0)),"n.a."))</f>
        <v/>
      </c>
      <c r="S64" s="93" t="str">
        <f t="array" ref="S64">IF(A64="","",IFNA(INDEX(Growth!$L$15:$L$64,MATCH(A64,Growth!$A$15:$A$64,0)),"n.a."))</f>
        <v/>
      </c>
      <c r="T64" s="93" t="str">
        <f t="array" ref="T64">IF(A64="","",IFNA(INDEX(Profitability!$V$15:$V$64,MATCH(A64,Profitability!$A$15:$A$64,0)),"n.a."))</f>
        <v/>
      </c>
      <c r="U64" s="93" t="str">
        <f t="array" ref="U64">IF(A64="","",IF(COUNT(IFNA(INDEX(Strength!$J$10:$J$59,MATCH(A64,Strength!$A$10:$A$59,0)),"n.a."),Valuation!$B$7,IFNA(INDEX(Growth!$K$15:$K$64,MATCH(A64,Growth!$A$15:$A$64,0)),"n.a."),IFNA(INDEX(Profitability!$M$15:$M$64,MATCH(A64,Profitability!$A$15:$A$64,0)),"n.a."))&lt;&gt;4,"n.a.",MIN(1+IFNA(INDEX(Strength!$J$10:$J$59,MATCH(A64,Strength!$A$10:$A$59,0)),"n.a."),Valuation!$B$7,IFNA(INDEX(Growth!$K$15:$K$64,MATCH(A64,Growth!$A$15:$A$64,0)),"n.a."),IFNA(INDEX(Profitability!$M$15:$M$64,MATCH(A64,Profitability!$A$15:$A$64,0)),"n.a."))))</f>
        <v/>
      </c>
      <c r="V64" s="93" t="str">
        <f t="shared" si="7"/>
        <v/>
      </c>
    </row>
  </sheetData>
  <mergeCells count="2">
    <mergeCell ref="C3:O3"/>
    <mergeCell ref="C13:O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2" width="28.88"/>
    <col customWidth="1" min="3" max="12" width="18.88"/>
    <col customWidth="1" min="13" max="13" width="56.3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>
      <c r="A2" s="94" t="s">
        <v>1058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ht="30.0" customHeight="1">
      <c r="A3" s="93"/>
      <c r="B3" s="93"/>
      <c r="C3" s="95" t="s">
        <v>1059</v>
      </c>
    </row>
    <row r="4">
      <c r="A4" s="93" t="s">
        <v>892</v>
      </c>
      <c r="B4" s="96">
        <f>Rules!B6</f>
        <v>46298</v>
      </c>
      <c r="C4" s="93"/>
      <c r="D4" s="93"/>
      <c r="E4" s="93"/>
      <c r="F4" s="95"/>
      <c r="G4" s="95"/>
      <c r="H4" s="93"/>
      <c r="I4" s="93"/>
      <c r="J4" s="93"/>
      <c r="K4" s="93"/>
      <c r="L4" s="93"/>
      <c r="M4" s="93"/>
    </row>
    <row r="5">
      <c r="A5" s="93" t="s">
        <v>1060</v>
      </c>
      <c r="B5" s="95">
        <f>COUNTA('Test sources'!A6:A15)</f>
        <v>10</v>
      </c>
      <c r="C5" s="93"/>
      <c r="D5" s="93"/>
      <c r="E5" s="93"/>
      <c r="F5" s="95"/>
      <c r="G5" s="95"/>
      <c r="H5" s="93"/>
      <c r="I5" s="93"/>
      <c r="J5" s="93"/>
      <c r="K5" s="93"/>
      <c r="L5" s="93"/>
      <c r="M5" s="93"/>
    </row>
    <row r="6">
      <c r="A6" s="93" t="s">
        <v>1061</v>
      </c>
      <c r="B6" s="95">
        <f>COUNTIF('Test sources'!AJ6:AJ15,1)</f>
        <v>10</v>
      </c>
      <c r="C6" s="93"/>
      <c r="D6" s="93"/>
      <c r="E6" s="93"/>
      <c r="F6" s="95"/>
      <c r="G6" s="95"/>
      <c r="H6" s="93"/>
      <c r="I6" s="93"/>
      <c r="J6" s="93"/>
      <c r="K6" s="93"/>
      <c r="L6" s="93"/>
      <c r="M6" s="93"/>
    </row>
    <row r="7">
      <c r="A7" s="93" t="s">
        <v>1062</v>
      </c>
      <c r="B7" s="95">
        <f>COUNTIF('Test sources'!AA6:AA15,"Yes")</f>
        <v>7</v>
      </c>
      <c r="C7" s="93"/>
      <c r="D7" s="93"/>
      <c r="E7" s="93"/>
      <c r="F7" s="95"/>
      <c r="G7" s="95"/>
      <c r="H7" s="93"/>
      <c r="I7" s="93"/>
      <c r="J7" s="93"/>
      <c r="K7" s="93"/>
      <c r="L7" s="93"/>
      <c r="M7" s="93"/>
    </row>
    <row r="8">
      <c r="A8" s="93" t="s">
        <v>1063</v>
      </c>
      <c r="B8" s="95">
        <f>COUNTIF('Test sources'!AN6:AN15,1)</f>
        <v>0</v>
      </c>
      <c r="C8" s="93"/>
      <c r="D8" s="93"/>
      <c r="E8" s="93"/>
      <c r="F8" s="95"/>
      <c r="G8" s="95"/>
      <c r="H8" s="93"/>
      <c r="I8" s="93"/>
      <c r="J8" s="93"/>
      <c r="K8" s="93"/>
      <c r="L8" s="93"/>
      <c r="M8" s="93"/>
    </row>
    <row r="9">
      <c r="A9" s="93" t="s">
        <v>1064</v>
      </c>
      <c r="B9" s="112" t="s">
        <v>1065</v>
      </c>
      <c r="C9" s="93"/>
      <c r="D9" s="93"/>
      <c r="E9" s="93"/>
      <c r="F9" s="95"/>
      <c r="G9" s="95"/>
      <c r="H9" s="93"/>
      <c r="I9" s="93"/>
      <c r="J9" s="93"/>
      <c r="K9" s="93"/>
      <c r="L9" s="93"/>
      <c r="M9" s="93"/>
    </row>
    <row r="10">
      <c r="A10" s="93"/>
      <c r="B10" s="95"/>
      <c r="C10" s="93"/>
      <c r="D10" s="93"/>
      <c r="E10" s="93"/>
      <c r="F10" s="95"/>
      <c r="G10" s="95"/>
      <c r="H10" s="93"/>
      <c r="I10" s="93"/>
      <c r="J10" s="93"/>
      <c r="K10" s="93"/>
      <c r="L10" s="93"/>
      <c r="M10" s="93"/>
    </row>
    <row r="11" ht="28.5" customHeight="1">
      <c r="A11" s="93"/>
      <c r="B11" s="93"/>
      <c r="C11" s="95" t="s">
        <v>1066</v>
      </c>
    </row>
    <row r="12" ht="28.5" customHeight="1">
      <c r="A12" s="93"/>
      <c r="B12" s="93"/>
      <c r="C12" s="95" t="s">
        <v>1067</v>
      </c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</row>
    <row r="14" ht="55.5" customHeight="1">
      <c r="A14" s="99" t="s">
        <v>141</v>
      </c>
      <c r="B14" s="99" t="s">
        <v>33</v>
      </c>
      <c r="C14" s="99" t="s">
        <v>1068</v>
      </c>
      <c r="D14" s="99" t="s">
        <v>1069</v>
      </c>
      <c r="E14" s="99" t="s">
        <v>1070</v>
      </c>
      <c r="F14" s="99" t="s">
        <v>1071</v>
      </c>
      <c r="G14" s="99" t="s">
        <v>1072</v>
      </c>
      <c r="H14" s="99" t="s">
        <v>1073</v>
      </c>
      <c r="I14" s="99" t="s">
        <v>1074</v>
      </c>
      <c r="J14" s="99" t="s">
        <v>1075</v>
      </c>
      <c r="K14" s="99" t="s">
        <v>1076</v>
      </c>
      <c r="L14" s="99" t="s">
        <v>1077</v>
      </c>
      <c r="M14" s="99" t="s">
        <v>1078</v>
      </c>
    </row>
    <row r="15" ht="60.0" customHeight="1">
      <c r="A15" s="93" t="str">
        <f>'Test sources'!C6</f>
        <v>ExxonMobil</v>
      </c>
      <c r="B15" s="93" t="str">
        <f>'Test sources'!D6</f>
        <v>Energy</v>
      </c>
      <c r="C15" s="113">
        <f>MIN('Test sources'!F6:G6)</f>
        <v>674.39</v>
      </c>
      <c r="D15" s="100" t="str">
        <f>'Test sources'!AK6</f>
        <v>n.a.</v>
      </c>
      <c r="E15" s="93" t="str">
        <f>IF('Test sources'!AA6="Yes","Matched guide","No matching EPS guide")</f>
        <v>No matching EPS guide</v>
      </c>
      <c r="F15" s="93" t="str">
        <f>'Test sources'!X6</f>
        <v>Incomplete</v>
      </c>
      <c r="G15" s="93" t="str">
        <f>'Test sources'!Y6</f>
        <v>Not sourced</v>
      </c>
      <c r="H15" s="93" t="str">
        <f>'Test sources'!Z6</f>
        <v>Operating company</v>
      </c>
      <c r="I15" s="114">
        <f>'Test sources'!AC6</f>
        <v>0</v>
      </c>
      <c r="J15" s="115" t="str">
        <f>'Test sources'!AO6</f>
        <v>Unranked</v>
      </c>
      <c r="K15" s="93" t="str">
        <f>IF('Test sources'!AN6&lt;&gt;1,"Unranked",1+COUNTIFS('Test sources'!$AN$6:$AN$15,1,'Test sources'!$AO$6:$AO$15,"&gt;"&amp;J15))</f>
        <v>Unranked</v>
      </c>
      <c r="L15" s="93" t="str">
        <f>IF('Test sources'!AN6=1,"Ready for rank test","Inputs incomplete")</f>
        <v>Inputs incomplete</v>
      </c>
      <c r="M15" s="95" t="str">
        <f>'Test sources'!W6</f>
        <v>No annual EPS guidance in inspected FY/Q2 sources; capex/production outlook cannot substitute. Market-cap conflict: source A $674.39bn vs source B $735.74bn (9.10%). Reconcile issuer share counts before score inputs.</v>
      </c>
    </row>
    <row r="16" ht="60.0" customHeight="1">
      <c r="A16" s="93" t="str">
        <f>'Test sources'!C7</f>
        <v>Johnson &amp; Johnson</v>
      </c>
      <c r="B16" s="93" t="str">
        <f>'Test sources'!D7</f>
        <v>Health Care</v>
      </c>
      <c r="C16" s="113">
        <f>MIN('Test sources'!F7:G7)</f>
        <v>617.01</v>
      </c>
      <c r="D16" s="100">
        <f>'Test sources'!AK7</f>
        <v>0.08202038925</v>
      </c>
      <c r="E16" s="93" t="str">
        <f>IF('Test sources'!AA7="Yes","Matched guide","No matching EPS guide")</f>
        <v>Matched guide</v>
      </c>
      <c r="F16" s="93" t="str">
        <f>'Test sources'!X7</f>
        <v>Incomplete</v>
      </c>
      <c r="G16" s="93" t="str">
        <f>'Test sources'!Y7</f>
        <v>Not sourced</v>
      </c>
      <c r="H16" s="93" t="str">
        <f>'Test sources'!Z7</f>
        <v>Operating company</v>
      </c>
      <c r="I16" s="114">
        <f>'Test sources'!AC7</f>
        <v>0</v>
      </c>
      <c r="J16" s="115" t="str">
        <f>'Test sources'!AO7</f>
        <v>Unranked</v>
      </c>
      <c r="K16" s="93" t="str">
        <f>IF('Test sources'!AN7&lt;&gt;1,"Unranked",1+COUNTIFS('Test sources'!$AN$6:$AN$15,1,'Test sources'!$AO$6:$AO$15,"&gt;"&amp;J16))</f>
        <v>Unranked</v>
      </c>
      <c r="L16" s="93" t="str">
        <f>IF('Test sources'!AN7=1,"Ready for rank test","Inputs incomplete")</f>
        <v>Inputs incomplete</v>
      </c>
      <c r="M16" s="95" t="str">
        <f>'Test sources'!W7</f>
        <v>Exact range midpoint 11.675; company headline rounds to 11.68. Portfolio/scope review pending.</v>
      </c>
    </row>
    <row r="17" ht="60.0" customHeight="1">
      <c r="A17" s="93" t="str">
        <f>'Test sources'!C8</f>
        <v>Procter &amp; Gamble</v>
      </c>
      <c r="B17" s="93" t="str">
        <f>'Test sources'!D8</f>
        <v>Consumer Staples</v>
      </c>
      <c r="C17" s="113">
        <f>MIN('Test sources'!F8:G8)</f>
        <v>336.58</v>
      </c>
      <c r="D17" s="100">
        <f>'Test sources'!AK8</f>
        <v>0.01596516691</v>
      </c>
      <c r="E17" s="93" t="str">
        <f>IF('Test sources'!AA8="Yes","Matched guide","No matching EPS guide")</f>
        <v>Matched guide</v>
      </c>
      <c r="F17" s="93" t="str">
        <f>'Test sources'!X8</f>
        <v>Incomplete</v>
      </c>
      <c r="G17" s="93" t="str">
        <f>'Test sources'!Y8</f>
        <v>Not sourced</v>
      </c>
      <c r="H17" s="93" t="str">
        <f>'Test sources'!Z8</f>
        <v>Operating company</v>
      </c>
      <c r="I17" s="114">
        <f>'Test sources'!AC8</f>
        <v>0</v>
      </c>
      <c r="J17" s="115" t="str">
        <f>'Test sources'!AO8</f>
        <v>Unranked</v>
      </c>
      <c r="K17" s="93" t="str">
        <f>IF('Test sources'!AN8&lt;&gt;1,"Unranked",1+COUNTIFS('Test sources'!$AN$6:$AN$15,1,'Test sources'!$AO$6:$AO$15,"&gt;"&amp;J17))</f>
        <v>Unranked</v>
      </c>
      <c r="L17" s="93" t="str">
        <f>IF('Test sources'!AN8=1,"Ready for rank test","Inputs incomplete")</f>
        <v>Inputs incomplete</v>
      </c>
      <c r="M17" s="95" t="str">
        <f>'Test sources'!W8</f>
        <v>Range arithmetic gives 1.5965%; published rounded growth midpoint 1.5%.</v>
      </c>
    </row>
    <row r="18" ht="60.0" customHeight="1">
      <c r="A18" s="93" t="str">
        <f>'Test sources'!C9</f>
        <v>Home Depot</v>
      </c>
      <c r="B18" s="93" t="str">
        <f>'Test sources'!D9</f>
        <v>Consumer Discretionary</v>
      </c>
      <c r="C18" s="113">
        <f>MIN('Test sources'!F9:G9)</f>
        <v>281.7186</v>
      </c>
      <c r="D18" s="100">
        <f>'Test sources'!AK9</f>
        <v>0.02</v>
      </c>
      <c r="E18" s="93" t="str">
        <f>IF('Test sources'!AA9="Yes","Matched guide","No matching EPS guide")</f>
        <v>Matched guide</v>
      </c>
      <c r="F18" s="93" t="str">
        <f>'Test sources'!X9</f>
        <v>Incomplete</v>
      </c>
      <c r="G18" s="93" t="str">
        <f>'Test sources'!Y9</f>
        <v>Not sourced</v>
      </c>
      <c r="H18" s="93" t="str">
        <f>'Test sources'!Z9</f>
        <v>Operating company</v>
      </c>
      <c r="I18" s="114">
        <f>'Test sources'!AC9</f>
        <v>0</v>
      </c>
      <c r="J18" s="115" t="str">
        <f>'Test sources'!AO9</f>
        <v>Unranked</v>
      </c>
      <c r="K18" s="93" t="str">
        <f>IF('Test sources'!AN9&lt;&gt;1,"Unranked",1+COUNTIFS('Test sources'!$AN$6:$AN$15,1,'Test sources'!$AO$6:$AO$15,"&gt;"&amp;J18))</f>
        <v>Unranked</v>
      </c>
      <c r="L18" s="93" t="str">
        <f>IF('Test sources'!AN9=1,"Ready for rank test","Inputs incomplete")</f>
        <v>Inputs incomplete</v>
      </c>
      <c r="M18" s="95" t="str">
        <f>'Test sources'!W9</f>
        <v>Company guides EPS growth 0–4%; EPS bounds are derived from stated $14.69 base. FY2025 had 52 weeks versus 53 weeks in FY2024.</v>
      </c>
    </row>
    <row r="19" ht="60.0" customHeight="1">
      <c r="A19" s="93" t="str">
        <f>'Test sources'!C10</f>
        <v>IBM</v>
      </c>
      <c r="B19" s="93" t="str">
        <f>'Test sources'!D10</f>
        <v>Information Technology</v>
      </c>
      <c r="C19" s="113">
        <f>MIN('Test sources'!F10:G10)</f>
        <v>209.76</v>
      </c>
      <c r="D19" s="100" t="str">
        <f>'Test sources'!AK10</f>
        <v>n.a.</v>
      </c>
      <c r="E19" s="93" t="str">
        <f>IF('Test sources'!AA10="Yes","Matched guide","No matching EPS guide")</f>
        <v>No matching EPS guide</v>
      </c>
      <c r="F19" s="93" t="str">
        <f>'Test sources'!X10</f>
        <v>Incomplete</v>
      </c>
      <c r="G19" s="93" t="str">
        <f>'Test sources'!Y10</f>
        <v>Not sourced</v>
      </c>
      <c r="H19" s="93" t="str">
        <f>'Test sources'!Z10</f>
        <v>Operating company</v>
      </c>
      <c r="I19" s="114">
        <f>'Test sources'!AC10</f>
        <v>0</v>
      </c>
      <c r="J19" s="115" t="str">
        <f>'Test sources'!AO10</f>
        <v>Unranked</v>
      </c>
      <c r="K19" s="93" t="str">
        <f>IF('Test sources'!AN10&lt;&gt;1,"Unranked",1+COUNTIFS('Test sources'!$AN$6:$AN$15,1,'Test sources'!$AO$6:$AO$15,"&gt;"&amp;J19))</f>
        <v>Unranked</v>
      </c>
      <c r="L19" s="93" t="str">
        <f>IF('Test sources'!AN10=1,"Ready for rank test","Inputs incomplete")</f>
        <v>Inputs incomplete</v>
      </c>
      <c r="M19" s="95" t="str">
        <f>'Test sources'!W10</f>
        <v>Revenue guide 4–5% at constant currency and FCF outlook; no annual EPS guide. Pretax income is not operating profit.</v>
      </c>
    </row>
    <row r="20" ht="60.0" customHeight="1">
      <c r="A20" s="93" t="str">
        <f>'Test sources'!C11</f>
        <v>Verizon</v>
      </c>
      <c r="B20" s="93" t="str">
        <f>'Test sources'!D11</f>
        <v>Communication Services</v>
      </c>
      <c r="C20" s="113">
        <f>MIN('Test sources'!F11:G11)</f>
        <v>190.79</v>
      </c>
      <c r="D20" s="100">
        <f>'Test sources'!AK11</f>
        <v>0.06475583864</v>
      </c>
      <c r="E20" s="93" t="str">
        <f>IF('Test sources'!AA11="Yes","Matched guide","No matching EPS guide")</f>
        <v>Matched guide</v>
      </c>
      <c r="F20" s="93" t="str">
        <f>'Test sources'!X11</f>
        <v>Incomplete</v>
      </c>
      <c r="G20" s="93" t="str">
        <f>'Test sources'!Y11</f>
        <v>Not sourced</v>
      </c>
      <c r="H20" s="93" t="str">
        <f>'Test sources'!Z11</f>
        <v>Operating company</v>
      </c>
      <c r="I20" s="114">
        <f>'Test sources'!AC11</f>
        <v>0</v>
      </c>
      <c r="J20" s="115" t="str">
        <f>'Test sources'!AO11</f>
        <v>Unranked</v>
      </c>
      <c r="K20" s="93" t="str">
        <f>IF('Test sources'!AN11&lt;&gt;1,"Unranked",1+COUNTIFS('Test sources'!$AN$6:$AN$15,1,'Test sources'!$AO$6:$AO$15,"&gt;"&amp;J20))</f>
        <v>Unranked</v>
      </c>
      <c r="L20" s="93" t="str">
        <f>IF('Test sources'!AN11=1,"Ready for rank test","Inputs incomplete")</f>
        <v>Inputs incomplete</v>
      </c>
      <c r="M20" s="95" t="str">
        <f>'Test sources'!W11</f>
        <v>Midpoint 5.015. Revenue/op-profit source: https://www.verizon.com/about/file/77271/download?token=r9Yg9nOj ; Frontier affects comparability.</v>
      </c>
    </row>
    <row r="21" ht="60.0" customHeight="1">
      <c r="A21" s="93" t="str">
        <f>'Test sources'!C12</f>
        <v>Honeywell Technologies</v>
      </c>
      <c r="B21" s="93" t="str">
        <f>'Test sources'!D12</f>
        <v>Industrials</v>
      </c>
      <c r="C21" s="113">
        <f>MIN('Test sources'!F12:G12)</f>
        <v>67.82</v>
      </c>
      <c r="D21" s="100">
        <f>'Test sources'!AK12</f>
        <v>0.2693498452</v>
      </c>
      <c r="E21" s="93" t="str">
        <f>IF('Test sources'!AA12="Yes","Matched guide","No matching EPS guide")</f>
        <v>Matched guide</v>
      </c>
      <c r="F21" s="93" t="str">
        <f>'Test sources'!X12</f>
        <v>Incomplete</v>
      </c>
      <c r="G21" s="93" t="str">
        <f>'Test sources'!Y12</f>
        <v>Not sourced</v>
      </c>
      <c r="H21" s="93" t="str">
        <f>'Test sources'!Z12</f>
        <v>Operating company</v>
      </c>
      <c r="I21" s="114">
        <f>'Test sources'!AC12</f>
        <v>0</v>
      </c>
      <c r="J21" s="115" t="str">
        <f>'Test sources'!AO12</f>
        <v>Unranked</v>
      </c>
      <c r="K21" s="93" t="str">
        <f>IF('Test sources'!AN12&lt;&gt;1,"Unranked",1+COUNTIFS('Test sources'!$AN$6:$AN$15,1,'Test sources'!$AO$6:$AO$15,"&gt;"&amp;J21))</f>
        <v>Unranked</v>
      </c>
      <c r="L21" s="93" t="str">
        <f>IF('Test sources'!AN12=1,"Ready for rank test","Inputs incomplete")</f>
        <v>Inputs incomplete</v>
      </c>
      <c r="M21" s="95" t="str">
        <f>'Test sources'!W12</f>
        <v>Use recast/split-adjusted $6.46 baseline, not legacy $9.78. Quantinuum gain distorts reported EPS; current TTM capital schedules need recasting.</v>
      </c>
    </row>
    <row r="22" ht="60.0" customHeight="1">
      <c r="A22" s="93" t="str">
        <f>'Test sources'!C13</f>
        <v>Sherwin-Williams</v>
      </c>
      <c r="B22" s="93" t="str">
        <f>'Test sources'!D13</f>
        <v>Materials</v>
      </c>
      <c r="C22" s="113">
        <f>MIN('Test sources'!F13:G13)</f>
        <v>77.11</v>
      </c>
      <c r="D22" s="100">
        <f>'Test sources'!AK13</f>
        <v>0.0498687664</v>
      </c>
      <c r="E22" s="93" t="str">
        <f>IF('Test sources'!AA13="Yes","Matched guide","No matching EPS guide")</f>
        <v>Matched guide</v>
      </c>
      <c r="F22" s="93" t="str">
        <f>'Test sources'!X13</f>
        <v>Incomplete</v>
      </c>
      <c r="G22" s="93" t="str">
        <f>'Test sources'!Y13</f>
        <v>Not sourced</v>
      </c>
      <c r="H22" s="93" t="str">
        <f>'Test sources'!Z13</f>
        <v>Operating company</v>
      </c>
      <c r="I22" s="114">
        <f>'Test sources'!AC13</f>
        <v>0</v>
      </c>
      <c r="J22" s="115" t="str">
        <f>'Test sources'!AO13</f>
        <v>Unranked</v>
      </c>
      <c r="K22" s="93" t="str">
        <f>IF('Test sources'!AN13&lt;&gt;1,"Unranked",1+COUNTIFS('Test sources'!$AN$6:$AN$15,1,'Test sources'!$AO$6:$AO$15,"&gt;"&amp;J22))</f>
        <v>Unranked</v>
      </c>
      <c r="L22" s="93" t="str">
        <f>IF('Test sources'!AN13=1,"Ready for rank test","Inputs incomplete")</f>
        <v>Inputs incomplete</v>
      </c>
      <c r="M22" s="95" t="str">
        <f>'Test sources'!W13</f>
        <v>Adjusted EPS guide 11.80–12.20; GAAP 10.92–11.32 uses a different baseline. Quarterly EBITDA is not NTM EBITDA.</v>
      </c>
    </row>
    <row r="23" ht="60.0" customHeight="1">
      <c r="A23" s="93" t="str">
        <f>'Test sources'!C14</f>
        <v>American Electric Power</v>
      </c>
      <c r="B23" s="93" t="str">
        <f>'Test sources'!D14</f>
        <v>Utilities</v>
      </c>
      <c r="C23" s="113">
        <f>MIN('Test sources'!F14:G14)</f>
        <v>65.09</v>
      </c>
      <c r="D23" s="100">
        <f>'Test sources'!AK14</f>
        <v>0.07202680067</v>
      </c>
      <c r="E23" s="93" t="str">
        <f>IF('Test sources'!AA14="Yes","Matched guide","No matching EPS guide")</f>
        <v>Matched guide</v>
      </c>
      <c r="F23" s="93" t="str">
        <f>'Test sources'!X14</f>
        <v>Incomplete</v>
      </c>
      <c r="G23" s="93" t="str">
        <f>'Test sources'!Y14</f>
        <v>Not sourced</v>
      </c>
      <c r="H23" s="93" t="str">
        <f>'Test sources'!Z14</f>
        <v>Operating company</v>
      </c>
      <c r="I23" s="114">
        <f>'Test sources'!AC14</f>
        <v>0</v>
      </c>
      <c r="J23" s="115" t="str">
        <f>'Test sources'!AO14</f>
        <v>Unranked</v>
      </c>
      <c r="K23" s="93" t="str">
        <f>IF('Test sources'!AN14&lt;&gt;1,"Unranked",1+COUNTIFS('Test sources'!$AN$6:$AN$15,1,'Test sources'!$AO$6:$AO$15,"&gt;"&amp;J23))</f>
        <v>Unranked</v>
      </c>
      <c r="L23" s="93" t="str">
        <f>IF('Test sources'!AN14=1,"Ready for rank test","Inputs incomplete")</f>
        <v>Inputs incomplete</v>
      </c>
      <c r="M23" s="95" t="str">
        <f>'Test sources'!W14</f>
        <v>Operating EPS means adjusted net EPS, not EBIT. Baseline operating 5.97 differs from GAAP 6.70.</v>
      </c>
    </row>
    <row r="24" ht="60.0" customHeight="1">
      <c r="A24" s="93" t="str">
        <f>'Test sources'!C15</f>
        <v>JPMorgan Chase</v>
      </c>
      <c r="B24" s="93" t="str">
        <f>'Test sources'!D15</f>
        <v>Financials</v>
      </c>
      <c r="C24" s="113">
        <f>MIN('Test sources'!F15:G15)</f>
        <v>883.53</v>
      </c>
      <c r="D24" s="100" t="str">
        <f>'Test sources'!AK15</f>
        <v>n.a.</v>
      </c>
      <c r="E24" s="93" t="str">
        <f>IF('Test sources'!AA15="Yes","Matched guide","No matching EPS guide")</f>
        <v>No matching EPS guide</v>
      </c>
      <c r="F24" s="93" t="str">
        <f>'Test sources'!X15</f>
        <v>Incomplete</v>
      </c>
      <c r="G24" s="93" t="str">
        <f>'Test sources'!Y15</f>
        <v>Not sourced</v>
      </c>
      <c r="H24" s="93" t="str">
        <f>'Test sources'!Z15</f>
        <v>Bank adapter required</v>
      </c>
      <c r="I24" s="114">
        <f>'Test sources'!AC15</f>
        <v>0</v>
      </c>
      <c r="J24" s="115" t="str">
        <f>'Test sources'!AO15</f>
        <v>Unranked</v>
      </c>
      <c r="K24" s="93" t="str">
        <f>IF('Test sources'!AN15&lt;&gt;1,"Unranked",1+COUNTIFS('Test sources'!$AN$6:$AN$15,1,'Test sources'!$AO$6:$AO$15,"&gt;"&amp;J24))</f>
        <v>Unranked</v>
      </c>
      <c r="L24" s="93" t="str">
        <f>IF('Test sources'!AN15=1,"Ready for rank test","Inputs incomplete")</f>
        <v>Inputs incomplete</v>
      </c>
      <c r="M24" s="95" t="str">
        <f>'Test sources'!W15</f>
        <v>NII and expense forecasts cannot replace annual EPS. Profitability needs ROE/ROTCE/efficiency; EV/EBITDA unsuitable.</v>
      </c>
    </row>
    <row r="29">
      <c r="A29" s="27" t="s">
        <v>1079</v>
      </c>
    </row>
    <row r="30" ht="51.0" customHeight="1">
      <c r="C30" s="116" t="s">
        <v>1080</v>
      </c>
    </row>
    <row r="32" ht="48.75" customHeight="1">
      <c r="A32" s="117" t="s">
        <v>277</v>
      </c>
      <c r="B32" s="117" t="s">
        <v>33</v>
      </c>
      <c r="C32" s="117" t="s">
        <v>1081</v>
      </c>
      <c r="D32" s="117" t="s">
        <v>1082</v>
      </c>
      <c r="E32" s="117" t="s">
        <v>1083</v>
      </c>
      <c r="F32" s="117" t="s">
        <v>1084</v>
      </c>
      <c r="G32" s="117" t="s">
        <v>1085</v>
      </c>
      <c r="H32" s="117" t="s">
        <v>1086</v>
      </c>
      <c r="I32" s="117" t="s">
        <v>1087</v>
      </c>
      <c r="J32" s="117" t="s">
        <v>1088</v>
      </c>
    </row>
    <row r="33" ht="48.0" customHeight="1">
      <c r="A33" s="95" t="str">
        <f>'Pilot scores'!A15</f>
        <v>WMB</v>
      </c>
      <c r="B33" s="95" t="str">
        <f>'Pilot scores'!B15</f>
        <v>Energy</v>
      </c>
      <c r="C33" s="118">
        <f>'Pilot scores'!G15</f>
        <v>43.75</v>
      </c>
      <c r="D33" s="118">
        <f>'Pilot scores'!H15</f>
        <v>9</v>
      </c>
      <c r="E33" s="118">
        <f>'Pilot scores'!C15</f>
        <v>50</v>
      </c>
      <c r="F33" s="118">
        <f>'Pilot scores'!D15</f>
        <v>0</v>
      </c>
      <c r="G33" s="118">
        <f>'Pilot scores'!E15</f>
        <v>50</v>
      </c>
      <c r="H33" s="118">
        <f>'Pilot scores'!F15</f>
        <v>75</v>
      </c>
      <c r="I33" s="95" t="s">
        <v>1089</v>
      </c>
      <c r="J33" s="95" t="s">
        <v>1090</v>
      </c>
    </row>
    <row r="34" ht="48.0" customHeight="1">
      <c r="A34" s="95" t="str">
        <f>'Pilot scores'!A16</f>
        <v>JNJ</v>
      </c>
      <c r="B34" s="95" t="str">
        <f>'Pilot scores'!B16</f>
        <v>Health Care</v>
      </c>
      <c r="C34" s="118">
        <f>'Pilot scores'!G16</f>
        <v>71.25</v>
      </c>
      <c r="D34" s="118">
        <f>'Pilot scores'!H16</f>
        <v>1</v>
      </c>
      <c r="E34" s="118">
        <f>'Pilot scores'!C16</f>
        <v>100</v>
      </c>
      <c r="F34" s="118">
        <f>'Pilot scores'!D16</f>
        <v>35</v>
      </c>
      <c r="G34" s="118">
        <f>'Pilot scores'!E16</f>
        <v>100</v>
      </c>
      <c r="H34" s="118">
        <f>'Pilot scores'!F16</f>
        <v>50</v>
      </c>
      <c r="I34" s="95" t="s">
        <v>1089</v>
      </c>
      <c r="J34" s="95" t="s">
        <v>1090</v>
      </c>
    </row>
    <row r="35" ht="48.0" customHeight="1">
      <c r="A35" s="95" t="str">
        <f>'Pilot scores'!A17</f>
        <v>PG</v>
      </c>
      <c r="B35" s="95" t="str">
        <f>'Pilot scores'!B17</f>
        <v>Consumer Staples</v>
      </c>
      <c r="C35" s="118">
        <f>'Pilot scores'!G17</f>
        <v>61.25</v>
      </c>
      <c r="D35" s="118">
        <f>'Pilot scores'!H17</f>
        <v>4</v>
      </c>
      <c r="E35" s="118">
        <f>'Pilot scores'!C17</f>
        <v>100</v>
      </c>
      <c r="F35" s="118">
        <f>'Pilot scores'!D17</f>
        <v>70</v>
      </c>
      <c r="G35" s="118">
        <f>'Pilot scores'!E17</f>
        <v>0</v>
      </c>
      <c r="H35" s="118">
        <f>'Pilot scores'!F17</f>
        <v>75</v>
      </c>
      <c r="I35" s="95" t="s">
        <v>1089</v>
      </c>
      <c r="J35" s="95" t="s">
        <v>1090</v>
      </c>
    </row>
    <row r="36" ht="48.0" customHeight="1">
      <c r="A36" s="95" t="str">
        <f>'Pilot scores'!A18</f>
        <v>HD</v>
      </c>
      <c r="B36" s="95" t="str">
        <f>'Pilot scores'!B18</f>
        <v>Consumer Discretionary</v>
      </c>
      <c r="C36" s="118">
        <f>'Pilot scores'!G18</f>
        <v>60</v>
      </c>
      <c r="D36" s="118">
        <f>'Pilot scores'!H18</f>
        <v>5</v>
      </c>
      <c r="E36" s="118">
        <f>'Pilot scores'!C18</f>
        <v>100</v>
      </c>
      <c r="F36" s="118">
        <f>'Pilot scores'!D18</f>
        <v>15</v>
      </c>
      <c r="G36" s="118">
        <f>'Pilot scores'!E18</f>
        <v>50</v>
      </c>
      <c r="H36" s="118">
        <f>'Pilot scores'!F18</f>
        <v>75</v>
      </c>
      <c r="I36" s="95" t="s">
        <v>1089</v>
      </c>
      <c r="J36" s="95" t="s">
        <v>1090</v>
      </c>
    </row>
    <row r="37" ht="48.0" customHeight="1">
      <c r="A37" s="95" t="str">
        <f>'Pilot scores'!A19</f>
        <v>ADBE</v>
      </c>
      <c r="B37" s="95" t="str">
        <f>'Pilot scores'!B19</f>
        <v>Information Technology</v>
      </c>
      <c r="C37" s="118">
        <f>'Pilot scores'!G19</f>
        <v>68.75</v>
      </c>
      <c r="D37" s="118">
        <f>'Pilot scores'!H19</f>
        <v>2.5</v>
      </c>
      <c r="E37" s="118">
        <f>'Pilot scores'!C19</f>
        <v>50</v>
      </c>
      <c r="F37" s="118">
        <f>'Pilot scores'!D19</f>
        <v>100</v>
      </c>
      <c r="G37" s="118">
        <f>'Pilot scores'!E19</f>
        <v>50</v>
      </c>
      <c r="H37" s="118">
        <f>'Pilot scores'!F19</f>
        <v>75</v>
      </c>
      <c r="I37" s="95" t="s">
        <v>1089</v>
      </c>
      <c r="J37" s="95" t="s">
        <v>1090</v>
      </c>
    </row>
    <row r="38" ht="48.0" customHeight="1">
      <c r="A38" s="95" t="str">
        <f>'Pilot scores'!A20</f>
        <v>VZ</v>
      </c>
      <c r="B38" s="95" t="str">
        <f>'Pilot scores'!B20</f>
        <v>Communication Services</v>
      </c>
      <c r="C38" s="118">
        <f>'Pilot scores'!G20</f>
        <v>53.75</v>
      </c>
      <c r="D38" s="118">
        <f>'Pilot scores'!H20</f>
        <v>7</v>
      </c>
      <c r="E38" s="118">
        <f>'Pilot scores'!C20</f>
        <v>100</v>
      </c>
      <c r="F38" s="118">
        <f>'Pilot scores'!D20</f>
        <v>65</v>
      </c>
      <c r="G38" s="118">
        <f>'Pilot scores'!E20</f>
        <v>0</v>
      </c>
      <c r="H38" s="118">
        <f>'Pilot scores'!F20</f>
        <v>50</v>
      </c>
      <c r="I38" s="95" t="s">
        <v>1089</v>
      </c>
      <c r="J38" s="95" t="s">
        <v>1090</v>
      </c>
    </row>
    <row r="39" ht="48.0" customHeight="1">
      <c r="A39" s="95" t="str">
        <f>'Pilot scores'!A21</f>
        <v>ITW</v>
      </c>
      <c r="B39" s="95" t="str">
        <f>'Pilot scores'!B21</f>
        <v>Industrials</v>
      </c>
      <c r="C39" s="118">
        <f>'Pilot scores'!G21</f>
        <v>54.375</v>
      </c>
      <c r="D39" s="118">
        <f>'Pilot scores'!H21</f>
        <v>6</v>
      </c>
      <c r="E39" s="118">
        <f>'Pilot scores'!C21</f>
        <v>100</v>
      </c>
      <c r="F39" s="118">
        <f>'Pilot scores'!D21</f>
        <v>17.5</v>
      </c>
      <c r="G39" s="118">
        <f>'Pilot scores'!E21</f>
        <v>0</v>
      </c>
      <c r="H39" s="118">
        <f>'Pilot scores'!F21</f>
        <v>100</v>
      </c>
      <c r="I39" s="95" t="s">
        <v>1089</v>
      </c>
      <c r="J39" s="95" t="s">
        <v>1090</v>
      </c>
    </row>
    <row r="40" ht="48.0" customHeight="1">
      <c r="A40" s="95" t="str">
        <f>'Pilot scores'!A22</f>
        <v>SHW</v>
      </c>
      <c r="B40" s="95" t="str">
        <f>'Pilot scores'!B22</f>
        <v>Materials</v>
      </c>
      <c r="C40" s="118">
        <f>'Pilot scores'!G22</f>
        <v>68.75</v>
      </c>
      <c r="D40" s="118">
        <f>'Pilot scores'!H22</f>
        <v>2.5</v>
      </c>
      <c r="E40" s="118">
        <f>'Pilot scores'!C22</f>
        <v>100</v>
      </c>
      <c r="F40" s="118">
        <f>'Pilot scores'!D22</f>
        <v>50</v>
      </c>
      <c r="G40" s="118">
        <f>'Pilot scores'!E22</f>
        <v>50</v>
      </c>
      <c r="H40" s="118">
        <f>'Pilot scores'!F22</f>
        <v>75</v>
      </c>
      <c r="I40" s="95" t="s">
        <v>1089</v>
      </c>
      <c r="J40" s="95" t="s">
        <v>1090</v>
      </c>
    </row>
    <row r="41" ht="48.0" customHeight="1">
      <c r="A41" s="95" t="str">
        <f>'Pilot scores'!A23</f>
        <v>AEP</v>
      </c>
      <c r="B41" s="95" t="str">
        <f>'Pilot scores'!B23</f>
        <v>Utilities</v>
      </c>
      <c r="C41" s="118">
        <f>'Pilot scores'!G23</f>
        <v>48.75</v>
      </c>
      <c r="D41" s="118">
        <f>'Pilot scores'!H23</f>
        <v>8</v>
      </c>
      <c r="E41" s="118">
        <f>'Pilot scores'!C23</f>
        <v>50</v>
      </c>
      <c r="F41" s="118">
        <f>'Pilot scores'!D23</f>
        <v>20</v>
      </c>
      <c r="G41" s="118">
        <f>'Pilot scores'!E23</f>
        <v>50</v>
      </c>
      <c r="H41" s="118">
        <f>'Pilot scores'!F23</f>
        <v>75</v>
      </c>
      <c r="I41" s="95" t="s">
        <v>1089</v>
      </c>
      <c r="J41" s="95" t="s">
        <v>1090</v>
      </c>
    </row>
    <row r="42" ht="48.0" customHeight="1">
      <c r="A42" s="95" t="str">
        <f>'Pilot scores'!A24</f>
        <v>PYPL</v>
      </c>
      <c r="B42" s="95" t="str">
        <f>'Pilot scores'!B24</f>
        <v>Financials</v>
      </c>
      <c r="C42" s="118">
        <f>'Pilot scores'!G24</f>
        <v>25</v>
      </c>
      <c r="D42" s="118">
        <f>'Pilot scores'!H24</f>
        <v>10</v>
      </c>
      <c r="E42" s="118">
        <f>'Pilot scores'!C24</f>
        <v>0</v>
      </c>
      <c r="F42" s="118">
        <f>'Pilot scores'!D24</f>
        <v>100</v>
      </c>
      <c r="G42" s="118">
        <f>'Pilot scores'!E24</f>
        <v>0</v>
      </c>
      <c r="H42" s="118">
        <f>'Pilot scores'!F24</f>
        <v>0</v>
      </c>
      <c r="I42" s="95" t="s">
        <v>1089</v>
      </c>
      <c r="J42" s="95" t="s">
        <v>1090</v>
      </c>
    </row>
  </sheetData>
  <mergeCells count="4">
    <mergeCell ref="C3:O3"/>
    <mergeCell ref="C11:O11"/>
    <mergeCell ref="C12:O12"/>
    <mergeCell ref="C30:J3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2" width="25.13"/>
    <col customWidth="1" min="3" max="23" width="18.8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>
      <c r="A2" s="94" t="s">
        <v>682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</row>
    <row r="3" ht="30.0" customHeight="1">
      <c r="A3" s="93"/>
      <c r="B3" s="93"/>
      <c r="C3" s="95" t="s">
        <v>1091</v>
      </c>
      <c r="P3" s="93"/>
      <c r="Q3" s="93"/>
      <c r="R3" s="93"/>
      <c r="S3" s="93"/>
      <c r="T3" s="93"/>
      <c r="U3" s="93"/>
      <c r="V3" s="93"/>
      <c r="W3" s="93"/>
    </row>
    <row r="4">
      <c r="A4" s="93" t="s">
        <v>1092</v>
      </c>
      <c r="B4" s="93">
        <v>30.0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</row>
    <row r="5">
      <c r="A5" s="93" t="s">
        <v>1093</v>
      </c>
      <c r="B5" s="93">
        <f>COUNTIF(V15:V44,"PASS")</f>
        <v>30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</row>
    <row r="6">
      <c r="A6" s="93" t="s">
        <v>1094</v>
      </c>
      <c r="B6" s="93">
        <f>COUNTIF(V15:V44,"FAIL")</f>
        <v>0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</row>
    <row r="7">
      <c r="A7" s="93" t="s">
        <v>1095</v>
      </c>
      <c r="B7" s="93">
        <v>0.0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</row>
    <row r="8" ht="25.5" customHeight="1">
      <c r="A8" s="93"/>
      <c r="B8" s="93"/>
      <c r="C8" s="112" t="s">
        <v>1096</v>
      </c>
      <c r="P8" s="93"/>
      <c r="Q8" s="93"/>
      <c r="R8" s="93"/>
      <c r="S8" s="93"/>
      <c r="T8" s="93"/>
      <c r="U8" s="93"/>
      <c r="V8" s="93"/>
      <c r="W8" s="93"/>
    </row>
    <row r="9" ht="28.5" customHeight="1">
      <c r="A9" s="93"/>
      <c r="B9" s="93"/>
      <c r="C9" s="95" t="s">
        <v>1097</v>
      </c>
      <c r="P9" s="93"/>
      <c r="Q9" s="93"/>
      <c r="R9" s="93"/>
      <c r="S9" s="93"/>
      <c r="T9" s="93"/>
      <c r="U9" s="93"/>
      <c r="V9" s="93"/>
      <c r="W9" s="93"/>
    </row>
    <row r="10" ht="28.5" customHeight="1">
      <c r="A10" s="93"/>
      <c r="B10" s="93"/>
      <c r="C10" s="95" t="s">
        <v>1098</v>
      </c>
      <c r="P10" s="93"/>
      <c r="Q10" s="93"/>
      <c r="R10" s="93"/>
      <c r="S10" s="93"/>
      <c r="T10" s="93"/>
      <c r="U10" s="93"/>
      <c r="V10" s="93"/>
      <c r="W10" s="93"/>
    </row>
    <row r="1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</row>
    <row r="14" ht="55.5" customHeight="1">
      <c r="A14" s="99" t="s">
        <v>1099</v>
      </c>
      <c r="B14" s="99" t="s">
        <v>1100</v>
      </c>
      <c r="C14" s="99" t="s">
        <v>1101</v>
      </c>
      <c r="D14" s="99" t="s">
        <v>1102</v>
      </c>
      <c r="E14" s="99" t="s">
        <v>1103</v>
      </c>
      <c r="F14" s="99" t="s">
        <v>1104</v>
      </c>
      <c r="G14" s="99" t="s">
        <v>1105</v>
      </c>
      <c r="H14" s="99" t="s">
        <v>952</v>
      </c>
      <c r="I14" s="99" t="s">
        <v>1106</v>
      </c>
      <c r="J14" s="99" t="s">
        <v>1107</v>
      </c>
      <c r="K14" s="99" t="s">
        <v>1032</v>
      </c>
      <c r="L14" s="99" t="s">
        <v>454</v>
      </c>
      <c r="M14" s="99" t="s">
        <v>448</v>
      </c>
      <c r="N14" s="99" t="s">
        <v>1108</v>
      </c>
      <c r="O14" s="99" t="s">
        <v>235</v>
      </c>
      <c r="P14" s="99" t="s">
        <v>243</v>
      </c>
      <c r="Q14" s="99" t="s">
        <v>244</v>
      </c>
      <c r="R14" s="99" t="s">
        <v>1109</v>
      </c>
      <c r="S14" s="99" t="s">
        <v>1110</v>
      </c>
      <c r="T14" s="99" t="s">
        <v>1111</v>
      </c>
      <c r="U14" s="99" t="s">
        <v>1112</v>
      </c>
      <c r="V14" s="99" t="s">
        <v>1113</v>
      </c>
      <c r="W14" s="99" t="s">
        <v>1114</v>
      </c>
    </row>
    <row r="15">
      <c r="A15" s="93">
        <v>1.0</v>
      </c>
      <c r="B15" s="93" t="s">
        <v>1115</v>
      </c>
      <c r="C15" s="93">
        <v>100.0</v>
      </c>
      <c r="D15" s="93">
        <v>1.0</v>
      </c>
      <c r="E15" s="93" t="b">
        <v>1</v>
      </c>
      <c r="F15" s="93" t="b">
        <v>1</v>
      </c>
      <c r="G15" s="93" t="b">
        <v>1</v>
      </c>
      <c r="H15" s="93">
        <v>3.0</v>
      </c>
      <c r="I15" s="93" t="b">
        <v>1</v>
      </c>
      <c r="J15" s="93">
        <v>40.0</v>
      </c>
      <c r="K15" s="93">
        <v>50.0</v>
      </c>
      <c r="L15" s="93">
        <v>70.0</v>
      </c>
      <c r="M15" s="93">
        <v>80.0</v>
      </c>
      <c r="N15" s="119">
        <v>0.25</v>
      </c>
      <c r="O15" s="119">
        <v>0.25</v>
      </c>
      <c r="P15" s="119">
        <v>0.25</v>
      </c>
      <c r="Q15" s="119">
        <v>0.25</v>
      </c>
      <c r="R15" s="93">
        <v>60.0</v>
      </c>
      <c r="S15" s="93">
        <f t="shared" ref="S15:S44" si="1">IF(U15&lt;&gt;"Ready","Unranked",SUMPRODUCT(J15:M15,N15:Q15))</f>
        <v>60</v>
      </c>
      <c r="T15" s="93" t="s">
        <v>1051</v>
      </c>
      <c r="U15" s="93" t="str">
        <f>IF(AND(ISNUMBER(C15),C15&gt;=MAX(10,Rules!$B$22),ISNUMBER(D15),D15&gt;=0,D15&lt;=Rules!$B$10,E15=TRUE,F15=TRUE,G15=TRUE,H15&gt;=MAX(3,Rules!$B$12),I15=TRUE,COUNT(J15:M15)=4,MIN(J15:M15)&gt;=0,MAX(J15:M15)&lt;=100,COUNT(N15:Q15)=4,MIN(N15:Q15)&gt;0,ABS(SUM(N15:Q15)-1)&lt;=0.000001),"Ready","Unranked")</f>
        <v>Ready</v>
      </c>
      <c r="V15" s="93" t="str">
        <f t="shared" ref="V15:V44" si="2">IF(AND(T15=U15,IF(ISNUMBER(R15),IF(ISNUMBER(S15),ABS(R15-S15)&lt;0.000001,FALSE),R15=S15)),"PASS","FAIL")</f>
        <v>PASS</v>
      </c>
      <c r="W15" s="93">
        <f t="shared" ref="W15:W44" si="3">IF(U15="Ready",10*MAX(N15:Q15),"n.a.")</f>
        <v>2.5</v>
      </c>
    </row>
    <row r="16">
      <c r="A16" s="93">
        <v>2.0</v>
      </c>
      <c r="B16" s="93" t="s">
        <v>1116</v>
      </c>
      <c r="C16" s="93">
        <v>100.0</v>
      </c>
      <c r="D16" s="93">
        <v>1.0</v>
      </c>
      <c r="E16" s="93" t="b">
        <v>1</v>
      </c>
      <c r="F16" s="93" t="b">
        <v>1</v>
      </c>
      <c r="G16" s="93" t="b">
        <v>1</v>
      </c>
      <c r="H16" s="93">
        <v>3.0</v>
      </c>
      <c r="I16" s="93" t="b">
        <v>1</v>
      </c>
      <c r="J16" s="93">
        <v>0.0</v>
      </c>
      <c r="K16" s="93">
        <v>0.0</v>
      </c>
      <c r="L16" s="93">
        <v>0.0</v>
      </c>
      <c r="M16" s="93">
        <v>0.0</v>
      </c>
      <c r="N16" s="119">
        <v>0.25</v>
      </c>
      <c r="O16" s="119">
        <v>0.25</v>
      </c>
      <c r="P16" s="119">
        <v>0.25</v>
      </c>
      <c r="Q16" s="119">
        <v>0.25</v>
      </c>
      <c r="R16" s="93">
        <v>0.0</v>
      </c>
      <c r="S16" s="93">
        <f t="shared" si="1"/>
        <v>0</v>
      </c>
      <c r="T16" s="93" t="s">
        <v>1051</v>
      </c>
      <c r="U16" s="93" t="str">
        <f>IF(AND(ISNUMBER(C16),C16&gt;=MAX(10,Rules!$B$22),ISNUMBER(D16),D16&gt;=0,D16&lt;=Rules!$B$10,E16=TRUE,F16=TRUE,G16=TRUE,H16&gt;=MAX(3,Rules!$B$12),I16=TRUE,COUNT(J16:M16)=4,MIN(J16:M16)&gt;=0,MAX(J16:M16)&lt;=100,COUNT(N16:Q16)=4,MIN(N16:Q16)&gt;0,ABS(SUM(N16:Q16)-1)&lt;=0.000001),"Ready","Unranked")</f>
        <v>Ready</v>
      </c>
      <c r="V16" s="93" t="str">
        <f t="shared" si="2"/>
        <v>PASS</v>
      </c>
      <c r="W16" s="93">
        <f t="shared" si="3"/>
        <v>2.5</v>
      </c>
    </row>
    <row r="17">
      <c r="A17" s="93">
        <v>3.0</v>
      </c>
      <c r="B17" s="93" t="s">
        <v>1117</v>
      </c>
      <c r="C17" s="93">
        <v>100.0</v>
      </c>
      <c r="D17" s="93">
        <v>1.0</v>
      </c>
      <c r="E17" s="93" t="b">
        <v>1</v>
      </c>
      <c r="F17" s="93" t="b">
        <v>1</v>
      </c>
      <c r="G17" s="93" t="b">
        <v>1</v>
      </c>
      <c r="H17" s="93">
        <v>3.0</v>
      </c>
      <c r="I17" s="93" t="b">
        <v>1</v>
      </c>
      <c r="J17" s="93">
        <v>100.0</v>
      </c>
      <c r="K17" s="93">
        <v>100.0</v>
      </c>
      <c r="L17" s="93">
        <v>100.0</v>
      </c>
      <c r="M17" s="93">
        <v>100.0</v>
      </c>
      <c r="N17" s="119">
        <v>0.25</v>
      </c>
      <c r="O17" s="119">
        <v>0.25</v>
      </c>
      <c r="P17" s="119">
        <v>0.25</v>
      </c>
      <c r="Q17" s="119">
        <v>0.25</v>
      </c>
      <c r="R17" s="93">
        <v>100.0</v>
      </c>
      <c r="S17" s="93">
        <f t="shared" si="1"/>
        <v>100</v>
      </c>
      <c r="T17" s="93" t="s">
        <v>1051</v>
      </c>
      <c r="U17" s="93" t="str">
        <f>IF(AND(ISNUMBER(C17),C17&gt;=MAX(10,Rules!$B$22),ISNUMBER(D17),D17&gt;=0,D17&lt;=Rules!$B$10,E17=TRUE,F17=TRUE,G17=TRUE,H17&gt;=MAX(3,Rules!$B$12),I17=TRUE,COUNT(J17:M17)=4,MIN(J17:M17)&gt;=0,MAX(J17:M17)&lt;=100,COUNT(N17:Q17)=4,MIN(N17:Q17)&gt;0,ABS(SUM(N17:Q17)-1)&lt;=0.000001),"Ready","Unranked")</f>
        <v>Ready</v>
      </c>
      <c r="V17" s="93" t="str">
        <f t="shared" si="2"/>
        <v>PASS</v>
      </c>
      <c r="W17" s="93">
        <f t="shared" si="3"/>
        <v>2.5</v>
      </c>
    </row>
    <row r="18">
      <c r="A18" s="93">
        <v>4.0</v>
      </c>
      <c r="B18" s="93" t="s">
        <v>1118</v>
      </c>
      <c r="C18" s="93">
        <v>100.0</v>
      </c>
      <c r="D18" s="93">
        <v>1.0</v>
      </c>
      <c r="E18" s="93" t="b">
        <v>1</v>
      </c>
      <c r="F18" s="93" t="b">
        <v>1</v>
      </c>
      <c r="G18" s="93" t="b">
        <v>1</v>
      </c>
      <c r="H18" s="93">
        <v>3.0</v>
      </c>
      <c r="I18" s="93" t="b">
        <v>1</v>
      </c>
      <c r="J18" s="93">
        <v>100.0</v>
      </c>
      <c r="K18" s="93">
        <v>0.0</v>
      </c>
      <c r="L18" s="93">
        <v>0.0</v>
      </c>
      <c r="M18" s="93">
        <v>0.0</v>
      </c>
      <c r="N18" s="119">
        <v>0.25</v>
      </c>
      <c r="O18" s="119">
        <v>0.25</v>
      </c>
      <c r="P18" s="119">
        <v>0.25</v>
      </c>
      <c r="Q18" s="119">
        <v>0.25</v>
      </c>
      <c r="R18" s="93">
        <v>25.0</v>
      </c>
      <c r="S18" s="93">
        <f t="shared" si="1"/>
        <v>25</v>
      </c>
      <c r="T18" s="93" t="s">
        <v>1051</v>
      </c>
      <c r="U18" s="93" t="str">
        <f>IF(AND(ISNUMBER(C18),C18&gt;=MAX(10,Rules!$B$22),ISNUMBER(D18),D18&gt;=0,D18&lt;=Rules!$B$10,E18=TRUE,F18=TRUE,G18=TRUE,H18&gt;=MAX(3,Rules!$B$12),I18=TRUE,COUNT(J18:M18)=4,MIN(J18:M18)&gt;=0,MAX(J18:M18)&lt;=100,COUNT(N18:Q18)=4,MIN(N18:Q18)&gt;0,ABS(SUM(N18:Q18)-1)&lt;=0.000001),"Ready","Unranked")</f>
        <v>Ready</v>
      </c>
      <c r="V18" s="93" t="str">
        <f t="shared" si="2"/>
        <v>PASS</v>
      </c>
      <c r="W18" s="93">
        <f t="shared" si="3"/>
        <v>2.5</v>
      </c>
    </row>
    <row r="19">
      <c r="A19" s="93">
        <v>5.0</v>
      </c>
      <c r="B19" s="93" t="s">
        <v>1119</v>
      </c>
      <c r="C19" s="93">
        <v>100.0</v>
      </c>
      <c r="D19" s="93">
        <v>1.0</v>
      </c>
      <c r="E19" s="93" t="b">
        <v>1</v>
      </c>
      <c r="F19" s="93" t="b">
        <v>1</v>
      </c>
      <c r="G19" s="93" t="b">
        <v>1</v>
      </c>
      <c r="H19" s="93">
        <v>3.0</v>
      </c>
      <c r="I19" s="93" t="b">
        <v>1</v>
      </c>
      <c r="J19" s="93">
        <v>0.0</v>
      </c>
      <c r="K19" s="93">
        <v>100.0</v>
      </c>
      <c r="L19" s="93">
        <v>0.0</v>
      </c>
      <c r="M19" s="93">
        <v>0.0</v>
      </c>
      <c r="N19" s="119">
        <v>0.25</v>
      </c>
      <c r="O19" s="119">
        <v>0.25</v>
      </c>
      <c r="P19" s="119">
        <v>0.25</v>
      </c>
      <c r="Q19" s="119">
        <v>0.25</v>
      </c>
      <c r="R19" s="93">
        <v>25.0</v>
      </c>
      <c r="S19" s="93">
        <f t="shared" si="1"/>
        <v>25</v>
      </c>
      <c r="T19" s="93" t="s">
        <v>1051</v>
      </c>
      <c r="U19" s="93" t="str">
        <f>IF(AND(ISNUMBER(C19),C19&gt;=MAX(10,Rules!$B$22),ISNUMBER(D19),D19&gt;=0,D19&lt;=Rules!$B$10,E19=TRUE,F19=TRUE,G19=TRUE,H19&gt;=MAX(3,Rules!$B$12),I19=TRUE,COUNT(J19:M19)=4,MIN(J19:M19)&gt;=0,MAX(J19:M19)&lt;=100,COUNT(N19:Q19)=4,MIN(N19:Q19)&gt;0,ABS(SUM(N19:Q19)-1)&lt;=0.000001),"Ready","Unranked")</f>
        <v>Ready</v>
      </c>
      <c r="V19" s="93" t="str">
        <f t="shared" si="2"/>
        <v>PASS</v>
      </c>
      <c r="W19" s="93">
        <f t="shared" si="3"/>
        <v>2.5</v>
      </c>
    </row>
    <row r="20">
      <c r="A20" s="93">
        <v>6.0</v>
      </c>
      <c r="B20" s="93" t="s">
        <v>1120</v>
      </c>
      <c r="C20" s="93">
        <v>100.0</v>
      </c>
      <c r="D20" s="93">
        <v>1.0</v>
      </c>
      <c r="E20" s="93" t="b">
        <v>1</v>
      </c>
      <c r="F20" s="93" t="b">
        <v>1</v>
      </c>
      <c r="G20" s="93" t="b">
        <v>1</v>
      </c>
      <c r="H20" s="93">
        <v>3.0</v>
      </c>
      <c r="I20" s="93" t="b">
        <v>1</v>
      </c>
      <c r="J20" s="93">
        <v>0.0</v>
      </c>
      <c r="K20" s="93">
        <v>0.0</v>
      </c>
      <c r="L20" s="93">
        <v>100.0</v>
      </c>
      <c r="M20" s="93">
        <v>0.0</v>
      </c>
      <c r="N20" s="119">
        <v>0.25</v>
      </c>
      <c r="O20" s="119">
        <v>0.25</v>
      </c>
      <c r="P20" s="119">
        <v>0.25</v>
      </c>
      <c r="Q20" s="119">
        <v>0.25</v>
      </c>
      <c r="R20" s="93">
        <v>25.0</v>
      </c>
      <c r="S20" s="93">
        <f t="shared" si="1"/>
        <v>25</v>
      </c>
      <c r="T20" s="93" t="s">
        <v>1051</v>
      </c>
      <c r="U20" s="93" t="str">
        <f>IF(AND(ISNUMBER(C20),C20&gt;=MAX(10,Rules!$B$22),ISNUMBER(D20),D20&gt;=0,D20&lt;=Rules!$B$10,E20=TRUE,F20=TRUE,G20=TRUE,H20&gt;=MAX(3,Rules!$B$12),I20=TRUE,COUNT(J20:M20)=4,MIN(J20:M20)&gt;=0,MAX(J20:M20)&lt;=100,COUNT(N20:Q20)=4,MIN(N20:Q20)&gt;0,ABS(SUM(N20:Q20)-1)&lt;=0.000001),"Ready","Unranked")</f>
        <v>Ready</v>
      </c>
      <c r="V20" s="93" t="str">
        <f t="shared" si="2"/>
        <v>PASS</v>
      </c>
      <c r="W20" s="93">
        <f t="shared" si="3"/>
        <v>2.5</v>
      </c>
    </row>
    <row r="21">
      <c r="A21" s="93">
        <v>7.0</v>
      </c>
      <c r="B21" s="93" t="s">
        <v>1121</v>
      </c>
      <c r="C21" s="93">
        <v>100.0</v>
      </c>
      <c r="D21" s="93">
        <v>1.0</v>
      </c>
      <c r="E21" s="93" t="b">
        <v>1</v>
      </c>
      <c r="F21" s="93" t="b">
        <v>1</v>
      </c>
      <c r="G21" s="93" t="b">
        <v>1</v>
      </c>
      <c r="H21" s="93">
        <v>3.0</v>
      </c>
      <c r="I21" s="93" t="b">
        <v>1</v>
      </c>
      <c r="J21" s="93">
        <v>0.0</v>
      </c>
      <c r="K21" s="93">
        <v>0.0</v>
      </c>
      <c r="L21" s="93">
        <v>0.0</v>
      </c>
      <c r="M21" s="93">
        <v>100.0</v>
      </c>
      <c r="N21" s="119">
        <v>0.25</v>
      </c>
      <c r="O21" s="119">
        <v>0.25</v>
      </c>
      <c r="P21" s="119">
        <v>0.25</v>
      </c>
      <c r="Q21" s="119">
        <v>0.25</v>
      </c>
      <c r="R21" s="93">
        <v>25.0</v>
      </c>
      <c r="S21" s="93">
        <f t="shared" si="1"/>
        <v>25</v>
      </c>
      <c r="T21" s="93" t="s">
        <v>1051</v>
      </c>
      <c r="U21" s="93" t="str">
        <f>IF(AND(ISNUMBER(C21),C21&gt;=MAX(10,Rules!$B$22),ISNUMBER(D21),D21&gt;=0,D21&lt;=Rules!$B$10,E21=TRUE,F21=TRUE,G21=TRUE,H21&gt;=MAX(3,Rules!$B$12),I21=TRUE,COUNT(J21:M21)=4,MIN(J21:M21)&gt;=0,MAX(J21:M21)&lt;=100,COUNT(N21:Q21)=4,MIN(N21:Q21)&gt;0,ABS(SUM(N21:Q21)-1)&lt;=0.000001),"Ready","Unranked")</f>
        <v>Ready</v>
      </c>
      <c r="V21" s="93" t="str">
        <f t="shared" si="2"/>
        <v>PASS</v>
      </c>
      <c r="W21" s="93">
        <f t="shared" si="3"/>
        <v>2.5</v>
      </c>
    </row>
    <row r="22">
      <c r="A22" s="93">
        <v>8.0</v>
      </c>
      <c r="B22" s="93" t="s">
        <v>1122</v>
      </c>
      <c r="C22" s="93">
        <v>100.0</v>
      </c>
      <c r="D22" s="93">
        <v>1.0</v>
      </c>
      <c r="E22" s="93" t="b">
        <v>1</v>
      </c>
      <c r="F22" s="93" t="b">
        <v>1</v>
      </c>
      <c r="G22" s="93" t="b">
        <v>1</v>
      </c>
      <c r="H22" s="93">
        <v>3.0</v>
      </c>
      <c r="I22" s="93" t="b">
        <v>1</v>
      </c>
      <c r="J22" s="93">
        <v>40.0</v>
      </c>
      <c r="K22" s="93">
        <v>50.0</v>
      </c>
      <c r="L22" s="93"/>
      <c r="M22" s="93">
        <v>80.0</v>
      </c>
      <c r="N22" s="119">
        <v>0.25</v>
      </c>
      <c r="O22" s="119">
        <v>0.25</v>
      </c>
      <c r="P22" s="119">
        <v>0.25</v>
      </c>
      <c r="Q22" s="119">
        <v>0.25</v>
      </c>
      <c r="R22" s="93" t="s">
        <v>120</v>
      </c>
      <c r="S22" s="93" t="str">
        <f t="shared" si="1"/>
        <v>Unranked</v>
      </c>
      <c r="T22" s="93" t="s">
        <v>120</v>
      </c>
      <c r="U22" s="93" t="str">
        <f>IF(AND(ISNUMBER(C22),C22&gt;=MAX(10,Rules!$B$22),ISNUMBER(D22),D22&gt;=0,D22&lt;=Rules!$B$10,E22=TRUE,F22=TRUE,G22=TRUE,H22&gt;=MAX(3,Rules!$B$12),I22=TRUE,COUNT(J22:M22)=4,MIN(J22:M22)&gt;=0,MAX(J22:M22)&lt;=100,COUNT(N22:Q22)=4,MIN(N22:Q22)&gt;0,ABS(SUM(N22:Q22)-1)&lt;=0.000001),"Ready","Unranked")</f>
        <v>Unranked</v>
      </c>
      <c r="V22" s="93" t="str">
        <f t="shared" si="2"/>
        <v>PASS</v>
      </c>
      <c r="W22" s="93" t="str">
        <f t="shared" si="3"/>
        <v>n.a.</v>
      </c>
    </row>
    <row r="23">
      <c r="A23" s="93">
        <v>9.0</v>
      </c>
      <c r="B23" s="93" t="s">
        <v>1123</v>
      </c>
      <c r="C23" s="93">
        <v>100.0</v>
      </c>
      <c r="D23" s="93">
        <v>1.0</v>
      </c>
      <c r="E23" s="93" t="b">
        <v>1</v>
      </c>
      <c r="F23" s="93" t="b">
        <v>1</v>
      </c>
      <c r="G23" s="93" t="b">
        <v>1</v>
      </c>
      <c r="H23" s="93">
        <v>3.0</v>
      </c>
      <c r="I23" s="93" t="b">
        <v>1</v>
      </c>
      <c r="J23" s="93">
        <v>40.0</v>
      </c>
      <c r="K23" s="93">
        <v>50.0</v>
      </c>
      <c r="L23" s="93" t="s">
        <v>1124</v>
      </c>
      <c r="M23" s="93">
        <v>80.0</v>
      </c>
      <c r="N23" s="119">
        <v>0.25</v>
      </c>
      <c r="O23" s="119">
        <v>0.25</v>
      </c>
      <c r="P23" s="119">
        <v>0.25</v>
      </c>
      <c r="Q23" s="119">
        <v>0.25</v>
      </c>
      <c r="R23" s="93" t="s">
        <v>120</v>
      </c>
      <c r="S23" s="93" t="str">
        <f t="shared" si="1"/>
        <v>Unranked</v>
      </c>
      <c r="T23" s="93" t="s">
        <v>120</v>
      </c>
      <c r="U23" s="93" t="str">
        <f>IF(AND(ISNUMBER(C23),C23&gt;=MAX(10,Rules!$B$22),ISNUMBER(D23),D23&gt;=0,D23&lt;=Rules!$B$10,E23=TRUE,F23=TRUE,G23=TRUE,H23&gt;=MAX(3,Rules!$B$12),I23=TRUE,COUNT(J23:M23)=4,MIN(J23:M23)&gt;=0,MAX(J23:M23)&lt;=100,COUNT(N23:Q23)=4,MIN(N23:Q23)&gt;0,ABS(SUM(N23:Q23)-1)&lt;=0.000001),"Ready","Unranked")</f>
        <v>Unranked</v>
      </c>
      <c r="V23" s="93" t="str">
        <f t="shared" si="2"/>
        <v>PASS</v>
      </c>
      <c r="W23" s="93" t="str">
        <f t="shared" si="3"/>
        <v>n.a.</v>
      </c>
    </row>
    <row r="24">
      <c r="A24" s="93">
        <v>10.0</v>
      </c>
      <c r="B24" s="93" t="s">
        <v>1125</v>
      </c>
      <c r="C24" s="93">
        <v>9.999</v>
      </c>
      <c r="D24" s="93">
        <v>1.0</v>
      </c>
      <c r="E24" s="93" t="b">
        <v>1</v>
      </c>
      <c r="F24" s="93" t="b">
        <v>1</v>
      </c>
      <c r="G24" s="93" t="b">
        <v>1</v>
      </c>
      <c r="H24" s="93">
        <v>3.0</v>
      </c>
      <c r="I24" s="93" t="b">
        <v>1</v>
      </c>
      <c r="J24" s="93">
        <v>40.0</v>
      </c>
      <c r="K24" s="93">
        <v>50.0</v>
      </c>
      <c r="L24" s="93">
        <v>70.0</v>
      </c>
      <c r="M24" s="93">
        <v>80.0</v>
      </c>
      <c r="N24" s="119">
        <v>0.25</v>
      </c>
      <c r="O24" s="119">
        <v>0.25</v>
      </c>
      <c r="P24" s="119">
        <v>0.25</v>
      </c>
      <c r="Q24" s="119">
        <v>0.25</v>
      </c>
      <c r="R24" s="93" t="s">
        <v>120</v>
      </c>
      <c r="S24" s="93" t="str">
        <f t="shared" si="1"/>
        <v>Unranked</v>
      </c>
      <c r="T24" s="93" t="s">
        <v>120</v>
      </c>
      <c r="U24" s="93" t="str">
        <f>IF(AND(ISNUMBER(C24),C24&gt;=MAX(10,Rules!$B$22),ISNUMBER(D24),D24&gt;=0,D24&lt;=Rules!$B$10,E24=TRUE,F24=TRUE,G24=TRUE,H24&gt;=MAX(3,Rules!$B$12),I24=TRUE,COUNT(J24:M24)=4,MIN(J24:M24)&gt;=0,MAX(J24:M24)&lt;=100,COUNT(N24:Q24)=4,MIN(N24:Q24)&gt;0,ABS(SUM(N24:Q24)-1)&lt;=0.000001),"Ready","Unranked")</f>
        <v>Unranked</v>
      </c>
      <c r="V24" s="93" t="str">
        <f t="shared" si="2"/>
        <v>PASS</v>
      </c>
      <c r="W24" s="93" t="str">
        <f t="shared" si="3"/>
        <v>n.a.</v>
      </c>
    </row>
    <row r="25">
      <c r="A25" s="93">
        <v>11.0</v>
      </c>
      <c r="B25" s="93" t="s">
        <v>1126</v>
      </c>
      <c r="C25" s="93">
        <v>10.0</v>
      </c>
      <c r="D25" s="93">
        <v>1.0</v>
      </c>
      <c r="E25" s="93" t="b">
        <v>1</v>
      </c>
      <c r="F25" s="93" t="b">
        <v>1</v>
      </c>
      <c r="G25" s="93" t="b">
        <v>1</v>
      </c>
      <c r="H25" s="93">
        <v>3.0</v>
      </c>
      <c r="I25" s="93" t="b">
        <v>1</v>
      </c>
      <c r="J25" s="93">
        <v>40.0</v>
      </c>
      <c r="K25" s="93">
        <v>50.0</v>
      </c>
      <c r="L25" s="93">
        <v>70.0</v>
      </c>
      <c r="M25" s="93">
        <v>80.0</v>
      </c>
      <c r="N25" s="119">
        <v>0.25</v>
      </c>
      <c r="O25" s="119">
        <v>0.25</v>
      </c>
      <c r="P25" s="119">
        <v>0.25</v>
      </c>
      <c r="Q25" s="119">
        <v>0.25</v>
      </c>
      <c r="R25" s="93">
        <v>60.0</v>
      </c>
      <c r="S25" s="93">
        <f t="shared" si="1"/>
        <v>60</v>
      </c>
      <c r="T25" s="93" t="s">
        <v>1051</v>
      </c>
      <c r="U25" s="93" t="str">
        <f>IF(AND(ISNUMBER(C25),C25&gt;=MAX(10,Rules!$B$22),ISNUMBER(D25),D25&gt;=0,D25&lt;=Rules!$B$10,E25=TRUE,F25=TRUE,G25=TRUE,H25&gt;=MAX(3,Rules!$B$12),I25=TRUE,COUNT(J25:M25)=4,MIN(J25:M25)&gt;=0,MAX(J25:M25)&lt;=100,COUNT(N25:Q25)=4,MIN(N25:Q25)&gt;0,ABS(SUM(N25:Q25)-1)&lt;=0.000001),"Ready","Unranked")</f>
        <v>Ready</v>
      </c>
      <c r="V25" s="93" t="str">
        <f t="shared" si="2"/>
        <v>PASS</v>
      </c>
      <c r="W25" s="93">
        <f t="shared" si="3"/>
        <v>2.5</v>
      </c>
    </row>
    <row r="26">
      <c r="A26" s="93">
        <v>12.0</v>
      </c>
      <c r="B26" s="93" t="s">
        <v>1127</v>
      </c>
      <c r="C26" s="93">
        <v>100.0</v>
      </c>
      <c r="D26" s="93">
        <v>-1.0</v>
      </c>
      <c r="E26" s="93" t="b">
        <v>1</v>
      </c>
      <c r="F26" s="93" t="b">
        <v>1</v>
      </c>
      <c r="G26" s="93" t="b">
        <v>1</v>
      </c>
      <c r="H26" s="93">
        <v>3.0</v>
      </c>
      <c r="I26" s="93" t="b">
        <v>1</v>
      </c>
      <c r="J26" s="93">
        <v>40.0</v>
      </c>
      <c r="K26" s="93">
        <v>50.0</v>
      </c>
      <c r="L26" s="93">
        <v>70.0</v>
      </c>
      <c r="M26" s="93">
        <v>80.0</v>
      </c>
      <c r="N26" s="119">
        <v>0.25</v>
      </c>
      <c r="O26" s="119">
        <v>0.25</v>
      </c>
      <c r="P26" s="119">
        <v>0.25</v>
      </c>
      <c r="Q26" s="119">
        <v>0.25</v>
      </c>
      <c r="R26" s="93" t="s">
        <v>120</v>
      </c>
      <c r="S26" s="93" t="str">
        <f t="shared" si="1"/>
        <v>Unranked</v>
      </c>
      <c r="T26" s="93" t="s">
        <v>120</v>
      </c>
      <c r="U26" s="93" t="str">
        <f>IF(AND(ISNUMBER(C26),C26&gt;=MAX(10,Rules!$B$22),ISNUMBER(D26),D26&gt;=0,D26&lt;=Rules!$B$10,E26=TRUE,F26=TRUE,G26=TRUE,H26&gt;=MAX(3,Rules!$B$12),I26=TRUE,COUNT(J26:M26)=4,MIN(J26:M26)&gt;=0,MAX(J26:M26)&lt;=100,COUNT(N26:Q26)=4,MIN(N26:Q26)&gt;0,ABS(SUM(N26:Q26)-1)&lt;=0.000001),"Ready","Unranked")</f>
        <v>Unranked</v>
      </c>
      <c r="V26" s="93" t="str">
        <f t="shared" si="2"/>
        <v>PASS</v>
      </c>
      <c r="W26" s="93" t="str">
        <f t="shared" si="3"/>
        <v>n.a.</v>
      </c>
    </row>
    <row r="27">
      <c r="A27" s="93">
        <v>13.0</v>
      </c>
      <c r="B27" s="93" t="s">
        <v>1128</v>
      </c>
      <c r="C27" s="93">
        <v>100.0</v>
      </c>
      <c r="D27" s="93">
        <v>8.0</v>
      </c>
      <c r="E27" s="93" t="b">
        <v>1</v>
      </c>
      <c r="F27" s="93" t="b">
        <v>1</v>
      </c>
      <c r="G27" s="93" t="b">
        <v>1</v>
      </c>
      <c r="H27" s="93">
        <v>3.0</v>
      </c>
      <c r="I27" s="93" t="b">
        <v>1</v>
      </c>
      <c r="J27" s="93">
        <v>40.0</v>
      </c>
      <c r="K27" s="93">
        <v>50.0</v>
      </c>
      <c r="L27" s="93">
        <v>70.0</v>
      </c>
      <c r="M27" s="93">
        <v>80.0</v>
      </c>
      <c r="N27" s="119">
        <v>0.25</v>
      </c>
      <c r="O27" s="119">
        <v>0.25</v>
      </c>
      <c r="P27" s="119">
        <v>0.25</v>
      </c>
      <c r="Q27" s="119">
        <v>0.25</v>
      </c>
      <c r="R27" s="93" t="s">
        <v>120</v>
      </c>
      <c r="S27" s="93" t="str">
        <f t="shared" si="1"/>
        <v>Unranked</v>
      </c>
      <c r="T27" s="93" t="s">
        <v>120</v>
      </c>
      <c r="U27" s="93" t="str">
        <f>IF(AND(ISNUMBER(C27),C27&gt;=MAX(10,Rules!$B$22),ISNUMBER(D27),D27&gt;=0,D27&lt;=Rules!$B$10,E27=TRUE,F27=TRUE,G27=TRUE,H27&gt;=MAX(3,Rules!$B$12),I27=TRUE,COUNT(J27:M27)=4,MIN(J27:M27)&gt;=0,MAX(J27:M27)&lt;=100,COUNT(N27:Q27)=4,MIN(N27:Q27)&gt;0,ABS(SUM(N27:Q27)-1)&lt;=0.000001),"Ready","Unranked")</f>
        <v>Unranked</v>
      </c>
      <c r="V27" s="93" t="str">
        <f t="shared" si="2"/>
        <v>PASS</v>
      </c>
      <c r="W27" s="93" t="str">
        <f t="shared" si="3"/>
        <v>n.a.</v>
      </c>
    </row>
    <row r="28">
      <c r="A28" s="93">
        <v>14.0</v>
      </c>
      <c r="B28" s="93" t="s">
        <v>1129</v>
      </c>
      <c r="C28" s="93">
        <v>100.0</v>
      </c>
      <c r="D28" s="93">
        <v>7.0</v>
      </c>
      <c r="E28" s="93" t="b">
        <v>1</v>
      </c>
      <c r="F28" s="93" t="b">
        <v>1</v>
      </c>
      <c r="G28" s="93" t="b">
        <v>1</v>
      </c>
      <c r="H28" s="93">
        <v>3.0</v>
      </c>
      <c r="I28" s="93" t="b">
        <v>1</v>
      </c>
      <c r="J28" s="93">
        <v>40.0</v>
      </c>
      <c r="K28" s="93">
        <v>50.0</v>
      </c>
      <c r="L28" s="93">
        <v>70.0</v>
      </c>
      <c r="M28" s="93">
        <v>80.0</v>
      </c>
      <c r="N28" s="119">
        <v>0.25</v>
      </c>
      <c r="O28" s="119">
        <v>0.25</v>
      </c>
      <c r="P28" s="119">
        <v>0.25</v>
      </c>
      <c r="Q28" s="119">
        <v>0.25</v>
      </c>
      <c r="R28" s="93">
        <v>60.0</v>
      </c>
      <c r="S28" s="93">
        <f t="shared" si="1"/>
        <v>60</v>
      </c>
      <c r="T28" s="93" t="s">
        <v>1051</v>
      </c>
      <c r="U28" s="93" t="str">
        <f>IF(AND(ISNUMBER(C28),C28&gt;=MAX(10,Rules!$B$22),ISNUMBER(D28),D28&gt;=0,D28&lt;=Rules!$B$10,E28=TRUE,F28=TRUE,G28=TRUE,H28&gt;=MAX(3,Rules!$B$12),I28=TRUE,COUNT(J28:M28)=4,MIN(J28:M28)&gt;=0,MAX(J28:M28)&lt;=100,COUNT(N28:Q28)=4,MIN(N28:Q28)&gt;0,ABS(SUM(N28:Q28)-1)&lt;=0.000001),"Ready","Unranked")</f>
        <v>Ready</v>
      </c>
      <c r="V28" s="93" t="str">
        <f t="shared" si="2"/>
        <v>PASS</v>
      </c>
      <c r="W28" s="93">
        <f t="shared" si="3"/>
        <v>2.5</v>
      </c>
    </row>
    <row r="29">
      <c r="A29" s="93">
        <v>15.0</v>
      </c>
      <c r="B29" s="93" t="s">
        <v>1130</v>
      </c>
      <c r="C29" s="93">
        <v>100.0</v>
      </c>
      <c r="D29" s="93">
        <v>1.0</v>
      </c>
      <c r="E29" s="93" t="b">
        <v>0</v>
      </c>
      <c r="F29" s="93" t="b">
        <v>1</v>
      </c>
      <c r="G29" s="93" t="b">
        <v>1</v>
      </c>
      <c r="H29" s="93">
        <v>3.0</v>
      </c>
      <c r="I29" s="93" t="b">
        <v>1</v>
      </c>
      <c r="J29" s="93">
        <v>40.0</v>
      </c>
      <c r="K29" s="93">
        <v>50.0</v>
      </c>
      <c r="L29" s="93">
        <v>70.0</v>
      </c>
      <c r="M29" s="93">
        <v>80.0</v>
      </c>
      <c r="N29" s="119">
        <v>0.25</v>
      </c>
      <c r="O29" s="119">
        <v>0.25</v>
      </c>
      <c r="P29" s="119">
        <v>0.25</v>
      </c>
      <c r="Q29" s="119">
        <v>0.25</v>
      </c>
      <c r="R29" s="93" t="s">
        <v>120</v>
      </c>
      <c r="S29" s="93" t="str">
        <f t="shared" si="1"/>
        <v>Unranked</v>
      </c>
      <c r="T29" s="93" t="s">
        <v>120</v>
      </c>
      <c r="U29" s="93" t="str">
        <f>IF(AND(ISNUMBER(C29),C29&gt;=MAX(10,Rules!$B$22),ISNUMBER(D29),D29&gt;=0,D29&lt;=Rules!$B$10,E29=TRUE,F29=TRUE,G29=TRUE,H29&gt;=MAX(3,Rules!$B$12),I29=TRUE,COUNT(J29:M29)=4,MIN(J29:M29)&gt;=0,MAX(J29:M29)&lt;=100,COUNT(N29:Q29)=4,MIN(N29:Q29)&gt;0,ABS(SUM(N29:Q29)-1)&lt;=0.000001),"Ready","Unranked")</f>
        <v>Unranked</v>
      </c>
      <c r="V29" s="93" t="str">
        <f t="shared" si="2"/>
        <v>PASS</v>
      </c>
      <c r="W29" s="93" t="str">
        <f t="shared" si="3"/>
        <v>n.a.</v>
      </c>
    </row>
    <row r="30">
      <c r="A30" s="93">
        <v>16.0</v>
      </c>
      <c r="B30" s="93" t="s">
        <v>1131</v>
      </c>
      <c r="C30" s="93">
        <v>100.0</v>
      </c>
      <c r="D30" s="93">
        <v>1.0</v>
      </c>
      <c r="E30" s="93" t="b">
        <v>1</v>
      </c>
      <c r="F30" s="93" t="b">
        <v>0</v>
      </c>
      <c r="G30" s="93" t="b">
        <v>1</v>
      </c>
      <c r="H30" s="93">
        <v>3.0</v>
      </c>
      <c r="I30" s="93" t="b">
        <v>1</v>
      </c>
      <c r="J30" s="93">
        <v>40.0</v>
      </c>
      <c r="K30" s="93">
        <v>50.0</v>
      </c>
      <c r="L30" s="93">
        <v>70.0</v>
      </c>
      <c r="M30" s="93">
        <v>80.0</v>
      </c>
      <c r="N30" s="119">
        <v>0.25</v>
      </c>
      <c r="O30" s="119">
        <v>0.25</v>
      </c>
      <c r="P30" s="119">
        <v>0.25</v>
      </c>
      <c r="Q30" s="119">
        <v>0.25</v>
      </c>
      <c r="R30" s="93" t="s">
        <v>120</v>
      </c>
      <c r="S30" s="93" t="str">
        <f t="shared" si="1"/>
        <v>Unranked</v>
      </c>
      <c r="T30" s="93" t="s">
        <v>120</v>
      </c>
      <c r="U30" s="93" t="str">
        <f>IF(AND(ISNUMBER(C30),C30&gt;=MAX(10,Rules!$B$22),ISNUMBER(D30),D30&gt;=0,D30&lt;=Rules!$B$10,E30=TRUE,F30=TRUE,G30=TRUE,H30&gt;=MAX(3,Rules!$B$12),I30=TRUE,COUNT(J30:M30)=4,MIN(J30:M30)&gt;=0,MAX(J30:M30)&lt;=100,COUNT(N30:Q30)=4,MIN(N30:Q30)&gt;0,ABS(SUM(N30:Q30)-1)&lt;=0.000001),"Ready","Unranked")</f>
        <v>Unranked</v>
      </c>
      <c r="V30" s="93" t="str">
        <f t="shared" si="2"/>
        <v>PASS</v>
      </c>
      <c r="W30" s="93" t="str">
        <f t="shared" si="3"/>
        <v>n.a.</v>
      </c>
    </row>
    <row r="31">
      <c r="A31" s="93">
        <v>17.0</v>
      </c>
      <c r="B31" s="93" t="s">
        <v>1132</v>
      </c>
      <c r="C31" s="93">
        <v>100.0</v>
      </c>
      <c r="D31" s="93">
        <v>1.0</v>
      </c>
      <c r="E31" s="93" t="b">
        <v>1</v>
      </c>
      <c r="F31" s="93" t="b">
        <v>1</v>
      </c>
      <c r="G31" s="93" t="b">
        <v>0</v>
      </c>
      <c r="H31" s="93">
        <v>3.0</v>
      </c>
      <c r="I31" s="93" t="b">
        <v>1</v>
      </c>
      <c r="J31" s="93">
        <v>40.0</v>
      </c>
      <c r="K31" s="93">
        <v>50.0</v>
      </c>
      <c r="L31" s="93">
        <v>70.0</v>
      </c>
      <c r="M31" s="93">
        <v>80.0</v>
      </c>
      <c r="N31" s="119">
        <v>0.25</v>
      </c>
      <c r="O31" s="119">
        <v>0.25</v>
      </c>
      <c r="P31" s="119">
        <v>0.25</v>
      </c>
      <c r="Q31" s="119">
        <v>0.25</v>
      </c>
      <c r="R31" s="93" t="s">
        <v>120</v>
      </c>
      <c r="S31" s="93" t="str">
        <f t="shared" si="1"/>
        <v>Unranked</v>
      </c>
      <c r="T31" s="93" t="s">
        <v>120</v>
      </c>
      <c r="U31" s="93" t="str">
        <f>IF(AND(ISNUMBER(C31),C31&gt;=MAX(10,Rules!$B$22),ISNUMBER(D31),D31&gt;=0,D31&lt;=Rules!$B$10,E31=TRUE,F31=TRUE,G31=TRUE,H31&gt;=MAX(3,Rules!$B$12),I31=TRUE,COUNT(J31:M31)=4,MIN(J31:M31)&gt;=0,MAX(J31:M31)&lt;=100,COUNT(N31:Q31)=4,MIN(N31:Q31)&gt;0,ABS(SUM(N31:Q31)-1)&lt;=0.000001),"Ready","Unranked")</f>
        <v>Unranked</v>
      </c>
      <c r="V31" s="93" t="str">
        <f t="shared" si="2"/>
        <v>PASS</v>
      </c>
      <c r="W31" s="93" t="str">
        <f t="shared" si="3"/>
        <v>n.a.</v>
      </c>
    </row>
    <row r="32">
      <c r="A32" s="93">
        <v>18.0</v>
      </c>
      <c r="B32" s="93" t="s">
        <v>1133</v>
      </c>
      <c r="C32" s="93">
        <v>100.0</v>
      </c>
      <c r="D32" s="93">
        <v>1.0</v>
      </c>
      <c r="E32" s="93" t="b">
        <v>1</v>
      </c>
      <c r="F32" s="93" t="b">
        <v>1</v>
      </c>
      <c r="G32" s="93" t="b">
        <v>1</v>
      </c>
      <c r="H32" s="93">
        <v>2.0</v>
      </c>
      <c r="I32" s="93" t="b">
        <v>1</v>
      </c>
      <c r="J32" s="93">
        <v>40.0</v>
      </c>
      <c r="K32" s="93">
        <v>50.0</v>
      </c>
      <c r="L32" s="93">
        <v>70.0</v>
      </c>
      <c r="M32" s="93">
        <v>80.0</v>
      </c>
      <c r="N32" s="119">
        <v>0.25</v>
      </c>
      <c r="O32" s="119">
        <v>0.25</v>
      </c>
      <c r="P32" s="119">
        <v>0.25</v>
      </c>
      <c r="Q32" s="119">
        <v>0.25</v>
      </c>
      <c r="R32" s="93" t="s">
        <v>120</v>
      </c>
      <c r="S32" s="93" t="str">
        <f t="shared" si="1"/>
        <v>Unranked</v>
      </c>
      <c r="T32" s="93" t="s">
        <v>120</v>
      </c>
      <c r="U32" s="93" t="str">
        <f>IF(AND(ISNUMBER(C32),C32&gt;=MAX(10,Rules!$B$22),ISNUMBER(D32),D32&gt;=0,D32&lt;=Rules!$B$10,E32=TRUE,F32=TRUE,G32=TRUE,H32&gt;=MAX(3,Rules!$B$12),I32=TRUE,COUNT(J32:M32)=4,MIN(J32:M32)&gt;=0,MAX(J32:M32)&lt;=100,COUNT(N32:Q32)=4,MIN(N32:Q32)&gt;0,ABS(SUM(N32:Q32)-1)&lt;=0.000001),"Ready","Unranked")</f>
        <v>Unranked</v>
      </c>
      <c r="V32" s="93" t="str">
        <f t="shared" si="2"/>
        <v>PASS</v>
      </c>
      <c r="W32" s="93" t="str">
        <f t="shared" si="3"/>
        <v>n.a.</v>
      </c>
    </row>
    <row r="33">
      <c r="A33" s="93">
        <v>19.0</v>
      </c>
      <c r="B33" s="93" t="s">
        <v>1134</v>
      </c>
      <c r="C33" s="93">
        <v>100.0</v>
      </c>
      <c r="D33" s="93">
        <v>1.0</v>
      </c>
      <c r="E33" s="93" t="b">
        <v>1</v>
      </c>
      <c r="F33" s="93" t="b">
        <v>1</v>
      </c>
      <c r="G33" s="93" t="b">
        <v>1</v>
      </c>
      <c r="H33" s="93">
        <v>3.0</v>
      </c>
      <c r="I33" s="93" t="b">
        <v>0</v>
      </c>
      <c r="J33" s="93">
        <v>40.0</v>
      </c>
      <c r="K33" s="93">
        <v>50.0</v>
      </c>
      <c r="L33" s="93">
        <v>70.0</v>
      </c>
      <c r="M33" s="93">
        <v>80.0</v>
      </c>
      <c r="N33" s="119">
        <v>0.25</v>
      </c>
      <c r="O33" s="119">
        <v>0.25</v>
      </c>
      <c r="P33" s="119">
        <v>0.25</v>
      </c>
      <c r="Q33" s="119">
        <v>0.25</v>
      </c>
      <c r="R33" s="93" t="s">
        <v>120</v>
      </c>
      <c r="S33" s="93" t="str">
        <f t="shared" si="1"/>
        <v>Unranked</v>
      </c>
      <c r="T33" s="93" t="s">
        <v>120</v>
      </c>
      <c r="U33" s="93" t="str">
        <f>IF(AND(ISNUMBER(C33),C33&gt;=MAX(10,Rules!$B$22),ISNUMBER(D33),D33&gt;=0,D33&lt;=Rules!$B$10,E33=TRUE,F33=TRUE,G33=TRUE,H33&gt;=MAX(3,Rules!$B$12),I33=TRUE,COUNT(J33:M33)=4,MIN(J33:M33)&gt;=0,MAX(J33:M33)&lt;=100,COUNT(N33:Q33)=4,MIN(N33:Q33)&gt;0,ABS(SUM(N33:Q33)-1)&lt;=0.000001),"Ready","Unranked")</f>
        <v>Unranked</v>
      </c>
      <c r="V33" s="93" t="str">
        <f t="shared" si="2"/>
        <v>PASS</v>
      </c>
      <c r="W33" s="93" t="str">
        <f t="shared" si="3"/>
        <v>n.a.</v>
      </c>
    </row>
    <row r="34">
      <c r="A34" s="93">
        <v>20.0</v>
      </c>
      <c r="B34" s="93" t="s">
        <v>1135</v>
      </c>
      <c r="C34" s="93">
        <v>100.0</v>
      </c>
      <c r="D34" s="93">
        <v>1.0</v>
      </c>
      <c r="E34" s="93" t="b">
        <v>1</v>
      </c>
      <c r="F34" s="93" t="b">
        <v>1</v>
      </c>
      <c r="G34" s="93" t="b">
        <v>1</v>
      </c>
      <c r="H34" s="93">
        <v>3.0</v>
      </c>
      <c r="I34" s="93" t="b">
        <v>1</v>
      </c>
      <c r="J34" s="93">
        <v>40.0</v>
      </c>
      <c r="K34" s="93">
        <v>50.0</v>
      </c>
      <c r="L34" s="93">
        <v>70.0</v>
      </c>
      <c r="M34" s="93">
        <v>101.0</v>
      </c>
      <c r="N34" s="119">
        <v>0.25</v>
      </c>
      <c r="O34" s="119">
        <v>0.25</v>
      </c>
      <c r="P34" s="119">
        <v>0.25</v>
      </c>
      <c r="Q34" s="119">
        <v>0.25</v>
      </c>
      <c r="R34" s="93" t="s">
        <v>120</v>
      </c>
      <c r="S34" s="93" t="str">
        <f t="shared" si="1"/>
        <v>Unranked</v>
      </c>
      <c r="T34" s="93" t="s">
        <v>120</v>
      </c>
      <c r="U34" s="93" t="str">
        <f>IF(AND(ISNUMBER(C34),C34&gt;=MAX(10,Rules!$B$22),ISNUMBER(D34),D34&gt;=0,D34&lt;=Rules!$B$10,E34=TRUE,F34=TRUE,G34=TRUE,H34&gt;=MAX(3,Rules!$B$12),I34=TRUE,COUNT(J34:M34)=4,MIN(J34:M34)&gt;=0,MAX(J34:M34)&lt;=100,COUNT(N34:Q34)=4,MIN(N34:Q34)&gt;0,ABS(SUM(N34:Q34)-1)&lt;=0.000001),"Ready","Unranked")</f>
        <v>Unranked</v>
      </c>
      <c r="V34" s="93" t="str">
        <f t="shared" si="2"/>
        <v>PASS</v>
      </c>
      <c r="W34" s="93" t="str">
        <f t="shared" si="3"/>
        <v>n.a.</v>
      </c>
    </row>
    <row r="35">
      <c r="A35" s="93">
        <v>21.0</v>
      </c>
      <c r="B35" s="93" t="s">
        <v>1136</v>
      </c>
      <c r="C35" s="93">
        <v>100.0</v>
      </c>
      <c r="D35" s="93">
        <v>1.0</v>
      </c>
      <c r="E35" s="93" t="b">
        <v>1</v>
      </c>
      <c r="F35" s="93" t="b">
        <v>1</v>
      </c>
      <c r="G35" s="93" t="b">
        <v>1</v>
      </c>
      <c r="H35" s="93">
        <v>3.0</v>
      </c>
      <c r="I35" s="93" t="b">
        <v>1</v>
      </c>
      <c r="J35" s="93">
        <v>-1.0</v>
      </c>
      <c r="K35" s="93">
        <v>50.0</v>
      </c>
      <c r="L35" s="93">
        <v>70.0</v>
      </c>
      <c r="M35" s="93">
        <v>80.0</v>
      </c>
      <c r="N35" s="119">
        <v>0.25</v>
      </c>
      <c r="O35" s="119">
        <v>0.25</v>
      </c>
      <c r="P35" s="119">
        <v>0.25</v>
      </c>
      <c r="Q35" s="119">
        <v>0.25</v>
      </c>
      <c r="R35" s="93" t="s">
        <v>120</v>
      </c>
      <c r="S35" s="93" t="str">
        <f t="shared" si="1"/>
        <v>Unranked</v>
      </c>
      <c r="T35" s="93" t="s">
        <v>120</v>
      </c>
      <c r="U35" s="93" t="str">
        <f>IF(AND(ISNUMBER(C35),C35&gt;=MAX(10,Rules!$B$22),ISNUMBER(D35),D35&gt;=0,D35&lt;=Rules!$B$10,E35=TRUE,F35=TRUE,G35=TRUE,H35&gt;=MAX(3,Rules!$B$12),I35=TRUE,COUNT(J35:M35)=4,MIN(J35:M35)&gt;=0,MAX(J35:M35)&lt;=100,COUNT(N35:Q35)=4,MIN(N35:Q35)&gt;0,ABS(SUM(N35:Q35)-1)&lt;=0.000001),"Ready","Unranked")</f>
        <v>Unranked</v>
      </c>
      <c r="V35" s="93" t="str">
        <f t="shared" si="2"/>
        <v>PASS</v>
      </c>
      <c r="W35" s="93" t="str">
        <f t="shared" si="3"/>
        <v>n.a.</v>
      </c>
    </row>
    <row r="36">
      <c r="A36" s="93">
        <v>22.0</v>
      </c>
      <c r="B36" s="93" t="s">
        <v>1137</v>
      </c>
      <c r="C36" s="93">
        <v>100.0</v>
      </c>
      <c r="D36" s="93">
        <v>1.0</v>
      </c>
      <c r="E36" s="93" t="b">
        <v>1</v>
      </c>
      <c r="F36" s="93" t="b">
        <v>1</v>
      </c>
      <c r="G36" s="93" t="b">
        <v>1</v>
      </c>
      <c r="H36" s="93">
        <v>3.0</v>
      </c>
      <c r="I36" s="93" t="b">
        <v>1</v>
      </c>
      <c r="J36" s="93">
        <v>40.0</v>
      </c>
      <c r="K36" s="93">
        <v>50.0</v>
      </c>
      <c r="L36" s="93">
        <v>70.0</v>
      </c>
      <c r="M36" s="93">
        <v>80.0</v>
      </c>
      <c r="N36" s="119">
        <v>0.25</v>
      </c>
      <c r="O36" s="119">
        <v>0.25</v>
      </c>
      <c r="P36" s="119">
        <v>0.25</v>
      </c>
      <c r="Q36" s="119">
        <v>0.15</v>
      </c>
      <c r="R36" s="93" t="s">
        <v>120</v>
      </c>
      <c r="S36" s="93" t="str">
        <f t="shared" si="1"/>
        <v>Unranked</v>
      </c>
      <c r="T36" s="93" t="s">
        <v>120</v>
      </c>
      <c r="U36" s="93" t="str">
        <f>IF(AND(ISNUMBER(C36),C36&gt;=MAX(10,Rules!$B$22),ISNUMBER(D36),D36&gt;=0,D36&lt;=Rules!$B$10,E36=TRUE,F36=TRUE,G36=TRUE,H36&gt;=MAX(3,Rules!$B$12),I36=TRUE,COUNT(J36:M36)=4,MIN(J36:M36)&gt;=0,MAX(J36:M36)&lt;=100,COUNT(N36:Q36)=4,MIN(N36:Q36)&gt;0,ABS(SUM(N36:Q36)-1)&lt;=0.000001),"Ready","Unranked")</f>
        <v>Unranked</v>
      </c>
      <c r="V36" s="93" t="str">
        <f t="shared" si="2"/>
        <v>PASS</v>
      </c>
      <c r="W36" s="93" t="str">
        <f t="shared" si="3"/>
        <v>n.a.</v>
      </c>
    </row>
    <row r="37">
      <c r="A37" s="93">
        <v>23.0</v>
      </c>
      <c r="B37" s="93" t="s">
        <v>1138</v>
      </c>
      <c r="C37" s="93">
        <v>100.0</v>
      </c>
      <c r="D37" s="93">
        <v>1.0</v>
      </c>
      <c r="E37" s="93" t="b">
        <v>1</v>
      </c>
      <c r="F37" s="93" t="b">
        <v>1</v>
      </c>
      <c r="G37" s="93" t="b">
        <v>1</v>
      </c>
      <c r="H37" s="93">
        <v>3.0</v>
      </c>
      <c r="I37" s="93" t="b">
        <v>1</v>
      </c>
      <c r="J37" s="93">
        <v>40.0</v>
      </c>
      <c r="K37" s="93">
        <v>50.0</v>
      </c>
      <c r="L37" s="93">
        <v>70.0</v>
      </c>
      <c r="M37" s="93">
        <v>80.0</v>
      </c>
      <c r="N37" s="119">
        <v>-0.05</v>
      </c>
      <c r="O37" s="119">
        <v>0.35</v>
      </c>
      <c r="P37" s="119">
        <v>0.35</v>
      </c>
      <c r="Q37" s="119">
        <v>0.35</v>
      </c>
      <c r="R37" s="93" t="s">
        <v>120</v>
      </c>
      <c r="S37" s="93" t="str">
        <f t="shared" si="1"/>
        <v>Unranked</v>
      </c>
      <c r="T37" s="93" t="s">
        <v>120</v>
      </c>
      <c r="U37" s="93" t="str">
        <f>IF(AND(ISNUMBER(C37),C37&gt;=MAX(10,Rules!$B$22),ISNUMBER(D37),D37&gt;=0,D37&lt;=Rules!$B$10,E37=TRUE,F37=TRUE,G37=TRUE,H37&gt;=MAX(3,Rules!$B$12),I37=TRUE,COUNT(J37:M37)=4,MIN(J37:M37)&gt;=0,MAX(J37:M37)&lt;=100,COUNT(N37:Q37)=4,MIN(N37:Q37)&gt;0,ABS(SUM(N37:Q37)-1)&lt;=0.000001),"Ready","Unranked")</f>
        <v>Unranked</v>
      </c>
      <c r="V37" s="93" t="str">
        <f t="shared" si="2"/>
        <v>PASS</v>
      </c>
      <c r="W37" s="93" t="str">
        <f t="shared" si="3"/>
        <v>n.a.</v>
      </c>
    </row>
    <row r="38">
      <c r="A38" s="93">
        <v>24.0</v>
      </c>
      <c r="B38" s="93" t="s">
        <v>1139</v>
      </c>
      <c r="C38" s="93">
        <v>100.0</v>
      </c>
      <c r="D38" s="93">
        <v>1.0</v>
      </c>
      <c r="E38" s="93" t="b">
        <v>1</v>
      </c>
      <c r="F38" s="93" t="b">
        <v>1</v>
      </c>
      <c r="G38" s="93" t="b">
        <v>1</v>
      </c>
      <c r="H38" s="93">
        <v>3.0</v>
      </c>
      <c r="I38" s="93" t="b">
        <v>1</v>
      </c>
      <c r="J38" s="93">
        <v>40.0</v>
      </c>
      <c r="K38" s="93">
        <v>50.0</v>
      </c>
      <c r="L38" s="93">
        <v>70.0</v>
      </c>
      <c r="M38" s="93">
        <v>80.0</v>
      </c>
      <c r="N38" s="119">
        <v>0.0</v>
      </c>
      <c r="O38" s="119">
        <v>0.4</v>
      </c>
      <c r="P38" s="119">
        <v>0.3</v>
      </c>
      <c r="Q38" s="119">
        <v>0.3</v>
      </c>
      <c r="R38" s="93" t="s">
        <v>120</v>
      </c>
      <c r="S38" s="93" t="str">
        <f t="shared" si="1"/>
        <v>Unranked</v>
      </c>
      <c r="T38" s="93" t="s">
        <v>120</v>
      </c>
      <c r="U38" s="93" t="str">
        <f>IF(AND(ISNUMBER(C38),C38&gt;=MAX(10,Rules!$B$22),ISNUMBER(D38),D38&gt;=0,D38&lt;=Rules!$B$10,E38=TRUE,F38=TRUE,G38=TRUE,H38&gt;=MAX(3,Rules!$B$12),I38=TRUE,COUNT(J38:M38)=4,MIN(J38:M38)&gt;=0,MAX(J38:M38)&lt;=100,COUNT(N38:Q38)=4,MIN(N38:Q38)&gt;0,ABS(SUM(N38:Q38)-1)&lt;=0.000001),"Ready","Unranked")</f>
        <v>Unranked</v>
      </c>
      <c r="V38" s="93" t="str">
        <f t="shared" si="2"/>
        <v>PASS</v>
      </c>
      <c r="W38" s="93" t="str">
        <f t="shared" si="3"/>
        <v>n.a.</v>
      </c>
    </row>
    <row r="39">
      <c r="A39" s="93">
        <v>25.0</v>
      </c>
      <c r="B39" s="93" t="s">
        <v>1140</v>
      </c>
      <c r="C39" s="93">
        <v>100.0</v>
      </c>
      <c r="D39" s="93">
        <v>1.0</v>
      </c>
      <c r="E39" s="93" t="b">
        <v>1</v>
      </c>
      <c r="F39" s="93" t="b">
        <v>1</v>
      </c>
      <c r="G39" s="93" t="b">
        <v>1</v>
      </c>
      <c r="H39" s="93">
        <v>3.0</v>
      </c>
      <c r="I39" s="93" t="b">
        <v>1</v>
      </c>
      <c r="J39" s="93">
        <v>40.0</v>
      </c>
      <c r="K39" s="93">
        <v>50.0</v>
      </c>
      <c r="L39" s="93">
        <v>70.0</v>
      </c>
      <c r="M39" s="93">
        <v>80.0</v>
      </c>
      <c r="N39" s="119">
        <v>0.25</v>
      </c>
      <c r="O39" s="119">
        <v>0.25</v>
      </c>
      <c r="P39" s="119" t="s">
        <v>1124</v>
      </c>
      <c r="Q39" s="119">
        <v>0.25</v>
      </c>
      <c r="R39" s="93" t="s">
        <v>120</v>
      </c>
      <c r="S39" s="93" t="str">
        <f t="shared" si="1"/>
        <v>Unranked</v>
      </c>
      <c r="T39" s="93" t="s">
        <v>120</v>
      </c>
      <c r="U39" s="93" t="str">
        <f>IF(AND(ISNUMBER(C39),C39&gt;=MAX(10,Rules!$B$22),ISNUMBER(D39),D39&gt;=0,D39&lt;=Rules!$B$10,E39=TRUE,F39=TRUE,G39=TRUE,H39&gt;=MAX(3,Rules!$B$12),I39=TRUE,COUNT(J39:M39)=4,MIN(J39:M39)&gt;=0,MAX(J39:M39)&lt;=100,COUNT(N39:Q39)=4,MIN(N39:Q39)&gt;0,ABS(SUM(N39:Q39)-1)&lt;=0.000001),"Ready","Unranked")</f>
        <v>Unranked</v>
      </c>
      <c r="V39" s="93" t="str">
        <f t="shared" si="2"/>
        <v>PASS</v>
      </c>
      <c r="W39" s="93" t="str">
        <f t="shared" si="3"/>
        <v>n.a.</v>
      </c>
    </row>
    <row r="40">
      <c r="A40" s="93">
        <v>26.0</v>
      </c>
      <c r="B40" s="93" t="s">
        <v>1141</v>
      </c>
      <c r="C40" s="93">
        <v>100.0</v>
      </c>
      <c r="D40" s="93">
        <v>1.0</v>
      </c>
      <c r="E40" s="93" t="b">
        <v>1</v>
      </c>
      <c r="F40" s="93" t="b">
        <v>1</v>
      </c>
      <c r="G40" s="93" t="b">
        <v>1</v>
      </c>
      <c r="H40" s="93">
        <v>3.0</v>
      </c>
      <c r="I40" s="93" t="b">
        <v>1</v>
      </c>
      <c r="J40" s="93">
        <v>40.0</v>
      </c>
      <c r="K40" s="93">
        <v>50.0</v>
      </c>
      <c r="L40" s="93">
        <v>70.0</v>
      </c>
      <c r="M40" s="93">
        <v>80.0</v>
      </c>
      <c r="N40" s="119">
        <v>0.1</v>
      </c>
      <c r="O40" s="119">
        <v>0.2</v>
      </c>
      <c r="P40" s="119">
        <v>0.3</v>
      </c>
      <c r="Q40" s="119">
        <v>0.4</v>
      </c>
      <c r="R40" s="93">
        <v>67.0</v>
      </c>
      <c r="S40" s="93">
        <f t="shared" si="1"/>
        <v>67</v>
      </c>
      <c r="T40" s="93" t="s">
        <v>1051</v>
      </c>
      <c r="U40" s="93" t="str">
        <f>IF(AND(ISNUMBER(C40),C40&gt;=MAX(10,Rules!$B$22),ISNUMBER(D40),D40&gt;=0,D40&lt;=Rules!$B$10,E40=TRUE,F40=TRUE,G40=TRUE,H40&gt;=MAX(3,Rules!$B$12),I40=TRUE,COUNT(J40:M40)=4,MIN(J40:M40)&gt;=0,MAX(J40:M40)&lt;=100,COUNT(N40:Q40)=4,MIN(N40:Q40)&gt;0,ABS(SUM(N40:Q40)-1)&lt;=0.000001),"Ready","Unranked")</f>
        <v>Ready</v>
      </c>
      <c r="V40" s="93" t="str">
        <f t="shared" si="2"/>
        <v>PASS</v>
      </c>
      <c r="W40" s="93">
        <f t="shared" si="3"/>
        <v>4</v>
      </c>
    </row>
    <row r="41">
      <c r="A41" s="93">
        <v>27.0</v>
      </c>
      <c r="B41" s="93" t="s">
        <v>1142</v>
      </c>
      <c r="C41" s="93">
        <v>100.0</v>
      </c>
      <c r="D41" s="93">
        <v>1.0</v>
      </c>
      <c r="E41" s="93" t="b">
        <v>1</v>
      </c>
      <c r="F41" s="93" t="b">
        <v>1</v>
      </c>
      <c r="G41" s="93" t="b">
        <v>1</v>
      </c>
      <c r="H41" s="93">
        <v>3.0</v>
      </c>
      <c r="I41" s="93" t="b">
        <v>1</v>
      </c>
      <c r="J41" s="93">
        <v>50.0</v>
      </c>
      <c r="K41" s="93">
        <v>50.0</v>
      </c>
      <c r="L41" s="93">
        <v>70.0</v>
      </c>
      <c r="M41" s="93">
        <v>80.0</v>
      </c>
      <c r="N41" s="119">
        <v>0.25</v>
      </c>
      <c r="O41" s="119">
        <v>0.25</v>
      </c>
      <c r="P41" s="119">
        <v>0.25</v>
      </c>
      <c r="Q41" s="119">
        <v>0.25</v>
      </c>
      <c r="R41" s="93">
        <v>62.5</v>
      </c>
      <c r="S41" s="93">
        <f t="shared" si="1"/>
        <v>62.5</v>
      </c>
      <c r="T41" s="93" t="s">
        <v>1051</v>
      </c>
      <c r="U41" s="93" t="str">
        <f>IF(AND(ISNUMBER(C41),C41&gt;=MAX(10,Rules!$B$22),ISNUMBER(D41),D41&gt;=0,D41&lt;=Rules!$B$10,E41=TRUE,F41=TRUE,G41=TRUE,H41&gt;=MAX(3,Rules!$B$12),I41=TRUE,COUNT(J41:M41)=4,MIN(J41:M41)&gt;=0,MAX(J41:M41)&lt;=100,COUNT(N41:Q41)=4,MIN(N41:Q41)&gt;0,ABS(SUM(N41:Q41)-1)&lt;=0.000001),"Ready","Unranked")</f>
        <v>Ready</v>
      </c>
      <c r="V41" s="93" t="str">
        <f t="shared" si="2"/>
        <v>PASS</v>
      </c>
      <c r="W41" s="93">
        <f t="shared" si="3"/>
        <v>2.5</v>
      </c>
    </row>
    <row r="42">
      <c r="A42" s="93">
        <v>28.0</v>
      </c>
      <c r="B42" s="93" t="s">
        <v>1155</v>
      </c>
      <c r="C42" s="93">
        <v>100.0</v>
      </c>
      <c r="D42" s="93">
        <v>1.0</v>
      </c>
      <c r="E42" s="93" t="b">
        <v>1</v>
      </c>
      <c r="F42" s="93" t="b">
        <v>1</v>
      </c>
      <c r="G42" s="93" t="b">
        <v>1</v>
      </c>
      <c r="H42" s="93">
        <v>3.0</v>
      </c>
      <c r="I42" s="93" t="b">
        <v>1</v>
      </c>
      <c r="J42" s="93">
        <v>40.0</v>
      </c>
      <c r="K42" s="93">
        <v>60.0</v>
      </c>
      <c r="L42" s="93">
        <v>70.0</v>
      </c>
      <c r="M42" s="93">
        <v>80.0</v>
      </c>
      <c r="N42" s="119">
        <v>0.25</v>
      </c>
      <c r="O42" s="119">
        <v>0.25</v>
      </c>
      <c r="P42" s="119">
        <v>0.25</v>
      </c>
      <c r="Q42" s="119">
        <v>0.25</v>
      </c>
      <c r="R42" s="93">
        <v>62.5</v>
      </c>
      <c r="S42" s="93">
        <f t="shared" si="1"/>
        <v>62.5</v>
      </c>
      <c r="T42" s="93" t="s">
        <v>1051</v>
      </c>
      <c r="U42" s="93" t="str">
        <f>IF(AND(ISNUMBER(C42),C42&gt;=MAX(10,Rules!$B$22),ISNUMBER(D42),D42&gt;=0,D42&lt;=Rules!$B$10,E42=TRUE,F42=TRUE,G42=TRUE,H42&gt;=MAX(3,Rules!$B$12),I42=TRUE,COUNT(J42:M42)=4,MIN(J42:M42)&gt;=0,MAX(J42:M42)&lt;=100,COUNT(N42:Q42)=4,MIN(N42:Q42)&gt;0,ABS(SUM(N42:Q42)-1)&lt;=0.000001),"Ready","Unranked")</f>
        <v>Ready</v>
      </c>
      <c r="V42" s="93" t="str">
        <f t="shared" si="2"/>
        <v>PASS</v>
      </c>
      <c r="W42" s="93">
        <f t="shared" si="3"/>
        <v>2.5</v>
      </c>
    </row>
    <row r="43">
      <c r="A43" s="93">
        <v>29.0</v>
      </c>
      <c r="B43" s="93" t="s">
        <v>1156</v>
      </c>
      <c r="C43" s="93">
        <v>100.0</v>
      </c>
      <c r="D43" s="93">
        <v>1.0</v>
      </c>
      <c r="E43" s="93" t="b">
        <v>1</v>
      </c>
      <c r="F43" s="93" t="b">
        <v>1</v>
      </c>
      <c r="G43" s="93" t="b">
        <v>1</v>
      </c>
      <c r="H43" s="93">
        <v>3.0</v>
      </c>
      <c r="I43" s="93" t="b">
        <v>1</v>
      </c>
      <c r="J43" s="93">
        <v>40.0</v>
      </c>
      <c r="K43" s="93">
        <v>50.0</v>
      </c>
      <c r="L43" s="93">
        <v>80.0</v>
      </c>
      <c r="M43" s="93">
        <v>80.0</v>
      </c>
      <c r="N43" s="119">
        <v>0.25</v>
      </c>
      <c r="O43" s="119">
        <v>0.25</v>
      </c>
      <c r="P43" s="119">
        <v>0.25</v>
      </c>
      <c r="Q43" s="119">
        <v>0.25</v>
      </c>
      <c r="R43" s="93">
        <v>62.5</v>
      </c>
      <c r="S43" s="93">
        <f t="shared" si="1"/>
        <v>62.5</v>
      </c>
      <c r="T43" s="93" t="s">
        <v>1051</v>
      </c>
      <c r="U43" s="93" t="str">
        <f>IF(AND(ISNUMBER(C43),C43&gt;=MAX(10,Rules!$B$22),ISNUMBER(D43),D43&gt;=0,D43&lt;=Rules!$B$10,E43=TRUE,F43=TRUE,G43=TRUE,H43&gt;=MAX(3,Rules!$B$12),I43=TRUE,COUNT(J43:M43)=4,MIN(J43:M43)&gt;=0,MAX(J43:M43)&lt;=100,COUNT(N43:Q43)=4,MIN(N43:Q43)&gt;0,ABS(SUM(N43:Q43)-1)&lt;=0.000001),"Ready","Unranked")</f>
        <v>Ready</v>
      </c>
      <c r="V43" s="93" t="str">
        <f t="shared" si="2"/>
        <v>PASS</v>
      </c>
      <c r="W43" s="93">
        <f t="shared" si="3"/>
        <v>2.5</v>
      </c>
    </row>
    <row r="44">
      <c r="A44" s="93">
        <v>30.0</v>
      </c>
      <c r="B44" s="93" t="s">
        <v>1157</v>
      </c>
      <c r="C44" s="93">
        <v>100.0</v>
      </c>
      <c r="D44" s="93">
        <v>1.0</v>
      </c>
      <c r="E44" s="93" t="b">
        <v>1</v>
      </c>
      <c r="F44" s="93" t="b">
        <v>1</v>
      </c>
      <c r="G44" s="93" t="b">
        <v>1</v>
      </c>
      <c r="H44" s="93">
        <v>3.0</v>
      </c>
      <c r="I44" s="93" t="b">
        <v>1</v>
      </c>
      <c r="J44" s="93">
        <v>40.0</v>
      </c>
      <c r="K44" s="93">
        <v>50.0</v>
      </c>
      <c r="L44" s="93">
        <v>70.0</v>
      </c>
      <c r="M44" s="93">
        <v>90.0</v>
      </c>
      <c r="N44" s="119">
        <v>0.25</v>
      </c>
      <c r="O44" s="119">
        <v>0.25</v>
      </c>
      <c r="P44" s="119">
        <v>0.25</v>
      </c>
      <c r="Q44" s="119">
        <v>0.25</v>
      </c>
      <c r="R44" s="93">
        <v>62.5</v>
      </c>
      <c r="S44" s="93">
        <f t="shared" si="1"/>
        <v>62.5</v>
      </c>
      <c r="T44" s="93" t="s">
        <v>1051</v>
      </c>
      <c r="U44" s="93" t="str">
        <f>IF(AND(ISNUMBER(C44),C44&gt;=MAX(10,Rules!$B$22),ISNUMBER(D44),D44&gt;=0,D44&lt;=Rules!$B$10,E44=TRUE,F44=TRUE,G44=TRUE,H44&gt;=MAX(3,Rules!$B$12),I44=TRUE,COUNT(J44:M44)=4,MIN(J44:M44)&gt;=0,MAX(J44:M44)&lt;=100,COUNT(N44:Q44)=4,MIN(N44:Q44)&gt;0,ABS(SUM(N44:Q44)-1)&lt;=0.000001),"Ready","Unranked")</f>
        <v>Ready</v>
      </c>
      <c r="V44" s="93" t="str">
        <f t="shared" si="2"/>
        <v>PASS</v>
      </c>
      <c r="W44" s="93">
        <f t="shared" si="3"/>
        <v>2.5</v>
      </c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</row>
    <row r="65">
      <c r="A65" s="120" t="s">
        <v>1197</v>
      </c>
      <c r="B65" s="120" t="s">
        <v>1198</v>
      </c>
      <c r="C65" s="120" t="s">
        <v>1199</v>
      </c>
      <c r="D65" s="120" t="s">
        <v>1200</v>
      </c>
      <c r="E65" s="120" t="s">
        <v>1201</v>
      </c>
      <c r="F65" s="120" t="s">
        <v>1202</v>
      </c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</row>
    <row r="66">
      <c r="A66" s="93" t="s">
        <v>1203</v>
      </c>
      <c r="B66" s="119">
        <v>0.25</v>
      </c>
      <c r="C66" s="119">
        <v>0.25</v>
      </c>
      <c r="D66" s="119">
        <v>0.25</v>
      </c>
      <c r="E66" s="119">
        <v>0.25</v>
      </c>
      <c r="F66" s="93">
        <f t="shared" ref="F66:F68" si="4">10*MAX(B66:E66)</f>
        <v>2.5</v>
      </c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</row>
    <row r="67">
      <c r="A67" s="93" t="s">
        <v>1205</v>
      </c>
      <c r="B67" s="119">
        <v>0.2</v>
      </c>
      <c r="C67" s="119">
        <v>0.2</v>
      </c>
      <c r="D67" s="119">
        <v>0.2</v>
      </c>
      <c r="E67" s="119">
        <v>0.4</v>
      </c>
      <c r="F67" s="93">
        <f t="shared" si="4"/>
        <v>4</v>
      </c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</row>
    <row r="68">
      <c r="A68" s="93" t="s">
        <v>1208</v>
      </c>
      <c r="B68" s="119">
        <v>0.2</v>
      </c>
      <c r="C68" s="119">
        <v>0.4</v>
      </c>
      <c r="D68" s="119">
        <v>0.2</v>
      </c>
      <c r="E68" s="119">
        <v>0.2</v>
      </c>
      <c r="F68" s="93">
        <f t="shared" si="4"/>
        <v>4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</row>
  </sheetData>
  <mergeCells count="4">
    <mergeCell ref="C3:O3"/>
    <mergeCell ref="C8:O8"/>
    <mergeCell ref="C9:O9"/>
    <mergeCell ref="C10:O1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2" width="25.13"/>
    <col customWidth="1" min="3" max="4" width="18.88"/>
    <col customWidth="1" min="5" max="5" width="42.63"/>
    <col customWidth="1" min="6" max="6" width="22.38"/>
    <col customWidth="1" min="7" max="7" width="22.25"/>
    <col customWidth="1" min="8" max="8" width="18.88"/>
    <col customWidth="1" min="9" max="10" width="42.63"/>
    <col customWidth="1" min="11" max="12" width="18.88"/>
    <col customWidth="1" min="13" max="13" width="22.0"/>
    <col customWidth="1" min="14" max="14" width="18.88"/>
    <col customWidth="1" min="15" max="15" width="21.75"/>
    <col customWidth="1" min="16" max="16" width="19.13"/>
    <col customWidth="1" min="17" max="17" width="18.88"/>
    <col customWidth="1" min="18" max="18" width="20.38"/>
    <col customWidth="1" min="19" max="19" width="20.25"/>
    <col customWidth="1" min="20" max="20" width="21.5"/>
    <col customWidth="1" min="21" max="23" width="42.63"/>
    <col customWidth="1" min="24" max="28" width="18.88"/>
    <col customWidth="1" min="29" max="29" width="22.0"/>
    <col customWidth="1" min="30" max="30" width="18.88"/>
    <col customWidth="1" min="31" max="31" width="19.38"/>
    <col customWidth="1" min="32" max="32" width="18.88"/>
    <col customWidth="1" min="33" max="33" width="21.0"/>
    <col customWidth="1" min="34" max="34" width="42.63"/>
    <col customWidth="1" min="35" max="36" width="18.88"/>
    <col customWidth="1" min="37" max="37" width="21.0"/>
    <col customWidth="1" min="38" max="38" width="21.38"/>
    <col customWidth="1" min="39" max="39" width="20.38"/>
    <col customWidth="1" min="40" max="40" width="20.5"/>
    <col customWidth="1" min="41" max="42" width="18.88"/>
    <col customWidth="1" min="43" max="43" width="21.5"/>
    <col customWidth="1" min="44" max="45" width="18.88"/>
    <col customWidth="1" min="46" max="46" width="21.25"/>
    <col customWidth="1" min="47" max="47" width="20.63"/>
    <col customWidth="1" min="48" max="48" width="18.88"/>
    <col customWidth="1" min="49" max="49" width="42.63"/>
    <col customWidth="1" min="50" max="51" width="18.88"/>
    <col customWidth="1" min="52" max="52" width="42.63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</row>
    <row r="2">
      <c r="A2" s="94" t="s">
        <v>1158</v>
      </c>
      <c r="B2" s="94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</row>
    <row r="3" ht="30.0" customHeight="1">
      <c r="A3" s="93"/>
      <c r="B3" s="93"/>
      <c r="C3" s="95" t="s">
        <v>1159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</row>
    <row r="5" ht="55.5" customHeight="1">
      <c r="A5" s="102" t="s">
        <v>139</v>
      </c>
      <c r="B5" s="102" t="s">
        <v>277</v>
      </c>
      <c r="C5" s="102" t="s">
        <v>141</v>
      </c>
      <c r="D5" s="102" t="s">
        <v>33</v>
      </c>
      <c r="E5" s="102" t="s">
        <v>1160</v>
      </c>
      <c r="F5" s="102" t="s">
        <v>1161</v>
      </c>
      <c r="G5" s="102" t="s">
        <v>1162</v>
      </c>
      <c r="H5" s="102" t="s">
        <v>280</v>
      </c>
      <c r="I5" s="102" t="s">
        <v>1163</v>
      </c>
      <c r="J5" s="102" t="s">
        <v>1164</v>
      </c>
      <c r="K5" s="102" t="s">
        <v>1165</v>
      </c>
      <c r="L5" s="102" t="s">
        <v>960</v>
      </c>
      <c r="M5" s="102" t="s">
        <v>1166</v>
      </c>
      <c r="N5" s="102" t="s">
        <v>1167</v>
      </c>
      <c r="O5" s="102" t="s">
        <v>1168</v>
      </c>
      <c r="P5" s="102" t="s">
        <v>1169</v>
      </c>
      <c r="Q5" s="102" t="s">
        <v>982</v>
      </c>
      <c r="R5" s="102" t="s">
        <v>1170</v>
      </c>
      <c r="S5" s="102" t="s">
        <v>1171</v>
      </c>
      <c r="T5" s="102" t="s">
        <v>1172</v>
      </c>
      <c r="U5" s="102" t="s">
        <v>1173</v>
      </c>
      <c r="V5" s="102" t="s">
        <v>985</v>
      </c>
      <c r="W5" s="102" t="s">
        <v>1174</v>
      </c>
      <c r="X5" s="102" t="s">
        <v>1175</v>
      </c>
      <c r="Y5" s="102" t="s">
        <v>1176</v>
      </c>
      <c r="Z5" s="102" t="s">
        <v>114</v>
      </c>
      <c r="AA5" s="102" t="s">
        <v>1177</v>
      </c>
      <c r="AB5" s="102" t="s">
        <v>1178</v>
      </c>
      <c r="AC5" s="102" t="s">
        <v>1179</v>
      </c>
      <c r="AD5" s="102" t="s">
        <v>176</v>
      </c>
      <c r="AE5" s="102" t="s">
        <v>1041</v>
      </c>
      <c r="AF5" s="102" t="s">
        <v>1042</v>
      </c>
      <c r="AG5" s="102" t="s">
        <v>1043</v>
      </c>
      <c r="AH5" s="102" t="s">
        <v>1180</v>
      </c>
      <c r="AI5" s="102" t="s">
        <v>1181</v>
      </c>
      <c r="AJ5" s="102" t="s">
        <v>1182</v>
      </c>
      <c r="AK5" s="102" t="s">
        <v>962</v>
      </c>
      <c r="AL5" s="102" t="s">
        <v>1183</v>
      </c>
      <c r="AM5" s="102" t="s">
        <v>1184</v>
      </c>
      <c r="AN5" s="102" t="s">
        <v>1185</v>
      </c>
      <c r="AO5" s="102" t="s">
        <v>1075</v>
      </c>
      <c r="AP5" s="102" t="s">
        <v>1186</v>
      </c>
      <c r="AQ5" s="102" t="s">
        <v>1187</v>
      </c>
      <c r="AR5" s="102" t="s">
        <v>1188</v>
      </c>
      <c r="AS5" s="102" t="s">
        <v>1189</v>
      </c>
      <c r="AT5" s="102" t="s">
        <v>1190</v>
      </c>
      <c r="AU5" s="102" t="s">
        <v>1191</v>
      </c>
      <c r="AV5" s="102" t="s">
        <v>1192</v>
      </c>
      <c r="AW5" s="102" t="s">
        <v>1193</v>
      </c>
      <c r="AX5" s="102" t="s">
        <v>1194</v>
      </c>
      <c r="AY5" s="102" t="s">
        <v>1195</v>
      </c>
      <c r="AZ5" s="102" t="s">
        <v>1196</v>
      </c>
    </row>
    <row r="6" ht="34.5" customHeight="1">
      <c r="A6" s="105" t="s">
        <v>291</v>
      </c>
      <c r="B6" s="105" t="s">
        <v>292</v>
      </c>
      <c r="C6" s="105" t="s">
        <v>293</v>
      </c>
      <c r="D6" s="105" t="s">
        <v>294</v>
      </c>
      <c r="E6" s="105" t="s">
        <v>295</v>
      </c>
      <c r="F6" s="124">
        <v>674.39</v>
      </c>
      <c r="G6" s="124">
        <v>735.737006669</v>
      </c>
      <c r="H6" s="125">
        <v>46297.0</v>
      </c>
      <c r="I6" s="105" t="s">
        <v>297</v>
      </c>
      <c r="J6" s="105" t="s">
        <v>1204</v>
      </c>
      <c r="K6" s="105" t="s">
        <v>1206</v>
      </c>
      <c r="L6" s="105" t="s">
        <v>189</v>
      </c>
      <c r="M6" s="124">
        <v>6.99</v>
      </c>
      <c r="N6" s="105" t="s">
        <v>1207</v>
      </c>
      <c r="O6" s="111"/>
      <c r="P6" s="111"/>
      <c r="Q6" s="125"/>
      <c r="R6" s="124">
        <v>323.905</v>
      </c>
      <c r="S6" s="124">
        <v>339.247</v>
      </c>
      <c r="T6" s="111"/>
      <c r="U6" s="105" t="s">
        <v>996</v>
      </c>
      <c r="V6" s="105" t="s">
        <v>997</v>
      </c>
      <c r="W6" s="126" t="s">
        <v>1209</v>
      </c>
      <c r="X6" s="127" t="s">
        <v>1089</v>
      </c>
      <c r="Y6" s="127" t="s">
        <v>1210</v>
      </c>
      <c r="Z6" s="127" t="s">
        <v>1211</v>
      </c>
      <c r="AA6" s="127" t="s">
        <v>59</v>
      </c>
      <c r="AB6" s="127" t="s">
        <v>249</v>
      </c>
      <c r="AC6" s="111">
        <f t="shared" ref="AC6:AC15" si="1">MIN(AS6:AV6)</f>
        <v>0</v>
      </c>
      <c r="AD6" s="111"/>
      <c r="AE6" s="111"/>
      <c r="AF6" s="111"/>
      <c r="AG6" s="111"/>
      <c r="AH6" s="105"/>
      <c r="AI6" s="127" t="s">
        <v>59</v>
      </c>
      <c r="AJ6" s="111">
        <f>IFERROR(IF(AND(COUNT(F6:G6)=2,MIN(F6:G6)&gt;=MAX(10,Rules!$B$22),ISNUMBER(H6),H6&lt;=AP6,AP6-H6&lt;=Rules!$B$10,I6&lt;&gt;"",AB6="Yes"),1,0),0)</f>
        <v>1</v>
      </c>
      <c r="AK6" s="128" t="str">
        <f t="shared" ref="AK6:AK15" si="2">IF(AND(AA6="Yes",ISNUMBER(M6),M6&gt;0,COUNT(O6:P6)=2,O6&lt;=P6),AVERAGE(O6:P6)/M6-1,"n.a.")</f>
        <v>n.a.</v>
      </c>
      <c r="AL6" s="128" t="str">
        <f t="shared" ref="AL6:AL15" si="3">IF(AND(ISNUMBER(T6),ISNUMBER(R6),R6&gt;0),T6/R6,"n.a.")</f>
        <v>n.a.</v>
      </c>
      <c r="AM6" s="128">
        <f t="shared" ref="AM6:AM15" si="4">IF(AND(COUNT(R6:S6)=2,S6&gt;0),R6/S6-1,"n.a.")</f>
        <v>-0.04522368658</v>
      </c>
      <c r="AN6" s="111">
        <f>IFERROR(IF(AND(AJ6=1,X6="Complete",Y6="Complete",Z6="Approved",AA6="Yes",AC6&gt;=MAX(3,Rules!$B$12),COUNT(AD6:AG6)=4,MIN(AD6:AG6)&gt;=0,MAX(AD6:AG6)&lt;=100,AH6&lt;&gt;"",AI6="Yes",ISNUMBER(AQ6),AR6="Yes",AX6="Yes",AY6="Yes",AP6=Rules!$B$6,'Overall score'!$G$10="Valid"),1,0),0)</f>
        <v>0</v>
      </c>
      <c r="AO6" s="105" t="str">
        <f t="array" ref="AO6">IF(AN6&lt;&gt;1,"Unranked",SUMPRODUCT(AD6:AG6,TRANSPOSE('Overall score'!$G$5:$G$8)))</f>
        <v>Unranked</v>
      </c>
      <c r="AP6" s="125">
        <f>Rules!$B$6</f>
        <v>46298</v>
      </c>
      <c r="AQ6" s="128"/>
      <c r="AR6" s="127" t="s">
        <v>59</v>
      </c>
      <c r="AS6" s="124">
        <v>0.0</v>
      </c>
      <c r="AT6" s="124">
        <v>0.0</v>
      </c>
      <c r="AU6" s="124">
        <v>0.0</v>
      </c>
      <c r="AV6" s="124">
        <v>0.0</v>
      </c>
      <c r="AW6" s="105" t="s">
        <v>1218</v>
      </c>
      <c r="AX6" s="127" t="s">
        <v>59</v>
      </c>
      <c r="AY6" s="127" t="s">
        <v>59</v>
      </c>
      <c r="AZ6" s="105" t="str">
        <f>TEXTJOIN("; ",TRUE,IF(AJ6&lt;&gt;1,"Cap/snapshot review",""),IF(X6&lt;&gt;"Complete","Network incomplete",""),IF(Y6&lt;&gt;"Complete","NTM panel not sourced",""),IF(Z6&lt;&gt;"Approved","Profile not reviewed",""),IF(AA6&lt;&gt;"Yes","No matching annual EPS guidance",""),IF(AC6&lt;MAX(3,Rules!$B$12),"Competitor metric panels incomplete",""),IF(AR6&lt;&gt;"Yes","Three-year EPS history incomplete",""),IF(AI6&lt;&gt;"Yes","Module review incomplete",""),IF(AX6&lt;&gt;"Yes","Cohort comparability pending",""),IF(AY6&lt;&gt;"Yes","Common cutoff pending",""))</f>
        <v>Network incomplete; NTM panel not sourced; Profile not reviewed; No matching annual EPS guidance; Competitor metric panels incomplete; Three-year EPS history incomplete; Module review incomplete; Cohort comparability pending; Common cutoff pending</v>
      </c>
    </row>
    <row r="7" ht="34.5" customHeight="1">
      <c r="A7" s="105" t="s">
        <v>298</v>
      </c>
      <c r="B7" s="105" t="s">
        <v>299</v>
      </c>
      <c r="C7" s="105" t="s">
        <v>300</v>
      </c>
      <c r="D7" s="105" t="s">
        <v>301</v>
      </c>
      <c r="E7" s="105" t="s">
        <v>302</v>
      </c>
      <c r="F7" s="124">
        <v>617.01</v>
      </c>
      <c r="G7" s="124">
        <v>624.738803</v>
      </c>
      <c r="H7" s="125">
        <v>46297.0</v>
      </c>
      <c r="I7" s="105" t="s">
        <v>303</v>
      </c>
      <c r="J7" s="105" t="s">
        <v>1204</v>
      </c>
      <c r="K7" s="105" t="s">
        <v>1206</v>
      </c>
      <c r="L7" s="105" t="s">
        <v>189</v>
      </c>
      <c r="M7" s="124">
        <v>10.79</v>
      </c>
      <c r="N7" s="105" t="s">
        <v>1207</v>
      </c>
      <c r="O7" s="124">
        <v>11.6</v>
      </c>
      <c r="P7" s="124">
        <v>11.75</v>
      </c>
      <c r="Q7" s="125">
        <v>46218.0</v>
      </c>
      <c r="R7" s="124">
        <v>94.193</v>
      </c>
      <c r="S7" s="124">
        <v>88.821</v>
      </c>
      <c r="T7" s="111"/>
      <c r="U7" s="105" t="s">
        <v>1000</v>
      </c>
      <c r="V7" s="105" t="s">
        <v>1001</v>
      </c>
      <c r="W7" s="105" t="s">
        <v>1233</v>
      </c>
      <c r="X7" s="127" t="s">
        <v>1089</v>
      </c>
      <c r="Y7" s="127" t="s">
        <v>1210</v>
      </c>
      <c r="Z7" s="127" t="s">
        <v>1211</v>
      </c>
      <c r="AA7" s="127" t="s">
        <v>249</v>
      </c>
      <c r="AB7" s="127" t="s">
        <v>249</v>
      </c>
      <c r="AC7" s="111">
        <f t="shared" si="1"/>
        <v>0</v>
      </c>
      <c r="AD7" s="111"/>
      <c r="AE7" s="111"/>
      <c r="AF7" s="111"/>
      <c r="AG7" s="111"/>
      <c r="AH7" s="105"/>
      <c r="AI7" s="127" t="s">
        <v>59</v>
      </c>
      <c r="AJ7" s="111">
        <f>IFERROR(IF(AND(COUNT(F7:G7)=2,MIN(F7:G7)&gt;=MAX(10,Rules!$B$22),ISNUMBER(H7),H7&lt;=AP7,AP7-H7&lt;=Rules!$B$10,I7&lt;&gt;"",AB7="Yes"),1,0),0)</f>
        <v>1</v>
      </c>
      <c r="AK7" s="128">
        <f t="shared" si="2"/>
        <v>0.08202038925</v>
      </c>
      <c r="AL7" s="128" t="str">
        <f t="shared" si="3"/>
        <v>n.a.</v>
      </c>
      <c r="AM7" s="128">
        <f t="shared" si="4"/>
        <v>0.06048119251</v>
      </c>
      <c r="AN7" s="111">
        <f>IFERROR(IF(AND(AJ7=1,X7="Complete",Y7="Complete",Z7="Approved",AA7="Yes",AC7&gt;=MAX(3,Rules!$B$12),COUNT(AD7:AG7)=4,MIN(AD7:AG7)&gt;=0,MAX(AD7:AG7)&lt;=100,AH7&lt;&gt;"",AI7="Yes",ISNUMBER(AQ7),AR7="Yes",AX7="Yes",AY7="Yes",AP7=Rules!$B$6,'Overall score'!$G$10="Valid"),1,0),0)</f>
        <v>0</v>
      </c>
      <c r="AO7" s="105" t="str">
        <f t="array" ref="AO7">IF(AN7&lt;&gt;1,"Unranked",SUMPRODUCT(AD7:AG7,TRANSPOSE('Overall score'!$G$5:$G$8)))</f>
        <v>Unranked</v>
      </c>
      <c r="AP7" s="125">
        <f>Rules!$B$6</f>
        <v>46298</v>
      </c>
      <c r="AQ7" s="128"/>
      <c r="AR7" s="127" t="s">
        <v>59</v>
      </c>
      <c r="AS7" s="124">
        <v>0.0</v>
      </c>
      <c r="AT7" s="124">
        <v>0.0</v>
      </c>
      <c r="AU7" s="124">
        <v>0.0</v>
      </c>
      <c r="AV7" s="124">
        <v>0.0</v>
      </c>
      <c r="AW7" s="105" t="s">
        <v>1218</v>
      </c>
      <c r="AX7" s="127" t="s">
        <v>59</v>
      </c>
      <c r="AY7" s="127" t="s">
        <v>59</v>
      </c>
      <c r="AZ7" s="105" t="str">
        <f>TEXTJOIN("; ",TRUE,IF(AJ7&lt;&gt;1,"Cap/snapshot review",""),IF(X7&lt;&gt;"Complete","Network incomplete",""),IF(Y7&lt;&gt;"Complete","NTM panel not sourced",""),IF(Z7&lt;&gt;"Approved","Profile not reviewed",""),IF(AA7&lt;&gt;"Yes","No matching annual EPS guidance",""),IF(AC7&lt;MAX(3,Rules!$B$12),"Competitor metric panels incomplete",""),IF(AR7&lt;&gt;"Yes","Three-year EPS history incomplete",""),IF(AI7&lt;&gt;"Yes","Module review incomplete",""),IF(AX7&lt;&gt;"Yes","Cohort comparability pending",""),IF(AY7&lt;&gt;"Yes","Common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8" ht="34.5" customHeight="1">
      <c r="A8" s="105" t="s">
        <v>304</v>
      </c>
      <c r="B8" s="105" t="s">
        <v>305</v>
      </c>
      <c r="C8" s="105" t="s">
        <v>306</v>
      </c>
      <c r="D8" s="105" t="s">
        <v>307</v>
      </c>
      <c r="E8" s="105" t="s">
        <v>308</v>
      </c>
      <c r="F8" s="124">
        <v>336.58</v>
      </c>
      <c r="G8" s="124">
        <v>337.437277902</v>
      </c>
      <c r="H8" s="125">
        <v>46297.0</v>
      </c>
      <c r="I8" s="105" t="s">
        <v>309</v>
      </c>
      <c r="J8" s="105" t="s">
        <v>1204</v>
      </c>
      <c r="K8" s="105" t="s">
        <v>1207</v>
      </c>
      <c r="L8" s="105" t="s">
        <v>1003</v>
      </c>
      <c r="M8" s="124">
        <v>6.89</v>
      </c>
      <c r="N8" s="105" t="s">
        <v>1271</v>
      </c>
      <c r="O8" s="124">
        <v>6.89</v>
      </c>
      <c r="P8" s="124">
        <v>7.11</v>
      </c>
      <c r="Q8" s="125">
        <v>46232.0</v>
      </c>
      <c r="R8" s="124">
        <v>87.032</v>
      </c>
      <c r="S8" s="124">
        <v>84.284</v>
      </c>
      <c r="T8" s="124">
        <v>19.748</v>
      </c>
      <c r="U8" s="105" t="s">
        <v>1004</v>
      </c>
      <c r="V8" s="105" t="s">
        <v>1004</v>
      </c>
      <c r="W8" s="105" t="s">
        <v>1272</v>
      </c>
      <c r="X8" s="127" t="s">
        <v>1089</v>
      </c>
      <c r="Y8" s="127" t="s">
        <v>1210</v>
      </c>
      <c r="Z8" s="127" t="s">
        <v>1211</v>
      </c>
      <c r="AA8" s="127" t="s">
        <v>249</v>
      </c>
      <c r="AB8" s="127" t="s">
        <v>249</v>
      </c>
      <c r="AC8" s="111">
        <f t="shared" si="1"/>
        <v>0</v>
      </c>
      <c r="AD8" s="111"/>
      <c r="AE8" s="111"/>
      <c r="AF8" s="111"/>
      <c r="AG8" s="111"/>
      <c r="AH8" s="105"/>
      <c r="AI8" s="127" t="s">
        <v>59</v>
      </c>
      <c r="AJ8" s="111">
        <f>IFERROR(IF(AND(COUNT(F8:G8)=2,MIN(F8:G8)&gt;=MAX(10,Rules!$B$22),ISNUMBER(H8),H8&lt;=AP8,AP8-H8&lt;=Rules!$B$10,I8&lt;&gt;"",AB8="Yes"),1,0),0)</f>
        <v>1</v>
      </c>
      <c r="AK8" s="128">
        <f t="shared" si="2"/>
        <v>0.01596516691</v>
      </c>
      <c r="AL8" s="128">
        <f t="shared" si="3"/>
        <v>0.2269050464</v>
      </c>
      <c r="AM8" s="128">
        <f t="shared" si="4"/>
        <v>0.03260405296</v>
      </c>
      <c r="AN8" s="111">
        <f>IFERROR(IF(AND(AJ8=1,X8="Complete",Y8="Complete",Z8="Approved",AA8="Yes",AC8&gt;=MAX(3,Rules!$B$12),COUNT(AD8:AG8)=4,MIN(AD8:AG8)&gt;=0,MAX(AD8:AG8)&lt;=100,AH8&lt;&gt;"",AI8="Yes",ISNUMBER(AQ8),AR8="Yes",AX8="Yes",AY8="Yes",AP8=Rules!$B$6,'Overall score'!$G$10="Valid"),1,0),0)</f>
        <v>0</v>
      </c>
      <c r="AO8" s="105" t="str">
        <f t="array" ref="AO8">IF(AN8&lt;&gt;1,"Unranked",SUMPRODUCT(AD8:AG8,TRANSPOSE('Overall score'!$G$5:$G$8)))</f>
        <v>Unranked</v>
      </c>
      <c r="AP8" s="125">
        <f>Rules!$B$6</f>
        <v>46298</v>
      </c>
      <c r="AQ8" s="128"/>
      <c r="AR8" s="127" t="s">
        <v>59</v>
      </c>
      <c r="AS8" s="124">
        <v>0.0</v>
      </c>
      <c r="AT8" s="124">
        <v>0.0</v>
      </c>
      <c r="AU8" s="124">
        <v>0.0</v>
      </c>
      <c r="AV8" s="124">
        <v>0.0</v>
      </c>
      <c r="AW8" s="105" t="s">
        <v>1218</v>
      </c>
      <c r="AX8" s="127" t="s">
        <v>59</v>
      </c>
      <c r="AY8" s="127" t="s">
        <v>59</v>
      </c>
      <c r="AZ8" s="105" t="str">
        <f>TEXTJOIN("; ",TRUE,IF(AJ8&lt;&gt;1,"Cap/snapshot review",""),IF(X8&lt;&gt;"Complete","Network incomplete",""),IF(Y8&lt;&gt;"Complete","NTM panel not sourced",""),IF(Z8&lt;&gt;"Approved","Profile not reviewed",""),IF(AA8&lt;&gt;"Yes","No matching annual EPS guidance",""),IF(AC8&lt;MAX(3,Rules!$B$12),"Competitor metric panels incomplete",""),IF(AR8&lt;&gt;"Yes","Three-year EPS history incomplete",""),IF(AI8&lt;&gt;"Yes","Module review incomplete",""),IF(AX8&lt;&gt;"Yes","Cohort comparability pending",""),IF(AY8&lt;&gt;"Yes","Common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9" ht="34.5" customHeight="1">
      <c r="A9" s="105" t="s">
        <v>310</v>
      </c>
      <c r="B9" s="105" t="s">
        <v>311</v>
      </c>
      <c r="C9" s="105" t="s">
        <v>312</v>
      </c>
      <c r="D9" s="105" t="s">
        <v>313</v>
      </c>
      <c r="E9" s="105" t="s">
        <v>314</v>
      </c>
      <c r="F9" s="124">
        <v>282.2</v>
      </c>
      <c r="G9" s="124">
        <v>281.7186</v>
      </c>
      <c r="H9" s="125">
        <v>46297.0</v>
      </c>
      <c r="I9" s="105" t="s">
        <v>315</v>
      </c>
      <c r="J9" s="105" t="s">
        <v>1204</v>
      </c>
      <c r="K9" s="105" t="s">
        <v>1206</v>
      </c>
      <c r="L9" s="105" t="s">
        <v>189</v>
      </c>
      <c r="M9" s="124">
        <v>14.69</v>
      </c>
      <c r="N9" s="105" t="s">
        <v>1207</v>
      </c>
      <c r="O9" s="124">
        <v>14.69</v>
      </c>
      <c r="P9" s="124">
        <v>15.2776</v>
      </c>
      <c r="Q9" s="125">
        <v>46252.0</v>
      </c>
      <c r="R9" s="124">
        <v>164.683</v>
      </c>
      <c r="S9" s="124">
        <v>159.514</v>
      </c>
      <c r="T9" s="124">
        <v>20.89</v>
      </c>
      <c r="U9" s="105" t="s">
        <v>1006</v>
      </c>
      <c r="V9" s="105" t="s">
        <v>1007</v>
      </c>
      <c r="W9" s="105" t="s">
        <v>1277</v>
      </c>
      <c r="X9" s="127" t="s">
        <v>1089</v>
      </c>
      <c r="Y9" s="127" t="s">
        <v>1210</v>
      </c>
      <c r="Z9" s="127" t="s">
        <v>1211</v>
      </c>
      <c r="AA9" s="127" t="s">
        <v>249</v>
      </c>
      <c r="AB9" s="127" t="s">
        <v>249</v>
      </c>
      <c r="AC9" s="111">
        <f t="shared" si="1"/>
        <v>0</v>
      </c>
      <c r="AD9" s="111"/>
      <c r="AE9" s="111"/>
      <c r="AF9" s="111"/>
      <c r="AG9" s="111"/>
      <c r="AH9" s="105"/>
      <c r="AI9" s="127" t="s">
        <v>59</v>
      </c>
      <c r="AJ9" s="111">
        <f>IFERROR(IF(AND(COUNT(F9:G9)=2,MIN(F9:G9)&gt;=MAX(10,Rules!$B$22),ISNUMBER(H9),H9&lt;=AP9,AP9-H9&lt;=Rules!$B$10,I9&lt;&gt;"",AB9="Yes"),1,0),0)</f>
        <v>1</v>
      </c>
      <c r="AK9" s="128">
        <f t="shared" si="2"/>
        <v>0.02</v>
      </c>
      <c r="AL9" s="128">
        <f t="shared" si="3"/>
        <v>0.1268497659</v>
      </c>
      <c r="AM9" s="128">
        <f t="shared" si="4"/>
        <v>0.03240467921</v>
      </c>
      <c r="AN9" s="111">
        <f>IFERROR(IF(AND(AJ9=1,X9="Complete",Y9="Complete",Z9="Approved",AA9="Yes",AC9&gt;=MAX(3,Rules!$B$12),COUNT(AD9:AG9)=4,MIN(AD9:AG9)&gt;=0,MAX(AD9:AG9)&lt;=100,AH9&lt;&gt;"",AI9="Yes",ISNUMBER(AQ9),AR9="Yes",AX9="Yes",AY9="Yes",AP9=Rules!$B$6,'Overall score'!$G$10="Valid"),1,0),0)</f>
        <v>0</v>
      </c>
      <c r="AO9" s="105" t="str">
        <f t="array" ref="AO9">IF(AN9&lt;&gt;1,"Unranked",SUMPRODUCT(AD9:AG9,TRANSPOSE('Overall score'!$G$5:$G$8)))</f>
        <v>Unranked</v>
      </c>
      <c r="AP9" s="125">
        <f>Rules!$B$6</f>
        <v>46298</v>
      </c>
      <c r="AQ9" s="128"/>
      <c r="AR9" s="127" t="s">
        <v>59</v>
      </c>
      <c r="AS9" s="124">
        <v>0.0</v>
      </c>
      <c r="AT9" s="124">
        <v>0.0</v>
      </c>
      <c r="AU9" s="124">
        <v>0.0</v>
      </c>
      <c r="AV9" s="124">
        <v>0.0</v>
      </c>
      <c r="AW9" s="105" t="s">
        <v>1218</v>
      </c>
      <c r="AX9" s="127" t="s">
        <v>59</v>
      </c>
      <c r="AY9" s="127" t="s">
        <v>59</v>
      </c>
      <c r="AZ9" s="105" t="str">
        <f>TEXTJOIN("; ",TRUE,IF(AJ9&lt;&gt;1,"Cap/snapshot review",""),IF(X9&lt;&gt;"Complete","Network incomplete",""),IF(Y9&lt;&gt;"Complete","NTM panel not sourced",""),IF(Z9&lt;&gt;"Approved","Profile not reviewed",""),IF(AA9&lt;&gt;"Yes","No matching annual EPS guidance",""),IF(AC9&lt;MAX(3,Rules!$B$12),"Competitor metric panels incomplete",""),IF(AR9&lt;&gt;"Yes","Three-year EPS history incomplete",""),IF(AI9&lt;&gt;"Yes","Module review incomplete",""),IF(AX9&lt;&gt;"Yes","Cohort comparability pending",""),IF(AY9&lt;&gt;"Yes","Common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10" ht="34.5" customHeight="1">
      <c r="A10" s="105" t="s">
        <v>316</v>
      </c>
      <c r="B10" s="105" t="s">
        <v>317</v>
      </c>
      <c r="C10" s="105" t="s">
        <v>317</v>
      </c>
      <c r="D10" s="105" t="s">
        <v>318</v>
      </c>
      <c r="E10" s="105" t="s">
        <v>319</v>
      </c>
      <c r="F10" s="124">
        <v>209.76</v>
      </c>
      <c r="G10" s="124">
        <v>212.23459321</v>
      </c>
      <c r="H10" s="125">
        <v>46297.0</v>
      </c>
      <c r="I10" s="105" t="s">
        <v>320</v>
      </c>
      <c r="J10" s="105" t="s">
        <v>1204</v>
      </c>
      <c r="K10" s="105" t="s">
        <v>1206</v>
      </c>
      <c r="L10" s="105" t="s">
        <v>1009</v>
      </c>
      <c r="M10" s="124">
        <v>11.59</v>
      </c>
      <c r="N10" s="105" t="s">
        <v>1207</v>
      </c>
      <c r="O10" s="111"/>
      <c r="P10" s="111"/>
      <c r="Q10" s="125">
        <v>46225.0</v>
      </c>
      <c r="R10" s="124">
        <v>67.535</v>
      </c>
      <c r="S10" s="124">
        <v>62.753</v>
      </c>
      <c r="T10" s="111"/>
      <c r="U10" s="105" t="s">
        <v>1010</v>
      </c>
      <c r="V10" s="105" t="s">
        <v>1011</v>
      </c>
      <c r="W10" s="105" t="s">
        <v>1282</v>
      </c>
      <c r="X10" s="127" t="s">
        <v>1089</v>
      </c>
      <c r="Y10" s="127" t="s">
        <v>1210</v>
      </c>
      <c r="Z10" s="127" t="s">
        <v>1211</v>
      </c>
      <c r="AA10" s="127" t="s">
        <v>59</v>
      </c>
      <c r="AB10" s="127" t="s">
        <v>249</v>
      </c>
      <c r="AC10" s="111">
        <f t="shared" si="1"/>
        <v>0</v>
      </c>
      <c r="AD10" s="111"/>
      <c r="AE10" s="111"/>
      <c r="AF10" s="111"/>
      <c r="AG10" s="111"/>
      <c r="AH10" s="105"/>
      <c r="AI10" s="127" t="s">
        <v>59</v>
      </c>
      <c r="AJ10" s="111">
        <f>IFERROR(IF(AND(COUNT(F10:G10)=2,MIN(F10:G10)&gt;=MAX(10,Rules!$B$22),ISNUMBER(H10),H10&lt;=AP10,AP10-H10&lt;=Rules!$B$10,I10&lt;&gt;"",AB10="Yes"),1,0),0)</f>
        <v>1</v>
      </c>
      <c r="AK10" s="128" t="str">
        <f t="shared" si="2"/>
        <v>n.a.</v>
      </c>
      <c r="AL10" s="128" t="str">
        <f t="shared" si="3"/>
        <v>n.a.</v>
      </c>
      <c r="AM10" s="128">
        <f t="shared" si="4"/>
        <v>0.07620352812</v>
      </c>
      <c r="AN10" s="111">
        <f>IFERROR(IF(AND(AJ10=1,X10="Complete",Y10="Complete",Z10="Approved",AA10="Yes",AC10&gt;=MAX(3,Rules!$B$12),COUNT(AD10:AG10)=4,MIN(AD10:AG10)&gt;=0,MAX(AD10:AG10)&lt;=100,AH10&lt;&gt;"",AI10="Yes",ISNUMBER(AQ10),AR10="Yes",AX10="Yes",AY10="Yes",AP10=Rules!$B$6,'Overall score'!$G$10="Valid"),1,0),0)</f>
        <v>0</v>
      </c>
      <c r="AO10" s="105" t="str">
        <f t="array" ref="AO10">IF(AN10&lt;&gt;1,"Unranked",SUMPRODUCT(AD10:AG10,TRANSPOSE('Overall score'!$G$5:$G$8)))</f>
        <v>Unranked</v>
      </c>
      <c r="AP10" s="125">
        <f>Rules!$B$6</f>
        <v>46298</v>
      </c>
      <c r="AQ10" s="128"/>
      <c r="AR10" s="127" t="s">
        <v>59</v>
      </c>
      <c r="AS10" s="124">
        <v>0.0</v>
      </c>
      <c r="AT10" s="124">
        <v>0.0</v>
      </c>
      <c r="AU10" s="124">
        <v>0.0</v>
      </c>
      <c r="AV10" s="124">
        <v>0.0</v>
      </c>
      <c r="AW10" s="105" t="s">
        <v>1218</v>
      </c>
      <c r="AX10" s="127" t="s">
        <v>59</v>
      </c>
      <c r="AY10" s="127" t="s">
        <v>59</v>
      </c>
      <c r="AZ10" s="105" t="str">
        <f>TEXTJOIN("; ",TRUE,IF(AJ10&lt;&gt;1,"Cap/snapshot review",""),IF(X10&lt;&gt;"Complete","Network incomplete",""),IF(Y10&lt;&gt;"Complete","NTM panel not sourced",""),IF(Z10&lt;&gt;"Approved","Profile not reviewed",""),IF(AA10&lt;&gt;"Yes","No matching annual EPS guidance",""),IF(AC10&lt;MAX(3,Rules!$B$12),"Competitor metric panels incomplete",""),IF(AR10&lt;&gt;"Yes","Three-year EPS history incomplete",""),IF(AI10&lt;&gt;"Yes","Module review incomplete",""),IF(AX10&lt;&gt;"Yes","Cohort comparability pending",""),IF(AY10&lt;&gt;"Yes","Common cutoff pending",""))</f>
        <v>Network incomplete; NTM panel not sourced; Profile not reviewed; No matching annual EPS guidance; Competitor metric panels incomplete; Three-year EPS history incomplete; Module review incomplete; Cohort comparability pending; Common cutoff pending</v>
      </c>
    </row>
    <row r="11" ht="34.5" customHeight="1">
      <c r="A11" s="105" t="s">
        <v>321</v>
      </c>
      <c r="B11" s="105" t="s">
        <v>322</v>
      </c>
      <c r="C11" s="105" t="s">
        <v>323</v>
      </c>
      <c r="D11" s="105" t="s">
        <v>324</v>
      </c>
      <c r="E11" s="105" t="s">
        <v>325</v>
      </c>
      <c r="F11" s="124">
        <v>190.79</v>
      </c>
      <c r="G11" s="124">
        <v>191.53232</v>
      </c>
      <c r="H11" s="125">
        <v>46297.0</v>
      </c>
      <c r="I11" s="105" t="s">
        <v>326</v>
      </c>
      <c r="J11" s="105" t="s">
        <v>1204</v>
      </c>
      <c r="K11" s="105" t="s">
        <v>1206</v>
      </c>
      <c r="L11" s="105" t="s">
        <v>189</v>
      </c>
      <c r="M11" s="124">
        <v>4.71</v>
      </c>
      <c r="N11" s="105" t="s">
        <v>1207</v>
      </c>
      <c r="O11" s="124">
        <v>4.99</v>
      </c>
      <c r="P11" s="124">
        <v>5.04</v>
      </c>
      <c r="Q11" s="125">
        <v>46227.0</v>
      </c>
      <c r="R11" s="124">
        <v>138.191</v>
      </c>
      <c r="S11" s="124">
        <v>134.788</v>
      </c>
      <c r="T11" s="124">
        <v>29.259</v>
      </c>
      <c r="U11" s="105" t="s">
        <v>1013</v>
      </c>
      <c r="V11" s="105" t="s">
        <v>1014</v>
      </c>
      <c r="W11" s="105" t="s">
        <v>1288</v>
      </c>
      <c r="X11" s="127" t="s">
        <v>1089</v>
      </c>
      <c r="Y11" s="127" t="s">
        <v>1210</v>
      </c>
      <c r="Z11" s="127" t="s">
        <v>1211</v>
      </c>
      <c r="AA11" s="127" t="s">
        <v>249</v>
      </c>
      <c r="AB11" s="127" t="s">
        <v>249</v>
      </c>
      <c r="AC11" s="111">
        <f t="shared" si="1"/>
        <v>0</v>
      </c>
      <c r="AD11" s="111"/>
      <c r="AE11" s="111"/>
      <c r="AF11" s="111"/>
      <c r="AG11" s="111"/>
      <c r="AH11" s="105"/>
      <c r="AI11" s="127" t="s">
        <v>59</v>
      </c>
      <c r="AJ11" s="111">
        <f>IFERROR(IF(AND(COUNT(F11:G11)=2,MIN(F11:G11)&gt;=MAX(10,Rules!$B$22),ISNUMBER(H11),H11&lt;=AP11,AP11-H11&lt;=Rules!$B$10,I11&lt;&gt;"",AB11="Yes"),1,0),0)</f>
        <v>1</v>
      </c>
      <c r="AK11" s="128">
        <f t="shared" si="2"/>
        <v>0.06475583864</v>
      </c>
      <c r="AL11" s="128">
        <f t="shared" si="3"/>
        <v>0.2117286943</v>
      </c>
      <c r="AM11" s="128">
        <f t="shared" si="4"/>
        <v>0.02524705463</v>
      </c>
      <c r="AN11" s="111">
        <f>IFERROR(IF(AND(AJ11=1,X11="Complete",Y11="Complete",Z11="Approved",AA11="Yes",AC11&gt;=MAX(3,Rules!$B$12),COUNT(AD11:AG11)=4,MIN(AD11:AG11)&gt;=0,MAX(AD11:AG11)&lt;=100,AH11&lt;&gt;"",AI11="Yes",ISNUMBER(AQ11),AR11="Yes",AX11="Yes",AY11="Yes",AP11=Rules!$B$6,'Overall score'!$G$10="Valid"),1,0),0)</f>
        <v>0</v>
      </c>
      <c r="AO11" s="105" t="str">
        <f t="array" ref="AO11">IF(AN11&lt;&gt;1,"Unranked",SUMPRODUCT(AD11:AG11,TRANSPOSE('Overall score'!$G$5:$G$8)))</f>
        <v>Unranked</v>
      </c>
      <c r="AP11" s="125">
        <f>Rules!$B$6</f>
        <v>46298</v>
      </c>
      <c r="AQ11" s="128"/>
      <c r="AR11" s="127" t="s">
        <v>59</v>
      </c>
      <c r="AS11" s="124">
        <v>0.0</v>
      </c>
      <c r="AT11" s="124">
        <v>0.0</v>
      </c>
      <c r="AU11" s="124">
        <v>0.0</v>
      </c>
      <c r="AV11" s="124">
        <v>0.0</v>
      </c>
      <c r="AW11" s="105" t="s">
        <v>1289</v>
      </c>
      <c r="AX11" s="127" t="s">
        <v>59</v>
      </c>
      <c r="AY11" s="127" t="s">
        <v>59</v>
      </c>
      <c r="AZ11" s="105" t="str">
        <f>TEXTJOIN("; ",TRUE,IF(AJ11&lt;&gt;1,"Cap/snapshot review",""),IF(X11&lt;&gt;"Complete","Network incomplete",""),IF(Y11&lt;&gt;"Complete","NTM panel not sourced",""),IF(Z11&lt;&gt;"Approved","Profile not reviewed",""),IF(AA11&lt;&gt;"Yes","No matching annual EPS guidance",""),IF(AC11&lt;MAX(3,Rules!$B$12),"Competitor metric panels incomplete",""),IF(AR11&lt;&gt;"Yes","Three-year EPS history incomplete",""),IF(AI11&lt;&gt;"Yes","Module review incomplete",""),IF(AX11&lt;&gt;"Yes","Cohort comparability pending",""),IF(AY11&lt;&gt;"Yes","Common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12" ht="34.5" customHeight="1">
      <c r="A12" s="105" t="s">
        <v>327</v>
      </c>
      <c r="B12" s="105" t="s">
        <v>328</v>
      </c>
      <c r="C12" s="105" t="s">
        <v>329</v>
      </c>
      <c r="D12" s="105" t="s">
        <v>330</v>
      </c>
      <c r="E12" s="105" t="s">
        <v>331</v>
      </c>
      <c r="F12" s="124">
        <v>67.82</v>
      </c>
      <c r="G12" s="124">
        <v>67.82199274</v>
      </c>
      <c r="H12" s="125">
        <v>46297.0</v>
      </c>
      <c r="I12" s="105" t="s">
        <v>332</v>
      </c>
      <c r="J12" s="105" t="s">
        <v>1204</v>
      </c>
      <c r="K12" s="105" t="s">
        <v>1292</v>
      </c>
      <c r="L12" s="105" t="s">
        <v>189</v>
      </c>
      <c r="M12" s="124">
        <v>6.46</v>
      </c>
      <c r="N12" s="105" t="s">
        <v>1207</v>
      </c>
      <c r="O12" s="124">
        <v>8.05</v>
      </c>
      <c r="P12" s="124">
        <v>8.35</v>
      </c>
      <c r="Q12" s="125">
        <v>46226.0</v>
      </c>
      <c r="R12" s="124">
        <v>19.945</v>
      </c>
      <c r="S12" s="111"/>
      <c r="T12" s="124">
        <v>1.171</v>
      </c>
      <c r="U12" s="105" t="s">
        <v>1016</v>
      </c>
      <c r="V12" s="105" t="s">
        <v>1016</v>
      </c>
      <c r="W12" s="105" t="s">
        <v>1296</v>
      </c>
      <c r="X12" s="127" t="s">
        <v>1089</v>
      </c>
      <c r="Y12" s="127" t="s">
        <v>1210</v>
      </c>
      <c r="Z12" s="127" t="s">
        <v>1211</v>
      </c>
      <c r="AA12" s="127" t="s">
        <v>249</v>
      </c>
      <c r="AB12" s="127" t="s">
        <v>249</v>
      </c>
      <c r="AC12" s="111">
        <f t="shared" si="1"/>
        <v>0</v>
      </c>
      <c r="AD12" s="111"/>
      <c r="AE12" s="111"/>
      <c r="AF12" s="111"/>
      <c r="AG12" s="111"/>
      <c r="AH12" s="105"/>
      <c r="AI12" s="127" t="s">
        <v>59</v>
      </c>
      <c r="AJ12" s="111">
        <f>IFERROR(IF(AND(COUNT(F12:G12)=2,MIN(F12:G12)&gt;=MAX(10,Rules!$B$22),ISNUMBER(H12),H12&lt;=AP12,AP12-H12&lt;=Rules!$B$10,I12&lt;&gt;"",AB12="Yes"),1,0),0)</f>
        <v>1</v>
      </c>
      <c r="AK12" s="128">
        <f t="shared" si="2"/>
        <v>0.2693498452</v>
      </c>
      <c r="AL12" s="128">
        <f t="shared" si="3"/>
        <v>0.05871145651</v>
      </c>
      <c r="AM12" s="128" t="str">
        <f t="shared" si="4"/>
        <v>n.a.</v>
      </c>
      <c r="AN12" s="111">
        <f>IFERROR(IF(AND(AJ12=1,X12="Complete",Y12="Complete",Z12="Approved",AA12="Yes",AC12&gt;=MAX(3,Rules!$B$12),COUNT(AD12:AG12)=4,MIN(AD12:AG12)&gt;=0,MAX(AD12:AG12)&lt;=100,AH12&lt;&gt;"",AI12="Yes",ISNUMBER(AQ12),AR12="Yes",AX12="Yes",AY12="Yes",AP12=Rules!$B$6,'Overall score'!$G$10="Valid"),1,0),0)</f>
        <v>0</v>
      </c>
      <c r="AO12" s="105" t="str">
        <f t="array" ref="AO12">IF(AN12&lt;&gt;1,"Unranked",SUMPRODUCT(AD12:AG12,TRANSPOSE('Overall score'!$G$5:$G$8)))</f>
        <v>Unranked</v>
      </c>
      <c r="AP12" s="125">
        <f>Rules!$B$6</f>
        <v>46298</v>
      </c>
      <c r="AQ12" s="128"/>
      <c r="AR12" s="127" t="s">
        <v>59</v>
      </c>
      <c r="AS12" s="124">
        <v>0.0</v>
      </c>
      <c r="AT12" s="124">
        <v>0.0</v>
      </c>
      <c r="AU12" s="124">
        <v>0.0</v>
      </c>
      <c r="AV12" s="124">
        <v>0.0</v>
      </c>
      <c r="AW12" s="105" t="s">
        <v>1218</v>
      </c>
      <c r="AX12" s="127" t="s">
        <v>59</v>
      </c>
      <c r="AY12" s="127" t="s">
        <v>59</v>
      </c>
      <c r="AZ12" s="105" t="str">
        <f>TEXTJOIN("; ",TRUE,IF(AJ12&lt;&gt;1,"Cap/snapshot review",""),IF(X12&lt;&gt;"Complete","Network incomplete",""),IF(Y12&lt;&gt;"Complete","NTM panel not sourced",""),IF(Z12&lt;&gt;"Approved","Profile not reviewed",""),IF(AA12&lt;&gt;"Yes","No matching annual EPS guidance",""),IF(AC12&lt;MAX(3,Rules!$B$12),"Competitor metric panels incomplete",""),IF(AR12&lt;&gt;"Yes","Three-year EPS history incomplete",""),IF(AI12&lt;&gt;"Yes","Module review incomplete",""),IF(AX12&lt;&gt;"Yes","Cohort comparability pending",""),IF(AY12&lt;&gt;"Yes","Common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13" ht="34.5" customHeight="1">
      <c r="A13" s="105" t="s">
        <v>333</v>
      </c>
      <c r="B13" s="105" t="s">
        <v>334</v>
      </c>
      <c r="C13" s="105" t="s">
        <v>335</v>
      </c>
      <c r="D13" s="105" t="s">
        <v>336</v>
      </c>
      <c r="E13" s="105" t="s">
        <v>337</v>
      </c>
      <c r="F13" s="124">
        <v>77.11</v>
      </c>
      <c r="G13" s="124">
        <v>78.59946</v>
      </c>
      <c r="H13" s="125">
        <v>46297.0</v>
      </c>
      <c r="I13" s="105" t="s">
        <v>338</v>
      </c>
      <c r="J13" s="105" t="s">
        <v>1204</v>
      </c>
      <c r="K13" s="105" t="s">
        <v>1206</v>
      </c>
      <c r="L13" s="105" t="s">
        <v>189</v>
      </c>
      <c r="M13" s="124">
        <v>11.43</v>
      </c>
      <c r="N13" s="105" t="s">
        <v>1207</v>
      </c>
      <c r="O13" s="124">
        <v>11.8</v>
      </c>
      <c r="P13" s="124">
        <v>12.2</v>
      </c>
      <c r="Q13" s="125">
        <v>46231.0</v>
      </c>
      <c r="R13" s="124">
        <v>23.5743</v>
      </c>
      <c r="S13" s="124">
        <v>23.0985</v>
      </c>
      <c r="T13" s="111"/>
      <c r="U13" s="105" t="s">
        <v>1018</v>
      </c>
      <c r="V13" s="105" t="s">
        <v>1019</v>
      </c>
      <c r="W13" s="105" t="s">
        <v>1299</v>
      </c>
      <c r="X13" s="127" t="s">
        <v>1089</v>
      </c>
      <c r="Y13" s="127" t="s">
        <v>1210</v>
      </c>
      <c r="Z13" s="127" t="s">
        <v>1211</v>
      </c>
      <c r="AA13" s="127" t="s">
        <v>249</v>
      </c>
      <c r="AB13" s="127" t="s">
        <v>249</v>
      </c>
      <c r="AC13" s="111">
        <f t="shared" si="1"/>
        <v>0</v>
      </c>
      <c r="AD13" s="111"/>
      <c r="AE13" s="111"/>
      <c r="AF13" s="111"/>
      <c r="AG13" s="111"/>
      <c r="AH13" s="105"/>
      <c r="AI13" s="127" t="s">
        <v>59</v>
      </c>
      <c r="AJ13" s="111">
        <f>IFERROR(IF(AND(COUNT(F13:G13)=2,MIN(F13:G13)&gt;=MAX(10,Rules!$B$22),ISNUMBER(H13),H13&lt;=AP13,AP13-H13&lt;=Rules!$B$10,I13&lt;&gt;"",AB13="Yes"),1,0),0)</f>
        <v>1</v>
      </c>
      <c r="AK13" s="128">
        <f t="shared" si="2"/>
        <v>0.0498687664</v>
      </c>
      <c r="AL13" s="128" t="str">
        <f t="shared" si="3"/>
        <v>n.a.</v>
      </c>
      <c r="AM13" s="128">
        <f t="shared" si="4"/>
        <v>0.02059874018</v>
      </c>
      <c r="AN13" s="111">
        <f>IFERROR(IF(AND(AJ13=1,X13="Complete",Y13="Complete",Z13="Approved",AA13="Yes",AC13&gt;=MAX(3,Rules!$B$12),COUNT(AD13:AG13)=4,MIN(AD13:AG13)&gt;=0,MAX(AD13:AG13)&lt;=100,AH13&lt;&gt;"",AI13="Yes",ISNUMBER(AQ13),AR13="Yes",AX13="Yes",AY13="Yes",AP13=Rules!$B$6,'Overall score'!$G$10="Valid"),1,0),0)</f>
        <v>0</v>
      </c>
      <c r="AO13" s="105" t="str">
        <f t="array" ref="AO13">IF(AN13&lt;&gt;1,"Unranked",SUMPRODUCT(AD13:AG13,TRANSPOSE('Overall score'!$G$5:$G$8)))</f>
        <v>Unranked</v>
      </c>
      <c r="AP13" s="125">
        <f>Rules!$B$6</f>
        <v>46298</v>
      </c>
      <c r="AQ13" s="128"/>
      <c r="AR13" s="127" t="s">
        <v>59</v>
      </c>
      <c r="AS13" s="124">
        <v>0.0</v>
      </c>
      <c r="AT13" s="124">
        <v>0.0</v>
      </c>
      <c r="AU13" s="124">
        <v>0.0</v>
      </c>
      <c r="AV13" s="124">
        <v>0.0</v>
      </c>
      <c r="AW13" s="105" t="s">
        <v>1218</v>
      </c>
      <c r="AX13" s="127" t="s">
        <v>59</v>
      </c>
      <c r="AY13" s="127" t="s">
        <v>59</v>
      </c>
      <c r="AZ13" s="105" t="str">
        <f>TEXTJOIN("; ",TRUE,IF(AJ13&lt;&gt;1,"Cap/snapshot review",""),IF(X13&lt;&gt;"Complete","Network incomplete",""),IF(Y13&lt;&gt;"Complete","NTM panel not sourced",""),IF(Z13&lt;&gt;"Approved","Profile not reviewed",""),IF(AA13&lt;&gt;"Yes","No matching annual EPS guidance",""),IF(AC13&lt;MAX(3,Rules!$B$12),"Competitor metric panels incomplete",""),IF(AR13&lt;&gt;"Yes","Three-year EPS history incomplete",""),IF(AI13&lt;&gt;"Yes","Module review incomplete",""),IF(AX13&lt;&gt;"Yes","Cohort comparability pending",""),IF(AY13&lt;&gt;"Yes","Common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14" ht="34.5" customHeight="1">
      <c r="A14" s="105" t="s">
        <v>339</v>
      </c>
      <c r="B14" s="105" t="s">
        <v>340</v>
      </c>
      <c r="C14" s="105" t="s">
        <v>341</v>
      </c>
      <c r="D14" s="105" t="s">
        <v>30</v>
      </c>
      <c r="E14" s="105" t="s">
        <v>342</v>
      </c>
      <c r="F14" s="124">
        <v>65.09</v>
      </c>
      <c r="G14" s="124">
        <v>65.838603232</v>
      </c>
      <c r="H14" s="125">
        <v>46297.0</v>
      </c>
      <c r="I14" s="105" t="s">
        <v>343</v>
      </c>
      <c r="J14" s="105" t="s">
        <v>1204</v>
      </c>
      <c r="K14" s="105" t="s">
        <v>1206</v>
      </c>
      <c r="L14" s="105" t="s">
        <v>1009</v>
      </c>
      <c r="M14" s="124">
        <v>5.97</v>
      </c>
      <c r="N14" s="105" t="s">
        <v>1207</v>
      </c>
      <c r="O14" s="124">
        <v>6.25</v>
      </c>
      <c r="P14" s="124">
        <v>6.55</v>
      </c>
      <c r="Q14" s="125">
        <v>46233.0</v>
      </c>
      <c r="R14" s="124">
        <v>21.876</v>
      </c>
      <c r="S14" s="124">
        <v>19.721</v>
      </c>
      <c r="T14" s="111"/>
      <c r="U14" s="105" t="s">
        <v>1021</v>
      </c>
      <c r="V14" s="105" t="s">
        <v>1022</v>
      </c>
      <c r="W14" s="105" t="s">
        <v>1304</v>
      </c>
      <c r="X14" s="127" t="s">
        <v>1089</v>
      </c>
      <c r="Y14" s="127" t="s">
        <v>1210</v>
      </c>
      <c r="Z14" s="127" t="s">
        <v>1211</v>
      </c>
      <c r="AA14" s="127" t="s">
        <v>249</v>
      </c>
      <c r="AB14" s="127" t="s">
        <v>249</v>
      </c>
      <c r="AC14" s="111">
        <f t="shared" si="1"/>
        <v>0</v>
      </c>
      <c r="AD14" s="111"/>
      <c r="AE14" s="111"/>
      <c r="AF14" s="111"/>
      <c r="AG14" s="111"/>
      <c r="AH14" s="105"/>
      <c r="AI14" s="127" t="s">
        <v>59</v>
      </c>
      <c r="AJ14" s="111">
        <f>IFERROR(IF(AND(COUNT(F14:G14)=2,MIN(F14:G14)&gt;=MAX(10,Rules!$B$22),ISNUMBER(H14),H14&lt;=AP14,AP14-H14&lt;=Rules!$B$10,I14&lt;&gt;"",AB14="Yes"),1,0),0)</f>
        <v>1</v>
      </c>
      <c r="AK14" s="128">
        <f t="shared" si="2"/>
        <v>0.07202680067</v>
      </c>
      <c r="AL14" s="128" t="str">
        <f t="shared" si="3"/>
        <v>n.a.</v>
      </c>
      <c r="AM14" s="128">
        <f t="shared" si="4"/>
        <v>0.1092743776</v>
      </c>
      <c r="AN14" s="111">
        <f>IFERROR(IF(AND(AJ14=1,X14="Complete",Y14="Complete",Z14="Approved",AA14="Yes",AC14&gt;=MAX(3,Rules!$B$12),COUNT(AD14:AG14)=4,MIN(AD14:AG14)&gt;=0,MAX(AD14:AG14)&lt;=100,AH14&lt;&gt;"",AI14="Yes",ISNUMBER(AQ14),AR14="Yes",AX14="Yes",AY14="Yes",AP14=Rules!$B$6,'Overall score'!$G$10="Valid"),1,0),0)</f>
        <v>0</v>
      </c>
      <c r="AO14" s="105" t="str">
        <f t="array" ref="AO14">IF(AN14&lt;&gt;1,"Unranked",SUMPRODUCT(AD14:AG14,TRANSPOSE('Overall score'!$G$5:$G$8)))</f>
        <v>Unranked</v>
      </c>
      <c r="AP14" s="125">
        <f>Rules!$B$6</f>
        <v>46298</v>
      </c>
      <c r="AQ14" s="128"/>
      <c r="AR14" s="127" t="s">
        <v>59</v>
      </c>
      <c r="AS14" s="124">
        <v>0.0</v>
      </c>
      <c r="AT14" s="124">
        <v>0.0</v>
      </c>
      <c r="AU14" s="124">
        <v>0.0</v>
      </c>
      <c r="AV14" s="124">
        <v>0.0</v>
      </c>
      <c r="AW14" s="105" t="s">
        <v>1218</v>
      </c>
      <c r="AX14" s="127" t="s">
        <v>59</v>
      </c>
      <c r="AY14" s="127" t="s">
        <v>59</v>
      </c>
      <c r="AZ14" s="105" t="str">
        <f>TEXTJOIN("; ",TRUE,IF(AJ14&lt;&gt;1,"Cap/snapshot review",""),IF(X14&lt;&gt;"Complete","Network incomplete",""),IF(Y14&lt;&gt;"Complete","NTM panel not sourced",""),IF(Z14&lt;&gt;"Approved","Profile not reviewed",""),IF(AA14&lt;&gt;"Yes","No matching annual EPS guidance",""),IF(AC14&lt;MAX(3,Rules!$B$12),"Competitor metric panels incomplete",""),IF(AR14&lt;&gt;"Yes","Three-year EPS history incomplete",""),IF(AI14&lt;&gt;"Yes","Module review incomplete",""),IF(AX14&lt;&gt;"Yes","Cohort comparability pending",""),IF(AY14&lt;&gt;"Yes","Common cutoff pending",""))</f>
        <v>Network incomplete; NTM panel not sourced; Profile not reviewed; Competitor metric panels incomplete; Three-year EPS history incomplete; Module review incomplete; Cohort comparability pending; Common cutoff pending</v>
      </c>
    </row>
    <row r="15" ht="34.5" customHeight="1">
      <c r="A15" s="105" t="s">
        <v>344</v>
      </c>
      <c r="B15" s="105" t="s">
        <v>345</v>
      </c>
      <c r="C15" s="105" t="s">
        <v>346</v>
      </c>
      <c r="D15" s="105" t="s">
        <v>347</v>
      </c>
      <c r="E15" s="105" t="s">
        <v>348</v>
      </c>
      <c r="F15" s="124">
        <v>883.53</v>
      </c>
      <c r="G15" s="124">
        <v>895.498196</v>
      </c>
      <c r="H15" s="125">
        <v>46297.0</v>
      </c>
      <c r="I15" s="105" t="s">
        <v>349</v>
      </c>
      <c r="J15" s="105" t="s">
        <v>1204</v>
      </c>
      <c r="K15" s="105" t="s">
        <v>1206</v>
      </c>
      <c r="L15" s="105" t="s">
        <v>182</v>
      </c>
      <c r="M15" s="124">
        <v>20.02</v>
      </c>
      <c r="N15" s="105" t="s">
        <v>1207</v>
      </c>
      <c r="O15" s="111"/>
      <c r="P15" s="111"/>
      <c r="Q15" s="125">
        <v>46217.0</v>
      </c>
      <c r="R15" s="124">
        <v>182.447</v>
      </c>
      <c r="S15" s="124">
        <v>177.556</v>
      </c>
      <c r="T15" s="111"/>
      <c r="U15" s="105" t="s">
        <v>1024</v>
      </c>
      <c r="V15" s="105" t="s">
        <v>1025</v>
      </c>
      <c r="W15" s="105" t="s">
        <v>1310</v>
      </c>
      <c r="X15" s="127" t="s">
        <v>1089</v>
      </c>
      <c r="Y15" s="127" t="s">
        <v>1210</v>
      </c>
      <c r="Z15" s="127" t="s">
        <v>1311</v>
      </c>
      <c r="AA15" s="127" t="s">
        <v>59</v>
      </c>
      <c r="AB15" s="127" t="s">
        <v>249</v>
      </c>
      <c r="AC15" s="111">
        <f t="shared" si="1"/>
        <v>0</v>
      </c>
      <c r="AD15" s="111"/>
      <c r="AE15" s="111"/>
      <c r="AF15" s="111"/>
      <c r="AG15" s="111"/>
      <c r="AH15" s="105"/>
      <c r="AI15" s="127" t="s">
        <v>59</v>
      </c>
      <c r="AJ15" s="111">
        <f>IFERROR(IF(AND(COUNT(F15:G15)=2,MIN(F15:G15)&gt;=MAX(10,Rules!$B$22),ISNUMBER(H15),H15&lt;=AP15,AP15-H15&lt;=Rules!$B$10,I15&lt;&gt;"",AB15="Yes"),1,0),0)</f>
        <v>1</v>
      </c>
      <c r="AK15" s="128" t="str">
        <f t="shared" si="2"/>
        <v>n.a.</v>
      </c>
      <c r="AL15" s="128" t="str">
        <f t="shared" si="3"/>
        <v>n.a.</v>
      </c>
      <c r="AM15" s="128">
        <f t="shared" si="4"/>
        <v>0.02754623893</v>
      </c>
      <c r="AN15" s="111">
        <f>IFERROR(IF(AND(AJ15=1,X15="Complete",Y15="Complete",Z15="Approved",AA15="Yes",AC15&gt;=MAX(3,Rules!$B$12),COUNT(AD15:AG15)=4,MIN(AD15:AG15)&gt;=0,MAX(AD15:AG15)&lt;=100,AH15&lt;&gt;"",AI15="Yes",ISNUMBER(AQ15),AR15="Yes",AX15="Yes",AY15="Yes",AP15=Rules!$B$6,'Overall score'!$G$10="Valid"),1,0),0)</f>
        <v>0</v>
      </c>
      <c r="AO15" s="105" t="str">
        <f t="array" ref="AO15">IF(AN15&lt;&gt;1,"Unranked",SUMPRODUCT(AD15:AG15,TRANSPOSE('Overall score'!$G$5:$G$8)))</f>
        <v>Unranked</v>
      </c>
      <c r="AP15" s="125">
        <f>Rules!$B$6</f>
        <v>46298</v>
      </c>
      <c r="AQ15" s="128"/>
      <c r="AR15" s="127" t="s">
        <v>59</v>
      </c>
      <c r="AS15" s="124">
        <v>0.0</v>
      </c>
      <c r="AT15" s="124">
        <v>0.0</v>
      </c>
      <c r="AU15" s="124">
        <v>0.0</v>
      </c>
      <c r="AV15" s="124">
        <v>0.0</v>
      </c>
      <c r="AW15" s="105" t="s">
        <v>1218</v>
      </c>
      <c r="AX15" s="127" t="s">
        <v>59</v>
      </c>
      <c r="AY15" s="127" t="s">
        <v>59</v>
      </c>
      <c r="AZ15" s="105" t="str">
        <f>TEXTJOIN("; ",TRUE,IF(AJ15&lt;&gt;1,"Cap/snapshot review",""),IF(X15&lt;&gt;"Complete","Network incomplete",""),IF(Y15&lt;&gt;"Complete","NTM panel not sourced",""),IF(Z15&lt;&gt;"Approved","Profile not reviewed",""),IF(AA15&lt;&gt;"Yes","No matching annual EPS guidance",""),IF(AC15&lt;MAX(3,Rules!$B$12),"Competitor metric panels incomplete",""),IF(AR15&lt;&gt;"Yes","Three-year EPS history incomplete",""),IF(AI15&lt;&gt;"Yes","Module review incomplete",""),IF(AX15&lt;&gt;"Yes","Cohort comparability pending",""),IF(AY15&lt;&gt;"Yes","Common cutoff pending",""))</f>
        <v>Network incomplete; NTM panel not sourced; Profile not reviewed; No matching annual EPS guidance; Competitor metric panels incomplete; Three-year EPS history incomplete; Module review incomplete; Cohort comparability pending; Common cutoff pending</v>
      </c>
    </row>
    <row r="27">
      <c r="A27" s="93" t="s">
        <v>1318</v>
      </c>
      <c r="B27" s="93"/>
      <c r="C27" s="93"/>
      <c r="D27" s="93"/>
      <c r="E27" s="93"/>
      <c r="F27" s="93"/>
      <c r="G27" s="93"/>
      <c r="H27" s="93"/>
    </row>
    <row r="28">
      <c r="A28" s="93"/>
      <c r="B28" s="93"/>
      <c r="C28" s="93"/>
      <c r="D28" s="93"/>
      <c r="E28" s="93"/>
      <c r="F28" s="93"/>
      <c r="G28" s="93"/>
      <c r="H28" s="93"/>
    </row>
    <row r="29">
      <c r="A29" s="140" t="s">
        <v>1319</v>
      </c>
      <c r="B29" s="140" t="s">
        <v>1320</v>
      </c>
      <c r="C29" s="140" t="s">
        <v>1101</v>
      </c>
      <c r="D29" s="140" t="s">
        <v>1321</v>
      </c>
      <c r="E29" s="140" t="s">
        <v>1322</v>
      </c>
      <c r="F29" s="140" t="s">
        <v>1323</v>
      </c>
      <c r="G29" s="140" t="s">
        <v>1324</v>
      </c>
      <c r="H29" s="140" t="s">
        <v>1325</v>
      </c>
    </row>
    <row r="30">
      <c r="A30" s="93" t="s">
        <v>292</v>
      </c>
      <c r="B30" s="93" t="s">
        <v>1326</v>
      </c>
      <c r="C30" s="113">
        <v>408.23073203</v>
      </c>
      <c r="D30" s="104">
        <v>46297.0</v>
      </c>
      <c r="E30" s="93" t="str">
        <f>IF(AND(ISNUMBER(C30),C30&gt;=MAX(10,Rules!$B$22)),"Pass","Exclude")</f>
        <v>Pass</v>
      </c>
      <c r="F30" s="93" t="s">
        <v>1327</v>
      </c>
      <c r="G30" s="93" t="s">
        <v>295</v>
      </c>
      <c r="H30" s="93" t="s">
        <v>1328</v>
      </c>
    </row>
    <row r="31">
      <c r="A31" s="93" t="s">
        <v>292</v>
      </c>
      <c r="B31" s="93" t="s">
        <v>1329</v>
      </c>
      <c r="C31" s="113">
        <v>153.90682125</v>
      </c>
      <c r="D31" s="104">
        <v>46297.0</v>
      </c>
      <c r="E31" s="93" t="str">
        <f>IF(AND(ISNUMBER(C31),C31&gt;=MAX(10,Rules!$B$22)),"Pass","Exclude")</f>
        <v>Pass</v>
      </c>
      <c r="F31" s="93" t="s">
        <v>1327</v>
      </c>
      <c r="G31" s="93" t="s">
        <v>295</v>
      </c>
      <c r="H31" s="93" t="s">
        <v>1328</v>
      </c>
    </row>
    <row r="32">
      <c r="A32" s="93" t="s">
        <v>299</v>
      </c>
      <c r="B32" s="93" t="s">
        <v>1306</v>
      </c>
      <c r="C32" s="113">
        <v>356.012867363</v>
      </c>
      <c r="D32" s="104">
        <v>46297.0</v>
      </c>
      <c r="E32" s="93" t="str">
        <f>IF(AND(ISNUMBER(C32),C32&gt;=MAX(10,Rules!$B$22)),"Pass","Exclude")</f>
        <v>Pass</v>
      </c>
      <c r="F32" s="93" t="s">
        <v>1327</v>
      </c>
      <c r="G32" s="93" t="s">
        <v>302</v>
      </c>
      <c r="H32" s="93" t="s">
        <v>1328</v>
      </c>
    </row>
    <row r="33">
      <c r="A33" s="93" t="s">
        <v>299</v>
      </c>
      <c r="B33" s="93" t="s">
        <v>1330</v>
      </c>
      <c r="C33" s="113">
        <v>169.9406475</v>
      </c>
      <c r="D33" s="104">
        <v>46297.0</v>
      </c>
      <c r="E33" s="93" t="str">
        <f>IF(AND(ISNUMBER(C33),C33&gt;=MAX(10,Rules!$B$22)),"Pass","Exclude")</f>
        <v>Pass</v>
      </c>
      <c r="F33" s="93" t="s">
        <v>1327</v>
      </c>
      <c r="G33" s="93" t="s">
        <v>302</v>
      </c>
      <c r="H33" s="93" t="s">
        <v>1328</v>
      </c>
    </row>
    <row r="34">
      <c r="A34" s="93" t="s">
        <v>305</v>
      </c>
      <c r="B34" s="93" t="s">
        <v>1331</v>
      </c>
      <c r="C34" s="113">
        <v>67.169782572</v>
      </c>
      <c r="D34" s="104">
        <v>46297.0</v>
      </c>
      <c r="E34" s="93" t="str">
        <f>IF(AND(ISNUMBER(C34),C34&gt;=MAX(10,Rules!$B$22)),"Pass","Exclude")</f>
        <v>Pass</v>
      </c>
      <c r="F34" s="93" t="s">
        <v>1327</v>
      </c>
      <c r="G34" s="93" t="s">
        <v>308</v>
      </c>
      <c r="H34" s="93" t="s">
        <v>1328</v>
      </c>
    </row>
    <row r="35">
      <c r="A35" s="93" t="s">
        <v>305</v>
      </c>
      <c r="B35" s="93" t="s">
        <v>1332</v>
      </c>
      <c r="C35" s="113">
        <v>31.382158026</v>
      </c>
      <c r="D35" s="104">
        <v>46297.0</v>
      </c>
      <c r="E35" s="93" t="str">
        <f>IF(AND(ISNUMBER(C35),C35&gt;=MAX(10,Rules!$B$22)),"Pass","Exclude")</f>
        <v>Pass</v>
      </c>
      <c r="F35" s="93" t="s">
        <v>1327</v>
      </c>
      <c r="G35" s="93" t="s">
        <v>308</v>
      </c>
      <c r="H35" s="93" t="s">
        <v>1328</v>
      </c>
    </row>
    <row r="36">
      <c r="A36" s="93" t="s">
        <v>311</v>
      </c>
      <c r="B36" s="93" t="s">
        <v>1333</v>
      </c>
      <c r="C36" s="113">
        <v>101.248</v>
      </c>
      <c r="D36" s="104">
        <v>46297.0</v>
      </c>
      <c r="E36" s="93" t="str">
        <f>IF(AND(ISNUMBER(C36),C36&gt;=MAX(10,Rules!$B$22)),"Pass","Exclude")</f>
        <v>Pass</v>
      </c>
      <c r="F36" s="93" t="s">
        <v>1327</v>
      </c>
      <c r="G36" s="93" t="s">
        <v>314</v>
      </c>
      <c r="H36" s="93" t="s">
        <v>1328</v>
      </c>
    </row>
    <row r="37">
      <c r="A37" s="93" t="s">
        <v>311</v>
      </c>
      <c r="B37" s="93" t="s">
        <v>1334</v>
      </c>
      <c r="C37" s="113">
        <v>16.31028035</v>
      </c>
      <c r="D37" s="104">
        <v>46297.0</v>
      </c>
      <c r="E37" s="93" t="str">
        <f>IF(AND(ISNUMBER(C37),C37&gt;=MAX(10,Rules!$B$22)),"Pass","Exclude")</f>
        <v>Pass</v>
      </c>
      <c r="F37" s="93" t="s">
        <v>1327</v>
      </c>
      <c r="G37" s="93" t="s">
        <v>314</v>
      </c>
      <c r="H37" s="93" t="s">
        <v>1328</v>
      </c>
    </row>
    <row r="38">
      <c r="A38" s="93" t="s">
        <v>317</v>
      </c>
      <c r="B38" s="93" t="s">
        <v>1335</v>
      </c>
      <c r="C38" s="113">
        <v>122.44152905</v>
      </c>
      <c r="D38" s="104">
        <v>46297.0</v>
      </c>
      <c r="E38" s="93" t="str">
        <f>IF(AND(ISNUMBER(C38),C38&gt;=MAX(10,Rules!$B$22)),"Pass","Exclude")</f>
        <v>Pass</v>
      </c>
      <c r="F38" s="93" t="s">
        <v>1327</v>
      </c>
      <c r="G38" s="93" t="s">
        <v>319</v>
      </c>
      <c r="H38" s="93" t="s">
        <v>1328</v>
      </c>
    </row>
    <row r="39">
      <c r="A39" s="93" t="s">
        <v>317</v>
      </c>
      <c r="B39" s="93" t="s">
        <v>1336</v>
      </c>
      <c r="C39" s="113">
        <v>100.45917</v>
      </c>
      <c r="D39" s="104">
        <v>46297.0</v>
      </c>
      <c r="E39" s="93" t="str">
        <f>IF(AND(ISNUMBER(C39),C39&gt;=MAX(10,Rules!$B$22)),"Pass","Exclude")</f>
        <v>Pass</v>
      </c>
      <c r="F39" s="93" t="s">
        <v>1327</v>
      </c>
      <c r="G39" s="93" t="s">
        <v>319</v>
      </c>
      <c r="H39" s="93" t="s">
        <v>1328</v>
      </c>
    </row>
    <row r="40">
      <c r="A40" s="93" t="s">
        <v>322</v>
      </c>
      <c r="B40" s="93" t="s">
        <v>1338</v>
      </c>
      <c r="C40" s="113">
        <v>168.7878</v>
      </c>
      <c r="D40" s="104">
        <v>46297.0</v>
      </c>
      <c r="E40" s="93" t="str">
        <f>IF(AND(ISNUMBER(C40),C40&gt;=MAX(10,Rules!$B$22)),"Pass","Exclude")</f>
        <v>Pass</v>
      </c>
      <c r="F40" s="93" t="s">
        <v>1327</v>
      </c>
      <c r="G40" s="93" t="s">
        <v>325</v>
      </c>
      <c r="H40" s="93" t="s">
        <v>1328</v>
      </c>
    </row>
    <row r="41">
      <c r="A41" s="93" t="s">
        <v>322</v>
      </c>
      <c r="B41" s="93" t="s">
        <v>1339</v>
      </c>
      <c r="C41" s="113">
        <v>177.125512835</v>
      </c>
      <c r="D41" s="104">
        <v>46297.0</v>
      </c>
      <c r="E41" s="93" t="str">
        <f>IF(AND(ISNUMBER(C41),C41&gt;=MAX(10,Rules!$B$22)),"Pass","Exclude")</f>
        <v>Pass</v>
      </c>
      <c r="F41" s="93" t="s">
        <v>1327</v>
      </c>
      <c r="G41" s="93" t="s">
        <v>325</v>
      </c>
      <c r="H41" s="93" t="s">
        <v>1328</v>
      </c>
    </row>
    <row r="42">
      <c r="A42" s="93" t="s">
        <v>328</v>
      </c>
      <c r="B42" s="93" t="s">
        <v>1340</v>
      </c>
      <c r="C42" s="113">
        <v>90.679371</v>
      </c>
      <c r="D42" s="104">
        <v>46297.0</v>
      </c>
      <c r="E42" s="93" t="str">
        <f>IF(AND(ISNUMBER(C42),C42&gt;=MAX(10,Rules!$B$22)),"Pass","Exclude")</f>
        <v>Pass</v>
      </c>
      <c r="F42" s="93" t="s">
        <v>1327</v>
      </c>
      <c r="G42" s="93" t="s">
        <v>331</v>
      </c>
      <c r="H42" s="93" t="s">
        <v>1328</v>
      </c>
    </row>
    <row r="43">
      <c r="A43" s="93" t="s">
        <v>328</v>
      </c>
      <c r="B43" s="93" t="s">
        <v>1343</v>
      </c>
      <c r="C43" s="113">
        <v>50.70546</v>
      </c>
      <c r="D43" s="104">
        <v>46297.0</v>
      </c>
      <c r="E43" s="93" t="str">
        <f>IF(AND(ISNUMBER(C43),C43&gt;=MAX(10,Rules!$B$22)),"Pass","Exclude")</f>
        <v>Pass</v>
      </c>
      <c r="F43" s="93" t="s">
        <v>1327</v>
      </c>
      <c r="G43" s="93" t="s">
        <v>331</v>
      </c>
      <c r="H43" s="93" t="s">
        <v>1328</v>
      </c>
    </row>
    <row r="44">
      <c r="A44" s="93" t="s">
        <v>334</v>
      </c>
      <c r="B44" s="93" t="s">
        <v>1345</v>
      </c>
      <c r="C44" s="113">
        <v>23.374845</v>
      </c>
      <c r="D44" s="104">
        <v>46297.0</v>
      </c>
      <c r="E44" s="93" t="str">
        <f>IF(AND(ISNUMBER(C44),C44&gt;=MAX(10,Rules!$B$22)),"Pass","Exclude")</f>
        <v>Pass</v>
      </c>
      <c r="F44" s="93" t="s">
        <v>1327</v>
      </c>
      <c r="G44" s="93" t="s">
        <v>337</v>
      </c>
      <c r="H44" s="93" t="s">
        <v>1328</v>
      </c>
    </row>
    <row r="45">
      <c r="A45" s="93" t="s">
        <v>334</v>
      </c>
      <c r="B45" s="93" t="s">
        <v>1346</v>
      </c>
      <c r="C45" s="113">
        <v>12.64741933</v>
      </c>
      <c r="D45" s="104">
        <v>46297.0</v>
      </c>
      <c r="E45" s="93" t="str">
        <f>IF(AND(ISNUMBER(C45),C45&gt;=MAX(10,Rules!$B$22)),"Pass","Exclude")</f>
        <v>Pass</v>
      </c>
      <c r="F45" s="93" t="s">
        <v>1327</v>
      </c>
      <c r="G45" s="93" t="s">
        <v>337</v>
      </c>
      <c r="H45" s="93" t="s">
        <v>1328</v>
      </c>
    </row>
    <row r="46">
      <c r="A46" s="93" t="s">
        <v>340</v>
      </c>
      <c r="B46" s="93" t="s">
        <v>1347</v>
      </c>
      <c r="C46" s="113">
        <v>88.90727</v>
      </c>
      <c r="D46" s="104">
        <v>46297.0</v>
      </c>
      <c r="E46" s="93" t="str">
        <f>IF(AND(ISNUMBER(C46),C46&gt;=MAX(10,Rules!$B$22)),"Pass","Exclude")</f>
        <v>Pass</v>
      </c>
      <c r="F46" s="93" t="s">
        <v>1327</v>
      </c>
      <c r="G46" s="93" t="s">
        <v>342</v>
      </c>
      <c r="H46" s="93" t="s">
        <v>1328</v>
      </c>
    </row>
    <row r="47">
      <c r="A47" s="93" t="s">
        <v>340</v>
      </c>
      <c r="B47" s="93" t="s">
        <v>1348</v>
      </c>
      <c r="C47" s="113">
        <v>44.7678</v>
      </c>
      <c r="D47" s="104">
        <v>46297.0</v>
      </c>
      <c r="E47" s="93" t="str">
        <f>IF(AND(ISNUMBER(C47),C47&gt;=MAX(10,Rules!$B$22)),"Pass","Exclude")</f>
        <v>Pass</v>
      </c>
      <c r="F47" s="93" t="s">
        <v>1327</v>
      </c>
      <c r="G47" s="93" t="s">
        <v>342</v>
      </c>
      <c r="H47" s="93" t="s">
        <v>1328</v>
      </c>
    </row>
    <row r="48">
      <c r="A48" s="93" t="s">
        <v>345</v>
      </c>
      <c r="B48" s="93" t="s">
        <v>1349</v>
      </c>
      <c r="C48" s="113">
        <v>392.06325</v>
      </c>
      <c r="D48" s="104">
        <v>46297.0</v>
      </c>
      <c r="E48" s="93" t="str">
        <f>IF(AND(ISNUMBER(C48),C48&gt;=MAX(10,Rules!$B$22)),"Pass","Exclude")</f>
        <v>Pass</v>
      </c>
      <c r="F48" s="93" t="s">
        <v>1327</v>
      </c>
      <c r="G48" s="93" t="s">
        <v>348</v>
      </c>
      <c r="H48" s="93" t="s">
        <v>1328</v>
      </c>
    </row>
    <row r="49">
      <c r="A49" s="93" t="s">
        <v>345</v>
      </c>
      <c r="B49" s="93" t="s">
        <v>1198</v>
      </c>
      <c r="C49" s="113">
        <v>223.0246</v>
      </c>
      <c r="D49" s="104">
        <v>46297.0</v>
      </c>
      <c r="E49" s="93" t="str">
        <f>IF(AND(ISNUMBER(C49),C49&gt;=MAX(10,Rules!$B$22)),"Pass","Exclude")</f>
        <v>Pass</v>
      </c>
      <c r="F49" s="93" t="s">
        <v>1327</v>
      </c>
      <c r="G49" s="93" t="s">
        <v>348</v>
      </c>
      <c r="H49" s="93" t="s">
        <v>1328</v>
      </c>
    </row>
    <row r="50">
      <c r="A50" s="93"/>
      <c r="B50" s="93"/>
      <c r="C50" s="93"/>
      <c r="D50" s="93"/>
      <c r="E50" s="93"/>
      <c r="F50" s="93"/>
      <c r="G50" s="93"/>
      <c r="H50" s="93"/>
    </row>
    <row r="51">
      <c r="A51" s="93"/>
      <c r="B51" s="93"/>
      <c r="C51" s="93"/>
      <c r="D51" s="93"/>
      <c r="E51" s="93"/>
      <c r="F51" s="93"/>
      <c r="G51" s="93"/>
      <c r="H51" s="93"/>
    </row>
    <row r="52">
      <c r="A52" s="93"/>
      <c r="B52" s="93"/>
      <c r="C52" s="93"/>
      <c r="D52" s="93"/>
      <c r="E52" s="93"/>
      <c r="F52" s="93"/>
      <c r="G52" s="93"/>
      <c r="H52" s="93"/>
    </row>
    <row r="53">
      <c r="A53" s="93"/>
      <c r="B53" s="93"/>
      <c r="C53" s="93"/>
      <c r="D53" s="93"/>
      <c r="E53" s="93"/>
      <c r="F53" s="93"/>
      <c r="G53" s="93"/>
      <c r="H53" s="93"/>
    </row>
    <row r="54">
      <c r="A54" s="140" t="s">
        <v>1350</v>
      </c>
      <c r="B54" s="140" t="s">
        <v>1351</v>
      </c>
      <c r="C54" s="140" t="s">
        <v>1352</v>
      </c>
      <c r="D54" s="140" t="s">
        <v>1353</v>
      </c>
      <c r="E54" s="93"/>
      <c r="F54" s="93"/>
      <c r="G54" s="93"/>
      <c r="H54" s="93"/>
    </row>
    <row r="55">
      <c r="A55" s="93" t="s">
        <v>292</v>
      </c>
      <c r="B55" s="93" t="s">
        <v>1354</v>
      </c>
      <c r="C55" s="93" t="s">
        <v>1355</v>
      </c>
      <c r="D55" s="93" t="s">
        <v>1089</v>
      </c>
      <c r="E55" s="93"/>
      <c r="F55" s="93"/>
      <c r="G55" s="93"/>
      <c r="H55" s="93"/>
    </row>
    <row r="56">
      <c r="A56" s="93" t="s">
        <v>299</v>
      </c>
      <c r="B56" s="93" t="s">
        <v>1356</v>
      </c>
      <c r="C56" s="93" t="s">
        <v>1357</v>
      </c>
      <c r="D56" s="93" t="s">
        <v>1089</v>
      </c>
      <c r="E56" s="93"/>
      <c r="F56" s="93"/>
      <c r="G56" s="93"/>
      <c r="H56" s="93"/>
    </row>
    <row r="57">
      <c r="A57" s="93" t="s">
        <v>305</v>
      </c>
      <c r="B57" s="93" t="s">
        <v>1358</v>
      </c>
      <c r="C57" s="93" t="s">
        <v>1359</v>
      </c>
      <c r="D57" s="93" t="s">
        <v>1089</v>
      </c>
      <c r="E57" s="93"/>
      <c r="F57" s="93"/>
      <c r="G57" s="93"/>
      <c r="H57" s="93"/>
    </row>
    <row r="58">
      <c r="A58" s="93" t="s">
        <v>311</v>
      </c>
      <c r="B58" s="93" t="s">
        <v>1360</v>
      </c>
      <c r="C58" s="93" t="s">
        <v>1361</v>
      </c>
      <c r="D58" s="93" t="s">
        <v>1089</v>
      </c>
      <c r="E58" s="93"/>
      <c r="F58" s="93"/>
      <c r="G58" s="93"/>
      <c r="H58" s="93"/>
    </row>
    <row r="59">
      <c r="A59" s="93" t="s">
        <v>317</v>
      </c>
      <c r="B59" s="93" t="s">
        <v>1362</v>
      </c>
      <c r="C59" s="93" t="s">
        <v>1363</v>
      </c>
      <c r="D59" s="93" t="s">
        <v>1089</v>
      </c>
      <c r="E59" s="93"/>
      <c r="F59" s="93"/>
      <c r="G59" s="93"/>
      <c r="H59" s="93"/>
    </row>
    <row r="60">
      <c r="A60" s="93" t="s">
        <v>322</v>
      </c>
      <c r="B60" s="93" t="s">
        <v>1364</v>
      </c>
      <c r="C60" s="93" t="s">
        <v>1013</v>
      </c>
      <c r="D60" s="93" t="s">
        <v>1089</v>
      </c>
      <c r="E60" s="93"/>
      <c r="F60" s="93"/>
      <c r="G60" s="93"/>
      <c r="H60" s="93"/>
    </row>
    <row r="61">
      <c r="A61" s="93" t="s">
        <v>334</v>
      </c>
      <c r="B61" s="93" t="s">
        <v>1365</v>
      </c>
      <c r="C61" s="93" t="s">
        <v>1366</v>
      </c>
      <c r="D61" s="93" t="s">
        <v>1089</v>
      </c>
      <c r="E61" s="93"/>
      <c r="F61" s="93"/>
      <c r="G61" s="93"/>
      <c r="H61" s="93"/>
    </row>
    <row r="62">
      <c r="A62" s="93" t="s">
        <v>345</v>
      </c>
      <c r="B62" s="93" t="s">
        <v>1367</v>
      </c>
      <c r="C62" s="93" t="s">
        <v>1368</v>
      </c>
      <c r="D62" s="93" t="s">
        <v>1089</v>
      </c>
      <c r="E62" s="93"/>
      <c r="F62" s="93"/>
      <c r="G62" s="93"/>
      <c r="H62" s="93"/>
    </row>
    <row r="63">
      <c r="A63" s="93" t="s">
        <v>1369</v>
      </c>
      <c r="B63" s="93" t="s">
        <v>1370</v>
      </c>
      <c r="C63" s="93"/>
      <c r="D63" s="93" t="s">
        <v>1089</v>
      </c>
      <c r="E63" s="93"/>
      <c r="F63" s="93"/>
      <c r="G63" s="93"/>
      <c r="H63" s="93"/>
    </row>
    <row r="64">
      <c r="A64" s="93"/>
      <c r="B64" s="93"/>
      <c r="C64" s="93"/>
      <c r="D64" s="93"/>
      <c r="E64" s="93"/>
      <c r="F64" s="93"/>
      <c r="G64" s="93"/>
      <c r="H64" s="93"/>
    </row>
    <row r="80" ht="48.75" customHeight="1">
      <c r="A80" s="131" t="s">
        <v>277</v>
      </c>
      <c r="B80" s="131" t="s">
        <v>1371</v>
      </c>
      <c r="C80" s="131" t="s">
        <v>1372</v>
      </c>
      <c r="D80" s="131" t="s">
        <v>1373</v>
      </c>
      <c r="E80" s="131" t="s">
        <v>1352</v>
      </c>
      <c r="F80" s="131" t="s">
        <v>1374</v>
      </c>
      <c r="G80" s="131" t="s">
        <v>1375</v>
      </c>
      <c r="H80" s="131" t="s">
        <v>1376</v>
      </c>
    </row>
    <row r="81" ht="138.75" customHeight="1">
      <c r="A81" s="138" t="s">
        <v>1264</v>
      </c>
      <c r="B81" s="141" t="s">
        <v>1377</v>
      </c>
      <c r="C81" s="138" t="s">
        <v>1378</v>
      </c>
      <c r="D81" s="142">
        <v>46237.0</v>
      </c>
      <c r="E81" s="138" t="s">
        <v>1379</v>
      </c>
      <c r="F81" s="138" t="s">
        <v>1380</v>
      </c>
      <c r="G81" s="141" t="s">
        <v>1381</v>
      </c>
      <c r="H81" s="143">
        <f t="array" ref="H81">IFERROR(INDEX('Pilot inputs'!$AA$15:$AA$44,MATCH(A81,'Pilot inputs'!$B$15:$B$44,0)),0)</f>
        <v>1</v>
      </c>
    </row>
    <row r="82" ht="138.75" customHeight="1">
      <c r="A82" s="138" t="s">
        <v>1276</v>
      </c>
      <c r="B82" s="141" t="s">
        <v>1377</v>
      </c>
      <c r="C82" s="138" t="s">
        <v>1383</v>
      </c>
      <c r="D82" s="142">
        <v>46225.0</v>
      </c>
      <c r="E82" s="138" t="s">
        <v>1384</v>
      </c>
      <c r="F82" s="138" t="s">
        <v>1385</v>
      </c>
      <c r="G82" s="141" t="s">
        <v>1381</v>
      </c>
      <c r="H82" s="143">
        <f t="array" ref="H82">IFERROR(INDEX('Pilot inputs'!$AA$15:$AA$44,MATCH(A82,'Pilot inputs'!$B$15:$B$44,0)),0)</f>
        <v>1</v>
      </c>
    </row>
    <row r="83" ht="138.75" customHeight="1">
      <c r="A83" s="138" t="s">
        <v>1284</v>
      </c>
      <c r="B83" s="141" t="s">
        <v>1377</v>
      </c>
      <c r="C83" s="138" t="s">
        <v>1388</v>
      </c>
      <c r="D83" s="142">
        <v>46237.0</v>
      </c>
      <c r="E83" s="138" t="s">
        <v>1389</v>
      </c>
      <c r="F83" s="138" t="s">
        <v>1390</v>
      </c>
      <c r="G83" s="141" t="s">
        <v>1381</v>
      </c>
      <c r="H83" s="143">
        <f t="array" ref="H83">IFERROR(INDEX('Pilot inputs'!$AA$15:$AA$44,MATCH(A83,'Pilot inputs'!$B$15:$B$44,0)),0)</f>
        <v>1</v>
      </c>
    </row>
    <row r="84" ht="138.75" customHeight="1">
      <c r="A84" s="138" t="s">
        <v>1391</v>
      </c>
      <c r="B84" s="141" t="s">
        <v>1377</v>
      </c>
      <c r="C84" s="138" t="s">
        <v>1392</v>
      </c>
      <c r="D84" s="142">
        <v>46275.0</v>
      </c>
      <c r="E84" s="138" t="s">
        <v>1395</v>
      </c>
      <c r="F84" s="138" t="s">
        <v>1397</v>
      </c>
      <c r="G84" s="141" t="s">
        <v>1381</v>
      </c>
      <c r="H84" s="143">
        <f t="array" ref="H84">IFERROR(INDEX('Pilot inputs'!$AA$15:$AA$44,MATCH(A84,'Pilot inputs'!$B$15:$B$44,0)),0)</f>
        <v>1</v>
      </c>
    </row>
    <row r="85" ht="138.75" customHeight="1">
      <c r="A85" s="138" t="s">
        <v>1398</v>
      </c>
      <c r="B85" s="141" t="s">
        <v>1377</v>
      </c>
      <c r="C85" s="138" t="s">
        <v>1399</v>
      </c>
      <c r="D85" s="142">
        <v>46260.0</v>
      </c>
      <c r="E85" s="138" t="s">
        <v>1400</v>
      </c>
      <c r="F85" s="138" t="s">
        <v>1401</v>
      </c>
      <c r="G85" s="141" t="s">
        <v>1381</v>
      </c>
      <c r="H85" s="143">
        <f t="array" ref="H85">IFERROR(INDEX('Pilot inputs'!$AA$15:$AA$44,MATCH(A85,'Pilot inputs'!$B$15:$B$44,0)),0)</f>
        <v>1</v>
      </c>
    </row>
    <row r="86" ht="138.75" customHeight="1">
      <c r="A86" s="138" t="s">
        <v>1402</v>
      </c>
      <c r="B86" s="141" t="s">
        <v>1377</v>
      </c>
      <c r="C86" s="138" t="s">
        <v>1403</v>
      </c>
      <c r="D86" s="142">
        <v>46261.0</v>
      </c>
      <c r="E86" s="138" t="s">
        <v>1404</v>
      </c>
      <c r="F86" s="138" t="s">
        <v>1405</v>
      </c>
      <c r="G86" s="141" t="s">
        <v>1381</v>
      </c>
      <c r="H86" s="143">
        <f t="array" ref="H86">IFERROR(INDEX('Pilot inputs'!$AA$15:$AA$44,MATCH(A86,'Pilot inputs'!$B$15:$B$44,0)),0)</f>
        <v>1</v>
      </c>
    </row>
    <row r="87" ht="138.75" customHeight="1">
      <c r="A87" s="138" t="s">
        <v>1406</v>
      </c>
      <c r="B87" s="141" t="s">
        <v>1377</v>
      </c>
      <c r="C87" s="138" t="s">
        <v>1407</v>
      </c>
      <c r="D87" s="142">
        <v>46231.0</v>
      </c>
      <c r="E87" s="138" t="s">
        <v>1408</v>
      </c>
      <c r="F87" s="138" t="s">
        <v>1409</v>
      </c>
      <c r="G87" s="141" t="s">
        <v>1381</v>
      </c>
      <c r="H87" s="143">
        <f t="array" ref="H87">IFERROR(INDEX('Pilot inputs'!$AA$15:$AA$44,MATCH(A87,'Pilot inputs'!$B$15:$B$44,0)),0)</f>
        <v>1</v>
      </c>
    </row>
    <row r="88" ht="138.75" customHeight="1">
      <c r="A88" s="138" t="s">
        <v>299</v>
      </c>
      <c r="B88" s="141" t="s">
        <v>1377</v>
      </c>
      <c r="C88" s="138" t="s">
        <v>1410</v>
      </c>
      <c r="D88" s="142">
        <v>46218.0</v>
      </c>
      <c r="E88" s="138" t="s">
        <v>1001</v>
      </c>
      <c r="F88" s="138" t="s">
        <v>1411</v>
      </c>
      <c r="G88" s="141" t="s">
        <v>1381</v>
      </c>
      <c r="H88" s="143">
        <f t="array" ref="H88">IFERROR(INDEX('Pilot inputs'!$AA$15:$AA$44,MATCH(A88,'Pilot inputs'!$B$15:$B$44,0)),0)</f>
        <v>1</v>
      </c>
    </row>
    <row r="89" ht="138.75" customHeight="1">
      <c r="A89" s="138" t="s">
        <v>1298</v>
      </c>
      <c r="B89" s="141" t="s">
        <v>1377</v>
      </c>
      <c r="C89" s="138" t="s">
        <v>1412</v>
      </c>
      <c r="D89" s="142">
        <v>46238.0</v>
      </c>
      <c r="E89" s="138" t="s">
        <v>1413</v>
      </c>
      <c r="F89" s="138" t="s">
        <v>1414</v>
      </c>
      <c r="G89" s="141" t="s">
        <v>1381</v>
      </c>
      <c r="H89" s="143">
        <f t="array" ref="H89">IFERROR(INDEX('Pilot inputs'!$AA$15:$AA$44,MATCH(A89,'Pilot inputs'!$B$15:$B$44,0)),0)</f>
        <v>1</v>
      </c>
    </row>
    <row r="90" ht="138.75" customHeight="1">
      <c r="A90" s="138" t="s">
        <v>1306</v>
      </c>
      <c r="B90" s="141" t="s">
        <v>1377</v>
      </c>
      <c r="C90" s="138" t="s">
        <v>1415</v>
      </c>
      <c r="D90" s="142">
        <v>46238.0</v>
      </c>
      <c r="E90" s="138" t="s">
        <v>1417</v>
      </c>
      <c r="F90" s="138" t="s">
        <v>1418</v>
      </c>
      <c r="G90" s="141" t="s">
        <v>1381</v>
      </c>
      <c r="H90" s="143">
        <f t="array" ref="H90">IFERROR(INDEX('Pilot inputs'!$AA$15:$AA$44,MATCH(A90,'Pilot inputs'!$B$15:$B$44,0)),0)</f>
        <v>1</v>
      </c>
    </row>
    <row r="91" ht="138.75" customHeight="1">
      <c r="A91" s="138" t="s">
        <v>305</v>
      </c>
      <c r="B91" s="141" t="s">
        <v>1377</v>
      </c>
      <c r="C91" s="138" t="s">
        <v>1419</v>
      </c>
      <c r="D91" s="142">
        <v>46232.0</v>
      </c>
      <c r="E91" s="138" t="s">
        <v>1004</v>
      </c>
      <c r="F91" s="138" t="s">
        <v>1420</v>
      </c>
      <c r="G91" s="141" t="s">
        <v>1381</v>
      </c>
      <c r="H91" s="143">
        <f t="array" ref="H91">IFERROR(INDEX('Pilot inputs'!$AA$15:$AA$44,MATCH(A91,'Pilot inputs'!$B$15:$B$44,0)),0)</f>
        <v>1</v>
      </c>
    </row>
    <row r="92" ht="138.75" customHeight="1">
      <c r="A92" s="138" t="s">
        <v>1387</v>
      </c>
      <c r="B92" s="141" t="s">
        <v>1377</v>
      </c>
      <c r="C92" s="138" t="s">
        <v>1422</v>
      </c>
      <c r="D92" s="142">
        <v>46234.0</v>
      </c>
      <c r="E92" s="138" t="s">
        <v>1424</v>
      </c>
      <c r="F92" s="138" t="s">
        <v>1425</v>
      </c>
      <c r="G92" s="141" t="s">
        <v>1381</v>
      </c>
      <c r="H92" s="143">
        <f t="array" ref="H92">IFERROR(INDEX('Pilot inputs'!$AA$15:$AA$44,MATCH(A92,'Pilot inputs'!$B$15:$B$44,0)),0)</f>
        <v>1</v>
      </c>
    </row>
    <row r="93" ht="138.75" customHeight="1">
      <c r="A93" s="138" t="s">
        <v>311</v>
      </c>
      <c r="B93" s="141" t="s">
        <v>1377</v>
      </c>
      <c r="C93" s="138" t="s">
        <v>1426</v>
      </c>
      <c r="D93" s="142">
        <v>46252.0</v>
      </c>
      <c r="E93" s="138" t="s">
        <v>1007</v>
      </c>
      <c r="F93" s="138" t="s">
        <v>1429</v>
      </c>
      <c r="G93" s="141" t="s">
        <v>1381</v>
      </c>
      <c r="H93" s="143">
        <f t="array" ref="H93">IFERROR(INDEX('Pilot inputs'!$AA$15:$AA$44,MATCH(A93,'Pilot inputs'!$B$15:$B$44,0)),0)</f>
        <v>1</v>
      </c>
    </row>
    <row r="94" ht="138.75" customHeight="1">
      <c r="A94" s="138" t="s">
        <v>1333</v>
      </c>
      <c r="B94" s="141" t="s">
        <v>1377</v>
      </c>
      <c r="C94" s="138" t="s">
        <v>1431</v>
      </c>
      <c r="D94" s="142">
        <v>46253.0</v>
      </c>
      <c r="E94" s="138" t="s">
        <v>1432</v>
      </c>
      <c r="F94" s="138" t="s">
        <v>1433</v>
      </c>
      <c r="G94" s="141" t="s">
        <v>1381</v>
      </c>
      <c r="H94" s="143">
        <f t="array" ref="H94">IFERROR(INDEX('Pilot inputs'!$AA$15:$AA$44,MATCH(A94,'Pilot inputs'!$B$15:$B$44,0)),0)</f>
        <v>1</v>
      </c>
    </row>
    <row r="95" ht="138.75" customHeight="1">
      <c r="A95" s="138" t="s">
        <v>1334</v>
      </c>
      <c r="B95" s="141" t="s">
        <v>1377</v>
      </c>
      <c r="C95" s="138" t="s">
        <v>1434</v>
      </c>
      <c r="D95" s="142">
        <v>46226.0</v>
      </c>
      <c r="E95" s="138" t="s">
        <v>1435</v>
      </c>
      <c r="F95" s="138" t="s">
        <v>1436</v>
      </c>
      <c r="G95" s="141" t="s">
        <v>1381</v>
      </c>
      <c r="H95" s="143">
        <f t="array" ref="H95">IFERROR(INDEX('Pilot inputs'!$AA$15:$AA$44,MATCH(A95,'Pilot inputs'!$B$15:$B$44,0)),0)</f>
        <v>1</v>
      </c>
    </row>
    <row r="96" ht="138.75" customHeight="1">
      <c r="A96" s="138" t="s">
        <v>1437</v>
      </c>
      <c r="B96" s="141" t="s">
        <v>1377</v>
      </c>
      <c r="C96" s="138" t="s">
        <v>1438</v>
      </c>
      <c r="D96" s="142">
        <v>46231.0</v>
      </c>
      <c r="E96" s="138" t="s">
        <v>1439</v>
      </c>
      <c r="F96" s="138" t="s">
        <v>1440</v>
      </c>
      <c r="G96" s="141" t="s">
        <v>1381</v>
      </c>
      <c r="H96" s="143">
        <f t="array" ref="H96">IFERROR(INDEX('Pilot inputs'!$AA$15:$AA$44,MATCH(A96,'Pilot inputs'!$B$15:$B$44,0)),0)</f>
        <v>1</v>
      </c>
    </row>
    <row r="97" ht="138.75" customHeight="1">
      <c r="A97" s="138" t="s">
        <v>1441</v>
      </c>
      <c r="B97" s="141" t="s">
        <v>1377</v>
      </c>
      <c r="C97" s="138" t="s">
        <v>1442</v>
      </c>
      <c r="D97" s="142">
        <v>46226.0</v>
      </c>
      <c r="E97" s="138" t="s">
        <v>1443</v>
      </c>
      <c r="F97" s="138" t="s">
        <v>1444</v>
      </c>
      <c r="G97" s="141" t="s">
        <v>1381</v>
      </c>
      <c r="H97" s="143">
        <f t="array" ref="H97">IFERROR(INDEX('Pilot inputs'!$AA$15:$AA$44,MATCH(A97,'Pilot inputs'!$B$15:$B$44,0)),0)</f>
        <v>1</v>
      </c>
    </row>
    <row r="98" ht="138.75" customHeight="1">
      <c r="A98" s="138" t="s">
        <v>1445</v>
      </c>
      <c r="B98" s="141" t="s">
        <v>1377</v>
      </c>
      <c r="C98" s="138" t="s">
        <v>1446</v>
      </c>
      <c r="D98" s="142">
        <v>46233.0</v>
      </c>
      <c r="E98" s="138" t="s">
        <v>1447</v>
      </c>
      <c r="F98" s="138" t="s">
        <v>1448</v>
      </c>
      <c r="G98" s="141" t="s">
        <v>1381</v>
      </c>
      <c r="H98" s="143">
        <f t="array" ref="H98">IFERROR(INDEX('Pilot inputs'!$AA$15:$AA$44,MATCH(A98,'Pilot inputs'!$B$15:$B$44,0)),0)</f>
        <v>1</v>
      </c>
    </row>
    <row r="99" ht="138.75" customHeight="1">
      <c r="A99" s="138" t="s">
        <v>334</v>
      </c>
      <c r="B99" s="141" t="s">
        <v>1377</v>
      </c>
      <c r="C99" s="138" t="s">
        <v>1450</v>
      </c>
      <c r="D99" s="142">
        <v>46231.0</v>
      </c>
      <c r="E99" s="138" t="s">
        <v>1019</v>
      </c>
      <c r="F99" s="138" t="s">
        <v>1451</v>
      </c>
      <c r="G99" s="141" t="s">
        <v>1381</v>
      </c>
      <c r="H99" s="143">
        <f t="array" ref="H99">IFERROR(INDEX('Pilot inputs'!$AA$15:$AA$44,MATCH(A99,'Pilot inputs'!$B$15:$B$44,0)),0)</f>
        <v>1</v>
      </c>
    </row>
    <row r="100" ht="138.75" customHeight="1">
      <c r="A100" s="138" t="s">
        <v>1345</v>
      </c>
      <c r="B100" s="141" t="s">
        <v>1377</v>
      </c>
      <c r="C100" s="138" t="s">
        <v>1452</v>
      </c>
      <c r="D100" s="142">
        <v>46231.0</v>
      </c>
      <c r="E100" s="138" t="s">
        <v>1453</v>
      </c>
      <c r="F100" s="138" t="s">
        <v>1454</v>
      </c>
      <c r="G100" s="141" t="s">
        <v>1381</v>
      </c>
      <c r="H100" s="143">
        <f t="array" ref="H100">IFERROR(INDEX('Pilot inputs'!$AA$15:$AA$44,MATCH(A100,'Pilot inputs'!$B$15:$B$44,0)),0)</f>
        <v>1</v>
      </c>
    </row>
    <row r="101" ht="138.75" customHeight="1">
      <c r="A101" s="138" t="s">
        <v>1456</v>
      </c>
      <c r="B101" s="141" t="s">
        <v>1377</v>
      </c>
      <c r="C101" s="138" t="s">
        <v>1458</v>
      </c>
      <c r="D101" s="142">
        <v>46231.0</v>
      </c>
      <c r="E101" s="138" t="s">
        <v>1459</v>
      </c>
      <c r="F101" s="138" t="s">
        <v>1460</v>
      </c>
      <c r="G101" s="141" t="s">
        <v>1381</v>
      </c>
      <c r="H101" s="143">
        <f t="array" ref="H101">IFERROR(INDEX('Pilot inputs'!$AA$15:$AA$44,MATCH(A101,'Pilot inputs'!$B$15:$B$44,0)),0)</f>
        <v>1</v>
      </c>
    </row>
    <row r="102" ht="138.75" customHeight="1">
      <c r="A102" s="138" t="s">
        <v>322</v>
      </c>
      <c r="B102" s="141" t="s">
        <v>1377</v>
      </c>
      <c r="C102" s="138" t="s">
        <v>1464</v>
      </c>
      <c r="D102" s="142">
        <v>46227.0</v>
      </c>
      <c r="E102" s="138" t="s">
        <v>1465</v>
      </c>
      <c r="F102" s="138" t="s">
        <v>1466</v>
      </c>
      <c r="G102" s="141" t="s">
        <v>1381</v>
      </c>
      <c r="H102" s="143">
        <f t="array" ref="H102">IFERROR(INDEX('Pilot inputs'!$AA$15:$AA$44,MATCH(A102,'Pilot inputs'!$B$15:$B$44,0)),0)</f>
        <v>1</v>
      </c>
    </row>
    <row r="103" ht="138.75" customHeight="1">
      <c r="A103" s="138" t="s">
        <v>1338</v>
      </c>
      <c r="B103" s="141" t="s">
        <v>1377</v>
      </c>
      <c r="C103" s="138" t="s">
        <v>1467</v>
      </c>
      <c r="D103" s="142">
        <v>46225.0</v>
      </c>
      <c r="E103" s="138" t="s">
        <v>1468</v>
      </c>
      <c r="F103" s="138" t="s">
        <v>1469</v>
      </c>
      <c r="G103" s="141" t="s">
        <v>1381</v>
      </c>
      <c r="H103" s="143">
        <f t="array" ref="H103">IFERROR(INDEX('Pilot inputs'!$AA$15:$AA$44,MATCH(A103,'Pilot inputs'!$B$15:$B$44,0)),0)</f>
        <v>1</v>
      </c>
    </row>
    <row r="104" ht="138.75" customHeight="1">
      <c r="A104" s="138" t="s">
        <v>1339</v>
      </c>
      <c r="B104" s="141" t="s">
        <v>1377</v>
      </c>
      <c r="C104" s="138" t="s">
        <v>1470</v>
      </c>
      <c r="D104" s="142">
        <v>46226.0</v>
      </c>
      <c r="E104" s="138" t="s">
        <v>1471</v>
      </c>
      <c r="F104" s="138" t="s">
        <v>1472</v>
      </c>
      <c r="G104" s="141" t="s">
        <v>1381</v>
      </c>
      <c r="H104" s="143">
        <f t="array" ref="H104">IFERROR(INDEX('Pilot inputs'!$AA$15:$AA$44,MATCH(A104,'Pilot inputs'!$B$15:$B$44,0)),0)</f>
        <v>1</v>
      </c>
    </row>
    <row r="105" ht="138.75" customHeight="1">
      <c r="A105" s="138" t="s">
        <v>340</v>
      </c>
      <c r="B105" s="141" t="s">
        <v>1377</v>
      </c>
      <c r="C105" s="138" t="s">
        <v>1473</v>
      </c>
      <c r="D105" s="142">
        <v>46233.0</v>
      </c>
      <c r="E105" s="138" t="s">
        <v>1474</v>
      </c>
      <c r="F105" s="138" t="s">
        <v>1475</v>
      </c>
      <c r="G105" s="141" t="s">
        <v>1381</v>
      </c>
      <c r="H105" s="143">
        <f t="array" ref="H105">IFERROR(INDEX('Pilot inputs'!$AA$15:$AA$44,MATCH(A105,'Pilot inputs'!$B$15:$B$44,0)),0)</f>
        <v>1</v>
      </c>
    </row>
    <row r="106" ht="138.75" customHeight="1">
      <c r="A106" s="138" t="s">
        <v>1347</v>
      </c>
      <c r="B106" s="141" t="s">
        <v>1377</v>
      </c>
      <c r="C106" s="138" t="s">
        <v>1476</v>
      </c>
      <c r="D106" s="142">
        <v>46238.0</v>
      </c>
      <c r="E106" s="138" t="s">
        <v>1477</v>
      </c>
      <c r="F106" s="138" t="s">
        <v>1478</v>
      </c>
      <c r="G106" s="141" t="s">
        <v>1381</v>
      </c>
      <c r="H106" s="143">
        <f t="array" ref="H106">IFERROR(INDEX('Pilot inputs'!$AA$15:$AA$44,MATCH(A106,'Pilot inputs'!$B$15:$B$44,0)),0)</f>
        <v>1</v>
      </c>
    </row>
    <row r="107" ht="138.75" customHeight="1">
      <c r="A107" s="138" t="s">
        <v>1348</v>
      </c>
      <c r="B107" s="141" t="s">
        <v>1377</v>
      </c>
      <c r="C107" s="138" t="s">
        <v>1479</v>
      </c>
      <c r="D107" s="142">
        <v>46233.0</v>
      </c>
      <c r="E107" s="138" t="s">
        <v>1480</v>
      </c>
      <c r="F107" s="138" t="s">
        <v>1481</v>
      </c>
      <c r="G107" s="141" t="s">
        <v>1381</v>
      </c>
      <c r="H107" s="143">
        <f t="array" ref="H107">IFERROR(INDEX('Pilot inputs'!$AA$15:$AA$44,MATCH(A107,'Pilot inputs'!$B$15:$B$44,0)),0)</f>
        <v>1</v>
      </c>
    </row>
    <row r="108" ht="138.75" customHeight="1">
      <c r="A108" s="138" t="s">
        <v>1441</v>
      </c>
      <c r="B108" s="141" t="s">
        <v>1483</v>
      </c>
      <c r="C108" s="138" t="s">
        <v>1484</v>
      </c>
      <c r="D108" s="142">
        <v>45575.0</v>
      </c>
      <c r="E108" s="138" t="s">
        <v>1485</v>
      </c>
      <c r="F108" s="138" t="s">
        <v>1486</v>
      </c>
      <c r="G108" s="141" t="s">
        <v>1381</v>
      </c>
      <c r="H108" s="143">
        <f t="array" ref="H108">IFERROR(INDEX('Pilot inputs'!$AA$15:$AA$44,MATCH(A108,'Pilot inputs'!$B$15:$B$44,0)),0)</f>
        <v>1</v>
      </c>
    </row>
    <row r="109" ht="138.75" customHeight="1">
      <c r="A109" s="138" t="s">
        <v>1445</v>
      </c>
      <c r="B109" s="141" t="s">
        <v>1483</v>
      </c>
      <c r="C109" s="138" t="s">
        <v>1488</v>
      </c>
      <c r="D109" s="142"/>
      <c r="E109" s="138" t="s">
        <v>1489</v>
      </c>
      <c r="F109" s="138" t="s">
        <v>1490</v>
      </c>
      <c r="G109" s="141" t="s">
        <v>1381</v>
      </c>
      <c r="H109" s="143">
        <f t="array" ref="H109">IFERROR(INDEX('Pilot inputs'!$AA$15:$AA$44,MATCH(A109,'Pilot inputs'!$B$15:$B$44,0)),0)</f>
        <v>1</v>
      </c>
    </row>
    <row r="110" ht="138.75" customHeight="1">
      <c r="A110" s="138" t="s">
        <v>334</v>
      </c>
      <c r="B110" s="141" t="s">
        <v>1483</v>
      </c>
      <c r="C110" s="138" t="s">
        <v>1491</v>
      </c>
      <c r="D110" s="142"/>
      <c r="E110" s="138" t="s">
        <v>1492</v>
      </c>
      <c r="F110" s="138" t="s">
        <v>1493</v>
      </c>
      <c r="G110" s="141" t="s">
        <v>1381</v>
      </c>
      <c r="H110" s="143">
        <f t="array" ref="H110">IFERROR(INDEX('Pilot inputs'!$AA$15:$AA$44,MATCH(A110,'Pilot inputs'!$B$15:$B$44,0)),0)</f>
        <v>1</v>
      </c>
    </row>
    <row r="111" ht="138.75" customHeight="1">
      <c r="A111" s="138" t="s">
        <v>1345</v>
      </c>
      <c r="B111" s="141" t="s">
        <v>1483</v>
      </c>
      <c r="C111" s="138" t="s">
        <v>1497</v>
      </c>
      <c r="D111" s="142"/>
      <c r="E111" s="138" t="s">
        <v>1498</v>
      </c>
      <c r="F111" s="138" t="s">
        <v>1499</v>
      </c>
      <c r="G111" s="141" t="s">
        <v>1381</v>
      </c>
      <c r="H111" s="143">
        <f t="array" ref="H111">IFERROR(INDEX('Pilot inputs'!$AA$15:$AA$44,MATCH(A111,'Pilot inputs'!$B$15:$B$44,0)),0)</f>
        <v>1</v>
      </c>
    </row>
    <row r="112" ht="138.75" customHeight="1">
      <c r="A112" s="138" t="s">
        <v>1456</v>
      </c>
      <c r="B112" s="141" t="s">
        <v>1483</v>
      </c>
      <c r="C112" s="138" t="s">
        <v>1500</v>
      </c>
      <c r="D112" s="142"/>
      <c r="E112" s="138" t="s">
        <v>1501</v>
      </c>
      <c r="F112" s="138" t="s">
        <v>1502</v>
      </c>
      <c r="G112" s="141" t="s">
        <v>1381</v>
      </c>
      <c r="H112" s="143">
        <f t="array" ref="H112">IFERROR(INDEX('Pilot inputs'!$AA$15:$AA$44,MATCH(A112,'Pilot inputs'!$B$15:$B$44,0)),0)</f>
        <v>1</v>
      </c>
    </row>
    <row r="113" ht="138.75" customHeight="1">
      <c r="A113" s="138" t="s">
        <v>340</v>
      </c>
      <c r="B113" s="141" t="s">
        <v>1483</v>
      </c>
      <c r="C113" s="138" t="s">
        <v>1503</v>
      </c>
      <c r="D113" s="142">
        <v>44980.0</v>
      </c>
      <c r="E113" s="138" t="s">
        <v>1504</v>
      </c>
      <c r="F113" s="138" t="s">
        <v>1505</v>
      </c>
      <c r="G113" s="141" t="s">
        <v>1381</v>
      </c>
      <c r="H113" s="143">
        <f t="array" ref="H113">IFERROR(INDEX('Pilot inputs'!$AA$15:$AA$44,MATCH(A113,'Pilot inputs'!$B$15:$B$44,0)),0)</f>
        <v>1</v>
      </c>
    </row>
    <row r="114" ht="138.75" customHeight="1">
      <c r="A114" s="138" t="s">
        <v>1347</v>
      </c>
      <c r="B114" s="141" t="s">
        <v>1483</v>
      </c>
      <c r="C114" s="138" t="s">
        <v>1506</v>
      </c>
      <c r="D114" s="142">
        <v>44966.0</v>
      </c>
      <c r="E114" s="138" t="s">
        <v>1507</v>
      </c>
      <c r="F114" s="138" t="s">
        <v>1508</v>
      </c>
      <c r="G114" s="141" t="s">
        <v>1381</v>
      </c>
      <c r="H114" s="143">
        <f t="array" ref="H114">IFERROR(INDEX('Pilot inputs'!$AA$15:$AA$44,MATCH(A114,'Pilot inputs'!$B$15:$B$44,0)),0)</f>
        <v>1</v>
      </c>
    </row>
    <row r="115" ht="138.75" customHeight="1">
      <c r="A115" s="138" t="s">
        <v>1348</v>
      </c>
      <c r="B115" s="141" t="s">
        <v>1483</v>
      </c>
      <c r="C115" s="138" t="s">
        <v>1509</v>
      </c>
      <c r="D115" s="142">
        <v>44952.0</v>
      </c>
      <c r="E115" s="138" t="s">
        <v>1510</v>
      </c>
      <c r="F115" s="138" t="s">
        <v>1511</v>
      </c>
      <c r="G115" s="141" t="s">
        <v>1381</v>
      </c>
      <c r="H115" s="143">
        <f t="array" ref="H115">IFERROR(INDEX('Pilot inputs'!$AA$15:$AA$44,MATCH(A115,'Pilot inputs'!$B$15:$B$44,0)),0)</f>
        <v>1</v>
      </c>
    </row>
    <row r="116" ht="138.75" customHeight="1">
      <c r="A116" s="138" t="s">
        <v>1264</v>
      </c>
      <c r="B116" s="141" t="s">
        <v>195</v>
      </c>
      <c r="C116" s="138" t="s">
        <v>1513</v>
      </c>
      <c r="D116" s="142"/>
      <c r="E116" s="138" t="s">
        <v>1514</v>
      </c>
      <c r="F116" s="138" t="s">
        <v>1515</v>
      </c>
      <c r="G116" s="141" t="s">
        <v>1381</v>
      </c>
      <c r="H116" s="143">
        <f t="array" ref="H116">IFERROR(INDEX('Pilot inputs'!$AA$15:$AA$44,MATCH(A116,'Pilot inputs'!$B$15:$B$44,0)),0)</f>
        <v>1</v>
      </c>
    </row>
    <row r="117" ht="138.75" customHeight="1">
      <c r="A117" s="138" t="s">
        <v>299</v>
      </c>
      <c r="B117" s="141" t="s">
        <v>195</v>
      </c>
      <c r="C117" s="138" t="s">
        <v>1517</v>
      </c>
      <c r="D117" s="142"/>
      <c r="E117" s="138" t="s">
        <v>1518</v>
      </c>
      <c r="F117" s="138" t="s">
        <v>1520</v>
      </c>
      <c r="G117" s="141" t="s">
        <v>1381</v>
      </c>
      <c r="H117" s="143">
        <f t="array" ref="H117">IFERROR(INDEX('Pilot inputs'!$AA$15:$AA$44,MATCH(A117,'Pilot inputs'!$B$15:$B$44,0)),0)</f>
        <v>1</v>
      </c>
    </row>
    <row r="118" ht="138.75" customHeight="1">
      <c r="A118" s="138" t="s">
        <v>305</v>
      </c>
      <c r="B118" s="141" t="s">
        <v>195</v>
      </c>
      <c r="C118" s="138" t="s">
        <v>1521</v>
      </c>
      <c r="D118" s="142"/>
      <c r="E118" s="138" t="s">
        <v>1522</v>
      </c>
      <c r="F118" s="138" t="s">
        <v>1523</v>
      </c>
      <c r="G118" s="141" t="s">
        <v>1381</v>
      </c>
      <c r="H118" s="143">
        <f t="array" ref="H118">IFERROR(INDEX('Pilot inputs'!$AA$15:$AA$44,MATCH(A118,'Pilot inputs'!$B$15:$B$44,0)),0)</f>
        <v>1</v>
      </c>
    </row>
    <row r="119" ht="138.75" customHeight="1">
      <c r="A119" s="138" t="s">
        <v>311</v>
      </c>
      <c r="B119" s="141" t="s">
        <v>195</v>
      </c>
      <c r="C119" s="138" t="s">
        <v>1527</v>
      </c>
      <c r="D119" s="142"/>
      <c r="E119" s="138" t="s">
        <v>1361</v>
      </c>
      <c r="F119" s="138" t="s">
        <v>1528</v>
      </c>
      <c r="G119" s="141" t="s">
        <v>1381</v>
      </c>
      <c r="H119" s="143">
        <f t="array" ref="H119">IFERROR(INDEX('Pilot inputs'!$AA$15:$AA$44,MATCH(A119,'Pilot inputs'!$B$15:$B$44,0)),0)</f>
        <v>1</v>
      </c>
    </row>
    <row r="120" ht="138.75" customHeight="1">
      <c r="A120" s="138" t="s">
        <v>1391</v>
      </c>
      <c r="B120" s="141" t="s">
        <v>195</v>
      </c>
      <c r="C120" s="138" t="s">
        <v>1529</v>
      </c>
      <c r="D120" s="142"/>
      <c r="E120" s="138" t="s">
        <v>1530</v>
      </c>
      <c r="F120" s="138" t="s">
        <v>1531</v>
      </c>
      <c r="G120" s="141" t="s">
        <v>1381</v>
      </c>
      <c r="H120" s="143">
        <f t="array" ref="H120">IFERROR(INDEX('Pilot inputs'!$AA$15:$AA$44,MATCH(A120,'Pilot inputs'!$B$15:$B$44,0)),0)</f>
        <v>1</v>
      </c>
    </row>
    <row r="121" ht="138.75" customHeight="1">
      <c r="A121" s="138" t="s">
        <v>322</v>
      </c>
      <c r="B121" s="141" t="s">
        <v>195</v>
      </c>
      <c r="C121" s="138" t="s">
        <v>1532</v>
      </c>
      <c r="D121" s="142"/>
      <c r="E121" s="138" t="s">
        <v>1533</v>
      </c>
      <c r="F121" s="138" t="s">
        <v>1534</v>
      </c>
      <c r="G121" s="141" t="s">
        <v>1381</v>
      </c>
      <c r="H121" s="143">
        <f t="array" ref="H121">IFERROR(INDEX('Pilot inputs'!$AA$15:$AA$44,MATCH(A121,'Pilot inputs'!$B$15:$B$44,0)),0)</f>
        <v>1</v>
      </c>
    </row>
    <row r="122" ht="138.75" customHeight="1">
      <c r="A122" s="138" t="s">
        <v>1437</v>
      </c>
      <c r="B122" s="141" t="s">
        <v>195</v>
      </c>
      <c r="C122" s="138" t="s">
        <v>1535</v>
      </c>
      <c r="D122" s="142"/>
      <c r="E122" s="138" t="s">
        <v>1536</v>
      </c>
      <c r="F122" s="138" t="s">
        <v>1537</v>
      </c>
      <c r="G122" s="141" t="s">
        <v>1381</v>
      </c>
      <c r="H122" s="143">
        <f t="array" ref="H122">IFERROR(INDEX('Pilot inputs'!$AA$15:$AA$44,MATCH(A122,'Pilot inputs'!$B$15:$B$44,0)),0)</f>
        <v>1</v>
      </c>
    </row>
    <row r="123" ht="138.75" customHeight="1">
      <c r="A123" s="138" t="s">
        <v>334</v>
      </c>
      <c r="B123" s="141" t="s">
        <v>195</v>
      </c>
      <c r="C123" s="138" t="s">
        <v>1538</v>
      </c>
      <c r="D123" s="142"/>
      <c r="E123" s="138" t="s">
        <v>1366</v>
      </c>
      <c r="F123" s="138" t="s">
        <v>1539</v>
      </c>
      <c r="G123" s="141" t="s">
        <v>1381</v>
      </c>
      <c r="H123" s="143">
        <f t="array" ref="H123">IFERROR(INDEX('Pilot inputs'!$AA$15:$AA$44,MATCH(A123,'Pilot inputs'!$B$15:$B$44,0)),0)</f>
        <v>1</v>
      </c>
    </row>
    <row r="124" ht="138.75" customHeight="1">
      <c r="A124" s="138" t="s">
        <v>340</v>
      </c>
      <c r="B124" s="141" t="s">
        <v>195</v>
      </c>
      <c r="C124" s="138" t="s">
        <v>1541</v>
      </c>
      <c r="D124" s="142"/>
      <c r="E124" s="138" t="s">
        <v>1542</v>
      </c>
      <c r="F124" s="138" t="s">
        <v>1543</v>
      </c>
      <c r="G124" s="141" t="s">
        <v>1381</v>
      </c>
      <c r="H124" s="143">
        <f t="array" ref="H124">IFERROR(INDEX('Pilot inputs'!$AA$15:$AA$44,MATCH(A124,'Pilot inputs'!$B$15:$B$44,0)),0)</f>
        <v>1</v>
      </c>
    </row>
    <row r="125" ht="138.75" customHeight="1">
      <c r="A125" s="138" t="s">
        <v>1406</v>
      </c>
      <c r="B125" s="141" t="s">
        <v>195</v>
      </c>
      <c r="C125" s="138" t="s">
        <v>1544</v>
      </c>
      <c r="D125" s="142"/>
      <c r="E125" s="138" t="s">
        <v>1545</v>
      </c>
      <c r="F125" s="138" t="s">
        <v>1546</v>
      </c>
      <c r="G125" s="141" t="s">
        <v>1381</v>
      </c>
      <c r="H125" s="143">
        <f t="array" ref="H125">IFERROR(INDEX('Pilot inputs'!$AA$15:$AA$44,MATCH(A125,'Pilot inputs'!$B$15:$B$44,0)),0)</f>
        <v>1</v>
      </c>
    </row>
    <row r="126" ht="138.75" customHeight="1">
      <c r="A126" s="138" t="s">
        <v>305</v>
      </c>
      <c r="B126" s="141" t="s">
        <v>371</v>
      </c>
      <c r="C126" s="138" t="s">
        <v>1548</v>
      </c>
      <c r="D126" s="142">
        <v>46232.0</v>
      </c>
      <c r="E126" s="138" t="s">
        <v>1004</v>
      </c>
      <c r="F126" s="138" t="s">
        <v>1549</v>
      </c>
      <c r="G126" s="141" t="s">
        <v>1381</v>
      </c>
      <c r="H126" s="143">
        <f t="array" ref="H126">IFERROR(INDEX('Pilot inputs'!$AA$15:$AA$44,MATCH(A126,'Pilot inputs'!$B$15:$B$44,0)),0)</f>
        <v>1</v>
      </c>
    </row>
  </sheetData>
  <mergeCells count="1">
    <mergeCell ref="C3:O3"/>
  </mergeCells>
  <dataValidations>
    <dataValidation type="list" allowBlank="1" showErrorMessage="1" sqref="Y6:Y15">
      <formula1>"Not sourced,Complete"</formula1>
    </dataValidation>
    <dataValidation type="list" allowBlank="1" showErrorMessage="1" sqref="Z6:Z15">
      <formula1>"Operating company,Bank adapter required,Approved"</formula1>
    </dataValidation>
    <dataValidation type="list" allowBlank="1" showErrorMessage="1" sqref="AA6:AB15 AI6:AI15 AR6:AR15 AX6:AY15">
      <formula1>"Yes,No"</formula1>
    </dataValidation>
    <dataValidation type="custom" allowBlank="1" showDropDown="1" sqref="H6:H15 Q6:Q15 AP6:AP15 D81:D126">
      <formula1>OR(NOT(ISERROR(DATEVALUE(D6))), AND(ISNUMBER(D6), LEFT(CELL("format", D6))="D"))</formula1>
    </dataValidation>
    <dataValidation type="custom" allowBlank="1" showDropDown="1" sqref="F6:G15 M6:M15 O6:P15 R6:T15 AC6:AG15 AJ6:AN15 AQ6:AQ15 AS6:AV15 H81:H126">
      <formula1>AND(ISNUMBER(F6),(NOT(OR(NOT(ISERROR(DATEVALUE(F6))), AND(ISNUMBER(F6), LEFT(CELL("format", F6))="D")))))</formula1>
    </dataValidation>
    <dataValidation type="list" allowBlank="1" showErrorMessage="1" sqref="B81:B126">
      <formula1>"Guide,History,Network,Definition"</formula1>
    </dataValidation>
    <dataValidation allowBlank="1" showDropDown="1" sqref="A6:E15 I6:L15 N6:N15 U6:W15 AH6:AH15 AO6:AO15 AW6:AW15 AZ6:AZ15 A81:A126 C81:C126 E81:F126"/>
    <dataValidation type="list" allowBlank="1" showErrorMessage="1" sqref="G81:G126">
      <formula1>"Reference only,Pending mapping,Mapped input"</formula1>
    </dataValidation>
    <dataValidation type="list" allowBlank="1" showErrorMessage="1" sqref="X6:X15">
      <formula1>"Incomplete,Complete"</formula1>
    </dataValidation>
  </dataValidations>
  <drawing r:id="rId2"/>
  <legacyDrawing r:id="rId3"/>
  <tableParts count="2"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1" width="17.0"/>
    <col customWidth="1" min="2" max="2" width="13.25"/>
    <col customWidth="1" min="3" max="3" width="23.88"/>
    <col customWidth="1" min="4" max="4" width="31.38"/>
    <col customWidth="1" min="5" max="5" width="13.25"/>
    <col customWidth="1" min="6" max="6" width="15.13"/>
    <col customWidth="1" min="7" max="7" width="14.5"/>
    <col customWidth="1" min="8" max="8" width="17.63"/>
    <col customWidth="1" min="9" max="10" width="15.75"/>
    <col customWidth="1" min="11" max="16" width="17.63"/>
    <col customWidth="1" min="17" max="22" width="15.75"/>
    <col customWidth="1" min="23" max="24" width="45.13"/>
    <col customWidth="1" min="25" max="25" width="56.38"/>
    <col customWidth="1" min="26" max="26" width="14.5"/>
    <col customWidth="1" min="27" max="43" width="17.0"/>
    <col customWidth="1" min="44" max="45" width="31.38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</row>
    <row r="2">
      <c r="A2" s="129" t="s">
        <v>1212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</row>
    <row r="3" ht="56.25" customHeight="1">
      <c r="A3" s="93"/>
      <c r="B3" s="93"/>
      <c r="C3" s="95" t="s">
        <v>1213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</row>
    <row r="4">
      <c r="A4" s="93" t="s">
        <v>1214</v>
      </c>
      <c r="B4" s="130">
        <f>Rules!$B$6</f>
        <v>46298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</row>
    <row r="5">
      <c r="A5" s="93" t="s">
        <v>1215</v>
      </c>
      <c r="B5" s="130">
        <v>46297.0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</row>
    <row r="6">
      <c r="A6" s="93" t="s">
        <v>1216</v>
      </c>
      <c r="B6" s="93">
        <f>MAX(10,Rules!$B$22)</f>
        <v>10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</row>
    <row r="7">
      <c r="A7" s="93" t="s">
        <v>1217</v>
      </c>
      <c r="B7" s="93">
        <f>MAX(3,Rules!$B$12)</f>
        <v>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</row>
    <row r="8">
      <c r="A8" s="93" t="s">
        <v>1219</v>
      </c>
      <c r="B8" s="93">
        <f>COUNTIF(E15:E44,"Yes")</f>
        <v>10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</row>
    <row r="9">
      <c r="A9" s="93" t="s">
        <v>1220</v>
      </c>
      <c r="B9" s="93">
        <f>COUNTA(A15:A44)</f>
        <v>30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</row>
    <row r="10">
      <c r="A10" s="93" t="s">
        <v>1221</v>
      </c>
      <c r="B10" s="114">
        <f>SUM(AA15:AA44)</f>
        <v>30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</row>
    <row r="11">
      <c r="A11" s="93" t="s">
        <v>1222</v>
      </c>
      <c r="B11" s="114">
        <f>SUM(AQ15:AQ44)</f>
        <v>30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</row>
    <row r="12">
      <c r="A12" s="93" t="s">
        <v>1223</v>
      </c>
      <c r="B12" s="93">
        <f>COUNTIF('Test sources'!AN6:AN15,1)</f>
        <v>0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</row>
    <row r="14" ht="40.5" customHeight="1">
      <c r="A14" s="131" t="s">
        <v>139</v>
      </c>
      <c r="B14" s="131" t="s">
        <v>277</v>
      </c>
      <c r="C14" s="131" t="s">
        <v>33</v>
      </c>
      <c r="D14" s="131" t="s">
        <v>1224</v>
      </c>
      <c r="E14" s="131" t="s">
        <v>1225</v>
      </c>
      <c r="F14" s="131" t="s">
        <v>258</v>
      </c>
      <c r="G14" s="131" t="s">
        <v>1226</v>
      </c>
      <c r="H14" s="131" t="s">
        <v>1227</v>
      </c>
      <c r="I14" s="131" t="s">
        <v>1228</v>
      </c>
      <c r="J14" s="131" t="s">
        <v>1229</v>
      </c>
      <c r="K14" s="131" t="s">
        <v>1230</v>
      </c>
      <c r="L14" s="131" t="s">
        <v>1231</v>
      </c>
      <c r="M14" s="131" t="s">
        <v>1232</v>
      </c>
      <c r="N14" s="131" t="s">
        <v>1234</v>
      </c>
      <c r="O14" s="131" t="s">
        <v>1235</v>
      </c>
      <c r="P14" s="131" t="s">
        <v>1236</v>
      </c>
      <c r="Q14" s="131" t="s">
        <v>1237</v>
      </c>
      <c r="R14" s="131" t="s">
        <v>1238</v>
      </c>
      <c r="S14" s="131" t="s">
        <v>1239</v>
      </c>
      <c r="T14" s="131" t="s">
        <v>1240</v>
      </c>
      <c r="U14" s="131" t="s">
        <v>1241</v>
      </c>
      <c r="V14" s="131" t="s">
        <v>1242</v>
      </c>
      <c r="W14" s="131" t="s">
        <v>1243</v>
      </c>
      <c r="X14" s="131" t="s">
        <v>1244</v>
      </c>
      <c r="Y14" s="131" t="s">
        <v>1245</v>
      </c>
      <c r="Z14" s="131" t="s">
        <v>1246</v>
      </c>
      <c r="AA14" s="131" t="s">
        <v>1247</v>
      </c>
      <c r="AB14" s="131" t="s">
        <v>1248</v>
      </c>
      <c r="AC14" s="131" t="s">
        <v>1249</v>
      </c>
      <c r="AD14" s="131" t="s">
        <v>1250</v>
      </c>
      <c r="AE14" s="131" t="s">
        <v>147</v>
      </c>
      <c r="AF14" s="131" t="s">
        <v>149</v>
      </c>
      <c r="AG14" s="131" t="s">
        <v>1251</v>
      </c>
      <c r="AH14" s="131" t="s">
        <v>1252</v>
      </c>
      <c r="AI14" s="131" t="s">
        <v>1253</v>
      </c>
      <c r="AJ14" s="131" t="s">
        <v>1254</v>
      </c>
      <c r="AK14" s="131" t="s">
        <v>1255</v>
      </c>
      <c r="AL14" s="131" t="s">
        <v>1256</v>
      </c>
      <c r="AM14" s="131" t="s">
        <v>1257</v>
      </c>
      <c r="AN14" s="131" t="s">
        <v>1258</v>
      </c>
      <c r="AO14" s="131" t="s">
        <v>1259</v>
      </c>
      <c r="AP14" s="131" t="s">
        <v>1260</v>
      </c>
      <c r="AQ14" s="131" t="s">
        <v>1261</v>
      </c>
      <c r="AR14" s="131" t="s">
        <v>141</v>
      </c>
      <c r="AS14" s="131" t="s">
        <v>1262</v>
      </c>
    </row>
    <row r="15" ht="52.5" customHeight="1">
      <c r="A15" s="132" t="s">
        <v>1263</v>
      </c>
      <c r="B15" s="132" t="s">
        <v>1264</v>
      </c>
      <c r="C15" s="132" t="s">
        <v>294</v>
      </c>
      <c r="D15" s="132" t="s">
        <v>1265</v>
      </c>
      <c r="E15" s="133" t="s">
        <v>249</v>
      </c>
      <c r="F15" s="134">
        <v>86.28</v>
      </c>
      <c r="G15" s="135">
        <v>46297.0</v>
      </c>
      <c r="H15" s="134">
        <v>12.323</v>
      </c>
      <c r="I15" s="136" t="s">
        <v>1266</v>
      </c>
      <c r="J15" s="135">
        <v>46298.0</v>
      </c>
      <c r="K15" s="134">
        <v>28.1</v>
      </c>
      <c r="L15" s="134">
        <v>16.62</v>
      </c>
      <c r="M15" s="137">
        <v>-0.002</v>
      </c>
      <c r="N15" s="134">
        <v>6.56</v>
      </c>
      <c r="O15" s="137">
        <v>0.0795</v>
      </c>
      <c r="P15" s="137">
        <v>0.3814</v>
      </c>
      <c r="Q15" s="132" t="s">
        <v>1206</v>
      </c>
      <c r="R15" s="134">
        <v>11.83</v>
      </c>
      <c r="S15" s="132" t="s">
        <v>1267</v>
      </c>
      <c r="T15" s="134">
        <v>11.352</v>
      </c>
      <c r="U15" s="134">
        <v>2.14</v>
      </c>
      <c r="V15" s="134">
        <v>1.67</v>
      </c>
      <c r="W15" s="138" t="s">
        <v>1268</v>
      </c>
      <c r="X15" s="138" t="s">
        <v>1269</v>
      </c>
      <c r="Y15" s="138" t="s">
        <v>1270</v>
      </c>
      <c r="Z15" s="133" t="s">
        <v>249</v>
      </c>
      <c r="AA15" s="111">
        <f>IFERROR(IF(AND(COUNTIF($A$15:$A$44,A15)=1,Z15="Yes",ISNUMBER(F15),F15&gt;=MAX(10,Rules!$B$22),ISNUMBER(G15),G15&lt;=Rules!$B$6,Rules!$B$6-G15&lt;=Rules!$B$10,ISNUMBER(J15),J15=Rules!$B$6,DATEVALUE("1 "&amp;I15)&lt;=Rules!$B$6,Rules!$B$6-DATEVALUE("1 "&amp;I15)&lt;=Rules!$B$11,COUNT(H15,K15:L15,O15:P15,R15,T15)=7,MIN(H15,K15:L15,R15,T15)&gt;0,RIGHT(Q15,4)-RIGHT(S15,4)=3,IF(C15="Utilities",AND(ISNUMBER(N15),N15&gt;0),ISNUMBER(M15)),D15&lt;&gt;"",W15&lt;&gt;"",X15&lt;&gt;""),1,0),0)</f>
        <v>1</v>
      </c>
      <c r="AB15" s="128">
        <f t="shared" ref="AB15:AB44" si="1">IF(AA15=1,(R15/T15)^(1/3)-1,"Unranked")</f>
        <v>0.01384318777</v>
      </c>
      <c r="AC15" s="128">
        <f t="shared" ref="AC15:AC44" si="2">IF(AND(COUNT(U15:V15)=2,MIN(U15:V15)&gt;0),(U15/V15)^(1/3)-1,"Undefined")</f>
        <v>0.0861732446</v>
      </c>
      <c r="AD15" s="111">
        <f t="shared" ref="AD15:AD44" si="3">COUNTIFS($D$15:$D$44,D15,$AA$15:$AA$44,1)</f>
        <v>3</v>
      </c>
      <c r="AE15" s="111">
        <f>IFERROR(__xludf.DUMMYFUNCTION("IFERROR(IF(AA15&lt;&gt;1,""Unranked"",LET(a,FILTER($F$15:$F$44,$D$15:$D$44=D15,$AA$15:$AA$44=1),cohort_size,ROWS(a),IF(cohort_size&lt;MAX(3,Rules!$B$12),""Unranked"",IF(MAX(a)=MIN(a),50,100*(SUMPRODUCT(N(a&lt;F15))+(SUMPRODUCT(N(a=F15))-1)/2)/(cohort_size-1))))),""Un"&amp;"ranked"")"),100.0)</f>
        <v>100</v>
      </c>
      <c r="AF15" s="111">
        <f>IFERROR(__xludf.DUMMYFUNCTION("IFERROR(IF(AA15&lt;&gt;1,""Unranked"",LET(a,FILTER($H$15:$H$44,$D$15:$D$44=D15,$AA$15:$AA$44=1),cohort_size,ROWS(a),IF(cohort_size&lt;MAX(3,Rules!$B$12),""Unranked"",IF(MAX(a)=MIN(a),50,100*(SUMPRODUCT(N(a&lt;H15))+(SUMPRODUCT(N(a=H15))-1)/2)/(cohort_size-1))))),""Un"&amp;"ranked"")"),0.0)</f>
        <v>0</v>
      </c>
      <c r="AG15" s="111">
        <f t="shared" ref="AG15:AG44" si="4">IF(COUNT(AE15:AF15)=2,AVERAGE(AE15:AF15),"Unranked")</f>
        <v>50</v>
      </c>
      <c r="AH15" s="111">
        <f>IFERROR(__xludf.DUMMYFUNCTION("IFERROR(IF(AA15&lt;&gt;1,""Unranked"",100-LET(a,FILTER($K$15:$K$44,$D$15:$D$44=D15,$AA$15:$AA$44=1),cohort_size,ROWS(a),IF(cohort_size&lt;MAX(3,Rules!$B$12),""Unranked"",IF(MAX(a)=MIN(a),50,100*(SUMPRODUCT(N(a&lt;K15))+(SUMPRODUCT(N(a=K15))-1)/2)/(cohort_size-1))))),"&amp;"""Unranked"")"),0.0)</f>
        <v>0</v>
      </c>
      <c r="AI15" s="111">
        <f>IFERROR(__xludf.DUMMYFUNCTION("IFERROR(IF(AA15&lt;&gt;1,""Unranked"",100-LET(a,FILTER($L$15:$L$44,$D$15:$D$44=D15,$AA$15:$AA$44=1),cohort_size,ROWS(a),IF(cohort_size&lt;MAX(3,Rules!$B$12),""Unranked"",IF(MAX(a)=MIN(a),50,100*(SUMPRODUCT(N(a&lt;L15))+(SUMPRODUCT(N(a=L15))-1)/2)/(cohort_size-1))))),"&amp;"""Unranked"")"),0.0)</f>
        <v>0</v>
      </c>
      <c r="AJ15" s="111">
        <f>IFERROR(__xludf.DUMMYFUNCTION("IFERROR(IF(AA15&lt;&gt;1,""Unranked"",LET(a,FILTER($M$15:$M$44,$D$15:$D$44=D15,$AA$15:$AA$44=1),cohort_size,ROWS(a),IF(cohort_size&lt;MAX(3,Rules!$B$12),""Unranked"",IF(MAX(a)=MIN(a),50,100*(SUMPRODUCT(N(a&lt;M15))+(SUMPRODUCT(N(a=M15))-1)/2)/(cohort_size-1))))),""Un"&amp;"ranked"")"),0.0)</f>
        <v>0</v>
      </c>
      <c r="AK15" s="139" t="str">
        <f t="shared" ref="AK15:AK38" si="5">"Not used"</f>
        <v>Not used</v>
      </c>
      <c r="AL15" s="111">
        <f t="shared" ref="AL15:AL44" si="6">IF(AA15&lt;&gt;1,"Unranked",IF(C15="Utilities",IF(COUNT(AH15:AI15,AK15)=3,0.4*AH15+0.4*AI15+0.2*AK15,"Unranked"),IF(COUNT(AH15:AJ15)=3,0.35*AH15+0.35*AI15+0.3*AJ15,"Unranked")))</f>
        <v>0</v>
      </c>
      <c r="AM15" s="111">
        <f>IFERROR(__xludf.DUMMYFUNCTION("IFERROR(IF(AA15&lt;&gt;1,""Unranked"",LET(a,FILTER($AB$15:$AB$44,$D$15:$D$44=D15,$AA$15:$AA$44=1),cohort_size,ROWS(a),IF(cohort_size&lt;MAX(3,Rules!$B$12),""Unranked"",IF(MAX(a)=MIN(a),50,100*(SUMPRODUCT(N(a&lt;AB15))+(SUMPRODUCT(N(a=AB15))-1)/2)/(cohort_size-1))))),"&amp;"""Unranked"")"),50.0)</f>
        <v>50</v>
      </c>
      <c r="AN15" s="111">
        <f>IFERROR(__xludf.DUMMYFUNCTION("IFERROR(IF(AA15&lt;&gt;1,""Unranked"",LET(a,FILTER($O$15:$O$44,$D$15:$D$44=D15,$AA$15:$AA$44=1),cohort_size,ROWS(a),IF(cohort_size&lt;MAX(3,Rules!$B$12),""Unranked"",IF(MAX(a)=MIN(a),50,100*(SUMPRODUCT(N(a&lt;O15))+(SUMPRODUCT(N(a=O15))-1)/2)/(cohort_size-1))))),""Un"&amp;"ranked"")"),50.0)</f>
        <v>50</v>
      </c>
      <c r="AO15" s="111">
        <f>IFERROR(__xludf.DUMMYFUNCTION("IFERROR(IF(AA15&lt;&gt;1,""Unranked"",LET(a,FILTER($P$15:$P$44,$D$15:$D$44=D15,$AA$15:$AA$44=1),cohort_size,ROWS(a),IF(cohort_size&lt;MAX(3,Rules!$B$12),""Unranked"",IF(MAX(a)=MIN(a),50,100*(SUMPRODUCT(N(a&lt;P15))+(SUMPRODUCT(N(a=P15))-1)/2)/(cohort_size-1))))),""Un"&amp;"ranked"")"),100.0)</f>
        <v>100</v>
      </c>
      <c r="AP15" s="111">
        <f t="shared" ref="AP15:AP44" si="7">IF(COUNT(AN15:AO15)=2,AVERAGE(AN15:AO15),"Unranked")</f>
        <v>75</v>
      </c>
      <c r="AQ15" s="111">
        <f>IF(AND(AA15=1,AD15&gt;=MAX(3,Rules!$B$12),COUNT(AG15,AL15,AM15,AP15)=4,MIN(AG15,AL15,AM15,AP15)&gt;=0,MAX(AG15,AL15,AM15,AP15)&lt;=100),1,0)</f>
        <v>1</v>
      </c>
      <c r="AR15" s="105" t="s">
        <v>1273</v>
      </c>
      <c r="AS15" s="105" t="s">
        <v>1274</v>
      </c>
    </row>
    <row r="16" ht="52.5" customHeight="1">
      <c r="A16" s="132" t="s">
        <v>1275</v>
      </c>
      <c r="B16" s="132" t="s">
        <v>1276</v>
      </c>
      <c r="C16" s="132" t="s">
        <v>294</v>
      </c>
      <c r="D16" s="132" t="s">
        <v>1265</v>
      </c>
      <c r="E16" s="133" t="s">
        <v>59</v>
      </c>
      <c r="F16" s="134">
        <v>69.19</v>
      </c>
      <c r="G16" s="135">
        <v>46297.0</v>
      </c>
      <c r="H16" s="134">
        <v>17.959</v>
      </c>
      <c r="I16" s="136" t="s">
        <v>1266</v>
      </c>
      <c r="J16" s="135">
        <v>46298.0</v>
      </c>
      <c r="K16" s="134">
        <v>20.04</v>
      </c>
      <c r="L16" s="134">
        <v>13.3</v>
      </c>
      <c r="M16" s="137">
        <v>0.0384</v>
      </c>
      <c r="N16" s="134">
        <v>2.19</v>
      </c>
      <c r="O16" s="137">
        <v>0.0624</v>
      </c>
      <c r="P16" s="137">
        <v>0.2905</v>
      </c>
      <c r="Q16" s="132" t="s">
        <v>1206</v>
      </c>
      <c r="R16" s="134">
        <v>16.937</v>
      </c>
      <c r="S16" s="132" t="s">
        <v>1267</v>
      </c>
      <c r="T16" s="134">
        <v>19.2</v>
      </c>
      <c r="U16" s="134">
        <v>1.37</v>
      </c>
      <c r="V16" s="134">
        <v>1.12</v>
      </c>
      <c r="W16" s="138" t="s">
        <v>1278</v>
      </c>
      <c r="X16" s="138" t="s">
        <v>1279</v>
      </c>
      <c r="Y16" s="138" t="s">
        <v>1280</v>
      </c>
      <c r="Z16" s="133" t="s">
        <v>249</v>
      </c>
      <c r="AA16" s="111">
        <f>IFERROR(IF(AND(COUNTIF($A$15:$A$44,A16)=1,Z16="Yes",ISNUMBER(F16),F16&gt;=MAX(10,Rules!$B$22),ISNUMBER(G16),G16&lt;=Rules!$B$6,Rules!$B$6-G16&lt;=Rules!$B$10,ISNUMBER(J16),J16=Rules!$B$6,DATEVALUE("1 "&amp;I16)&lt;=Rules!$B$6,Rules!$B$6-DATEVALUE("1 "&amp;I16)&lt;=Rules!$B$11,COUNT(H16,K16:L16,O16:P16,R16,T16)=7,MIN(H16,K16:L16,R16,T16)&gt;0,RIGHT(Q16,4)-RIGHT(S16,4)=3,IF(C16="Utilities",AND(ISNUMBER(N16),N16&gt;0),ISNUMBER(M16)),D16&lt;&gt;"",W16&lt;&gt;"",X16&lt;&gt;""),1,0),0)</f>
        <v>1</v>
      </c>
      <c r="AB16" s="128">
        <f t="shared" si="1"/>
        <v>-0.04094152761</v>
      </c>
      <c r="AC16" s="128">
        <f t="shared" si="2"/>
        <v>0.06946731156</v>
      </c>
      <c r="AD16" s="111">
        <f t="shared" si="3"/>
        <v>3</v>
      </c>
      <c r="AE16" s="111">
        <f>IFERROR(__xludf.DUMMYFUNCTION("IFERROR(IF(AA16&lt;&gt;1,""Unranked"",LET(a,FILTER($F$15:$F$44,$D$15:$D$44=D16,$AA$15:$AA$44=1),cohort_size,ROWS(a),IF(cohort_size&lt;MAX(3,Rules!$B$12),""Unranked"",IF(MAX(a)=MIN(a),50,100*(SUMPRODUCT(N(a&lt;F16))+(SUMPRODUCT(N(a=F16))-1)/2)/(cohort_size-1))))),""Un"&amp;"ranked"")"),50.0)</f>
        <v>50</v>
      </c>
      <c r="AF16" s="111">
        <f>IFERROR(__xludf.DUMMYFUNCTION("IFERROR(IF(AA16&lt;&gt;1,""Unranked"",LET(a,FILTER($H$15:$H$44,$D$15:$D$44=D16,$AA$15:$AA$44=1),cohort_size,ROWS(a),IF(cohort_size&lt;MAX(3,Rules!$B$12),""Unranked"",IF(MAX(a)=MIN(a),50,100*(SUMPRODUCT(N(a&lt;H16))+(SUMPRODUCT(N(a=H16))-1)/2)/(cohort_size-1))))),""Un"&amp;"ranked"")"),50.0)</f>
        <v>50</v>
      </c>
      <c r="AG16" s="111">
        <f t="shared" si="4"/>
        <v>50</v>
      </c>
      <c r="AH16" s="111">
        <f>IFERROR(__xludf.DUMMYFUNCTION("IFERROR(IF(AA16&lt;&gt;1,""Unranked"",100-LET(a,FILTER($K$15:$K$44,$D$15:$D$44=D16,$AA$15:$AA$44=1),cohort_size,ROWS(a),IF(cohort_size&lt;MAX(3,Rules!$B$12),""Unranked"",IF(MAX(a)=MIN(a),50,100*(SUMPRODUCT(N(a&lt;K16))+(SUMPRODUCT(N(a=K16))-1)/2)/(cohort_size-1))))),"&amp;"""Unranked"")"),50.0)</f>
        <v>50</v>
      </c>
      <c r="AI16" s="111">
        <f>IFERROR(__xludf.DUMMYFUNCTION("IFERROR(IF(AA16&lt;&gt;1,""Unranked"",100-LET(a,FILTER($L$15:$L$44,$D$15:$D$44=D16,$AA$15:$AA$44=1),cohort_size,ROWS(a),IF(cohort_size&lt;MAX(3,Rules!$B$12),""Unranked"",IF(MAX(a)=MIN(a),50,100*(SUMPRODUCT(N(a&lt;L16))+(SUMPRODUCT(N(a=L16))-1)/2)/(cohort_size-1))))),"&amp;"""Unranked"")"),50.0)</f>
        <v>50</v>
      </c>
      <c r="AJ16" s="111">
        <f>IFERROR(__xludf.DUMMYFUNCTION("IFERROR(IF(AA16&lt;&gt;1,""Unranked"",LET(a,FILTER($M$15:$M$44,$D$15:$D$44=D16,$AA$15:$AA$44=1),cohort_size,ROWS(a),IF(cohort_size&lt;MAX(3,Rules!$B$12),""Unranked"",IF(MAX(a)=MIN(a),50,100*(SUMPRODUCT(N(a&lt;M16))+(SUMPRODUCT(N(a=M16))-1)/2)/(cohort_size-1))))),""Un"&amp;"ranked"")"),50.0)</f>
        <v>50</v>
      </c>
      <c r="AK16" s="139" t="str">
        <f t="shared" si="5"/>
        <v>Not used</v>
      </c>
      <c r="AL16" s="111">
        <f t="shared" si="6"/>
        <v>50</v>
      </c>
      <c r="AM16" s="111">
        <f>IFERROR(__xludf.DUMMYFUNCTION("IFERROR(IF(AA16&lt;&gt;1,""Unranked"",LET(a,FILTER($AB$15:$AB$44,$D$15:$D$44=D16,$AA$15:$AA$44=1),cohort_size,ROWS(a),IF(cohort_size&lt;MAX(3,Rules!$B$12),""Unranked"",IF(MAX(a)=MIN(a),50,100*(SUMPRODUCT(N(a&lt;AB16))+(SUMPRODUCT(N(a=AB16))-1)/2)/(cohort_size-1))))),"&amp;"""Unranked"")"),0.0)</f>
        <v>0</v>
      </c>
      <c r="AN16" s="111">
        <f>IFERROR(__xludf.DUMMYFUNCTION("IFERROR(IF(AA16&lt;&gt;1,""Unranked"",LET(a,FILTER($O$15:$O$44,$D$15:$D$44=D16,$AA$15:$AA$44=1),cohort_size,ROWS(a),IF(cohort_size&lt;MAX(3,Rules!$B$12),""Unranked"",IF(MAX(a)=MIN(a),50,100*(SUMPRODUCT(N(a&lt;O16))+(SUMPRODUCT(N(a=O16))-1)/2)/(cohort_size-1))))),""Un"&amp;"ranked"")"),0.0)</f>
        <v>0</v>
      </c>
      <c r="AO16" s="111">
        <f>IFERROR(__xludf.DUMMYFUNCTION("IFERROR(IF(AA16&lt;&gt;1,""Unranked"",LET(a,FILTER($P$15:$P$44,$D$15:$D$44=D16,$AA$15:$AA$44=1),cohort_size,ROWS(a),IF(cohort_size&lt;MAX(3,Rules!$B$12),""Unranked"",IF(MAX(a)=MIN(a),50,100*(SUMPRODUCT(N(a&lt;P16))+(SUMPRODUCT(N(a=P16))-1)/2)/(cohort_size-1))))),""Un"&amp;"ranked"")"),50.0)</f>
        <v>50</v>
      </c>
      <c r="AP16" s="111">
        <f t="shared" si="7"/>
        <v>25</v>
      </c>
      <c r="AQ16" s="111">
        <f>IF(AND(AA16=1,AD16&gt;=MAX(3,Rules!$B$12),COUNT(AG16,AL16,AM16,AP16)=4,MIN(AG16,AL16,AM16,AP16)&gt;=0,MAX(AG16,AL16,AM16,AP16)&lt;=100),1,0)</f>
        <v>1</v>
      </c>
      <c r="AR16" s="105" t="s">
        <v>1281</v>
      </c>
      <c r="AS16" s="105" t="s">
        <v>1274</v>
      </c>
    </row>
    <row r="17" ht="52.5" customHeight="1">
      <c r="A17" s="132" t="s">
        <v>1283</v>
      </c>
      <c r="B17" s="132" t="s">
        <v>1284</v>
      </c>
      <c r="C17" s="132" t="s">
        <v>294</v>
      </c>
      <c r="D17" s="132" t="s">
        <v>1265</v>
      </c>
      <c r="E17" s="133" t="s">
        <v>59</v>
      </c>
      <c r="F17" s="134">
        <v>55.4</v>
      </c>
      <c r="G17" s="135">
        <v>46297.0</v>
      </c>
      <c r="H17" s="134">
        <v>39.366</v>
      </c>
      <c r="I17" s="136" t="s">
        <v>1266</v>
      </c>
      <c r="J17" s="135">
        <v>46298.0</v>
      </c>
      <c r="K17" s="134">
        <v>15.19</v>
      </c>
      <c r="L17" s="134">
        <v>11.51</v>
      </c>
      <c r="M17" s="137">
        <v>0.0525</v>
      </c>
      <c r="N17" s="134">
        <v>2.42</v>
      </c>
      <c r="O17" s="137">
        <v>0.0841</v>
      </c>
      <c r="P17" s="137">
        <v>0.1559</v>
      </c>
      <c r="Q17" s="132" t="s">
        <v>1206</v>
      </c>
      <c r="R17" s="134">
        <v>33.629</v>
      </c>
      <c r="S17" s="132" t="s">
        <v>1267</v>
      </c>
      <c r="T17" s="134">
        <v>22.387</v>
      </c>
      <c r="U17" s="134">
        <v>5.42</v>
      </c>
      <c r="V17" s="134">
        <v>3.84</v>
      </c>
      <c r="W17" s="138" t="s">
        <v>1285</v>
      </c>
      <c r="X17" s="138" t="s">
        <v>1286</v>
      </c>
      <c r="Y17" s="138" t="s">
        <v>1287</v>
      </c>
      <c r="Z17" s="133" t="s">
        <v>249</v>
      </c>
      <c r="AA17" s="111">
        <f>IFERROR(IF(AND(COUNTIF($A$15:$A$44,A17)=1,Z17="Yes",ISNUMBER(F17),F17&gt;=MAX(10,Rules!$B$22),ISNUMBER(G17),G17&lt;=Rules!$B$6,Rules!$B$6-G17&lt;=Rules!$B$10,ISNUMBER(J17),J17=Rules!$B$6,DATEVALUE("1 "&amp;I17)&lt;=Rules!$B$6,Rules!$B$6-DATEVALUE("1 "&amp;I17)&lt;=Rules!$B$11,COUNT(H17,K17:L17,O17:P17,R17,T17)=7,MIN(H17,K17:L17,R17,T17)&gt;0,RIGHT(Q17,4)-RIGHT(S17,4)=3,IF(C17="Utilities",AND(ISNUMBER(N17),N17&gt;0),ISNUMBER(M17)),D17&lt;&gt;"",W17&lt;&gt;"",X17&lt;&gt;""),1,0),0)</f>
        <v>1</v>
      </c>
      <c r="AB17" s="128">
        <f t="shared" si="1"/>
        <v>0.1452650775</v>
      </c>
      <c r="AC17" s="128">
        <f t="shared" si="2"/>
        <v>0.1217326322</v>
      </c>
      <c r="AD17" s="111">
        <f t="shared" si="3"/>
        <v>3</v>
      </c>
      <c r="AE17" s="111">
        <f>IFERROR(__xludf.DUMMYFUNCTION("IFERROR(IF(AA17&lt;&gt;1,""Unranked"",LET(a,FILTER($F$15:$F$44,$D$15:$D$44=D17,$AA$15:$AA$44=1),cohort_size,ROWS(a),IF(cohort_size&lt;MAX(3,Rules!$B$12),""Unranked"",IF(MAX(a)=MIN(a),50,100*(SUMPRODUCT(N(a&lt;F17))+(SUMPRODUCT(N(a=F17))-1)/2)/(cohort_size-1))))),""Un"&amp;"ranked"")"),0.0)</f>
        <v>0</v>
      </c>
      <c r="AF17" s="111">
        <f>IFERROR(__xludf.DUMMYFUNCTION("IFERROR(IF(AA17&lt;&gt;1,""Unranked"",LET(a,FILTER($H$15:$H$44,$D$15:$D$44=D17,$AA$15:$AA$44=1),cohort_size,ROWS(a),IF(cohort_size&lt;MAX(3,Rules!$B$12),""Unranked"",IF(MAX(a)=MIN(a),50,100*(SUMPRODUCT(N(a&lt;H17))+(SUMPRODUCT(N(a=H17))-1)/2)/(cohort_size-1))))),""Un"&amp;"ranked"")"),100.0)</f>
        <v>100</v>
      </c>
      <c r="AG17" s="111">
        <f t="shared" si="4"/>
        <v>50</v>
      </c>
      <c r="AH17" s="111">
        <f>IFERROR(__xludf.DUMMYFUNCTION("IFERROR(IF(AA17&lt;&gt;1,""Unranked"",100-LET(a,FILTER($K$15:$K$44,$D$15:$D$44=D17,$AA$15:$AA$44=1),cohort_size,ROWS(a),IF(cohort_size&lt;MAX(3,Rules!$B$12),""Unranked"",IF(MAX(a)=MIN(a),50,100*(SUMPRODUCT(N(a&lt;K17))+(SUMPRODUCT(N(a=K17))-1)/2)/(cohort_size-1))))),"&amp;"""Unranked"")"),100.0)</f>
        <v>100</v>
      </c>
      <c r="AI17" s="111">
        <f>IFERROR(__xludf.DUMMYFUNCTION("IFERROR(IF(AA17&lt;&gt;1,""Unranked"",100-LET(a,FILTER($L$15:$L$44,$D$15:$D$44=D17,$AA$15:$AA$44=1),cohort_size,ROWS(a),IF(cohort_size&lt;MAX(3,Rules!$B$12),""Unranked"",IF(MAX(a)=MIN(a),50,100*(SUMPRODUCT(N(a&lt;L17))+(SUMPRODUCT(N(a=L17))-1)/2)/(cohort_size-1))))),"&amp;"""Unranked"")"),100.0)</f>
        <v>100</v>
      </c>
      <c r="AJ17" s="111">
        <f>IFERROR(__xludf.DUMMYFUNCTION("IFERROR(IF(AA17&lt;&gt;1,""Unranked"",LET(a,FILTER($M$15:$M$44,$D$15:$D$44=D17,$AA$15:$AA$44=1),cohort_size,ROWS(a),IF(cohort_size&lt;MAX(3,Rules!$B$12),""Unranked"",IF(MAX(a)=MIN(a),50,100*(SUMPRODUCT(N(a&lt;M17))+(SUMPRODUCT(N(a=M17))-1)/2)/(cohort_size-1))))),""Un"&amp;"ranked"")"),100.0)</f>
        <v>100</v>
      </c>
      <c r="AK17" s="139" t="str">
        <f t="shared" si="5"/>
        <v>Not used</v>
      </c>
      <c r="AL17" s="111">
        <f t="shared" si="6"/>
        <v>100</v>
      </c>
      <c r="AM17" s="111">
        <f>IFERROR(__xludf.DUMMYFUNCTION("IFERROR(IF(AA17&lt;&gt;1,""Unranked"",LET(a,FILTER($AB$15:$AB$44,$D$15:$D$44=D17,$AA$15:$AA$44=1),cohort_size,ROWS(a),IF(cohort_size&lt;MAX(3,Rules!$B$12),""Unranked"",IF(MAX(a)=MIN(a),50,100*(SUMPRODUCT(N(a&lt;AB17))+(SUMPRODUCT(N(a=AB17))-1)/2)/(cohort_size-1))))),"&amp;"""Unranked"")"),100.0)</f>
        <v>100</v>
      </c>
      <c r="AN17" s="111">
        <f>IFERROR(__xludf.DUMMYFUNCTION("IFERROR(IF(AA17&lt;&gt;1,""Unranked"",LET(a,FILTER($O$15:$O$44,$D$15:$D$44=D17,$AA$15:$AA$44=1),cohort_size,ROWS(a),IF(cohort_size&lt;MAX(3,Rules!$B$12),""Unranked"",IF(MAX(a)=MIN(a),50,100*(SUMPRODUCT(N(a&lt;O17))+(SUMPRODUCT(N(a=O17))-1)/2)/(cohort_size-1))))),""Un"&amp;"ranked"")"),100.0)</f>
        <v>100</v>
      </c>
      <c r="AO17" s="111">
        <f>IFERROR(__xludf.DUMMYFUNCTION("IFERROR(IF(AA17&lt;&gt;1,""Unranked"",LET(a,FILTER($P$15:$P$44,$D$15:$D$44=D17,$AA$15:$AA$44=1),cohort_size,ROWS(a),IF(cohort_size&lt;MAX(3,Rules!$B$12),""Unranked"",IF(MAX(a)=MIN(a),50,100*(SUMPRODUCT(N(a&lt;P17))+(SUMPRODUCT(N(a=P17))-1)/2)/(cohort_size-1))))),""Un"&amp;"ranked"")"),0.0)</f>
        <v>0</v>
      </c>
      <c r="AP17" s="111">
        <f t="shared" si="7"/>
        <v>50</v>
      </c>
      <c r="AQ17" s="111">
        <f>IF(AND(AA17=1,AD17&gt;=MAX(3,Rules!$B$12),COUNT(AG17,AL17,AM17,AP17)=4,MIN(AG17,AL17,AM17,AP17)&gt;=0,MAX(AG17,AL17,AM17,AP17)&lt;=100),1,0)</f>
        <v>1</v>
      </c>
      <c r="AR17" s="105" t="s">
        <v>1290</v>
      </c>
      <c r="AS17" s="105" t="s">
        <v>1274</v>
      </c>
    </row>
    <row r="18" ht="52.5" customHeight="1">
      <c r="A18" s="132" t="s">
        <v>298</v>
      </c>
      <c r="B18" s="132" t="s">
        <v>299</v>
      </c>
      <c r="C18" s="132" t="s">
        <v>301</v>
      </c>
      <c r="D18" s="132" t="s">
        <v>1291</v>
      </c>
      <c r="E18" s="133" t="s">
        <v>249</v>
      </c>
      <c r="F18" s="134">
        <v>617.01</v>
      </c>
      <c r="G18" s="135">
        <v>46297.0</v>
      </c>
      <c r="H18" s="134">
        <v>97.929</v>
      </c>
      <c r="I18" s="136" t="s">
        <v>1266</v>
      </c>
      <c r="J18" s="135">
        <v>46298.0</v>
      </c>
      <c r="K18" s="134">
        <v>29.68</v>
      </c>
      <c r="L18" s="134">
        <v>18.5</v>
      </c>
      <c r="M18" s="137">
        <v>0.0361</v>
      </c>
      <c r="N18" s="134">
        <v>7.26</v>
      </c>
      <c r="O18" s="137">
        <v>0.1992</v>
      </c>
      <c r="P18" s="137">
        <v>0.2769</v>
      </c>
      <c r="Q18" s="132" t="s">
        <v>1206</v>
      </c>
      <c r="R18" s="134">
        <v>94.193</v>
      </c>
      <c r="S18" s="132" t="s">
        <v>1267</v>
      </c>
      <c r="T18" s="134">
        <v>79.99</v>
      </c>
      <c r="U18" s="134">
        <v>11.03</v>
      </c>
      <c r="V18" s="134">
        <v>6.73</v>
      </c>
      <c r="W18" s="138" t="s">
        <v>1293</v>
      </c>
      <c r="X18" s="138" t="s">
        <v>1294</v>
      </c>
      <c r="Y18" s="138" t="s">
        <v>1295</v>
      </c>
      <c r="Z18" s="133" t="s">
        <v>249</v>
      </c>
      <c r="AA18" s="111">
        <f>IFERROR(IF(AND(COUNTIF($A$15:$A$44,A18)=1,Z18="Yes",ISNUMBER(F18),F18&gt;=MAX(10,Rules!$B$22),ISNUMBER(G18),G18&lt;=Rules!$B$6,Rules!$B$6-G18&lt;=Rules!$B$10,ISNUMBER(J18),J18=Rules!$B$6,DATEVALUE("1 "&amp;I18)&lt;=Rules!$B$6,Rules!$B$6-DATEVALUE("1 "&amp;I18)&lt;=Rules!$B$11,COUNT(H18,K18:L18,O18:P18,R18,T18)=7,MIN(H18,K18:L18,R18,T18)&gt;0,RIGHT(Q18,4)-RIGHT(S18,4)=3,IF(C18="Utilities",AND(ISNUMBER(N18),N18&gt;0),ISNUMBER(M18)),D18&lt;&gt;"",W18&lt;&gt;"",X18&lt;&gt;""),1,0),0)</f>
        <v>1</v>
      </c>
      <c r="AB18" s="128">
        <f t="shared" si="1"/>
        <v>0.05599284954</v>
      </c>
      <c r="AC18" s="128">
        <f t="shared" si="2"/>
        <v>0.1790172233</v>
      </c>
      <c r="AD18" s="111">
        <f t="shared" si="3"/>
        <v>3</v>
      </c>
      <c r="AE18" s="111">
        <f>IFERROR(__xludf.DUMMYFUNCTION("IFERROR(IF(AA18&lt;&gt;1,""Unranked"",LET(a,FILTER($F$15:$F$44,$D$15:$D$44=D18,$AA$15:$AA$44=1),cohort_size,ROWS(a),IF(cohort_size&lt;MAX(3,Rules!$B$12),""Unranked"",IF(MAX(a)=MIN(a),50,100*(SUMPRODUCT(N(a&lt;F18))+(SUMPRODUCT(N(a=F18))-1)/2)/(cohort_size-1))))),""Un"&amp;"ranked"")"),100.0)</f>
        <v>100</v>
      </c>
      <c r="AF18" s="111">
        <f>IFERROR(__xludf.DUMMYFUNCTION("IFERROR(IF(AA18&lt;&gt;1,""Unranked"",LET(a,FILTER($H$15:$H$44,$D$15:$D$44=D18,$AA$15:$AA$44=1),cohort_size,ROWS(a),IF(cohort_size&lt;MAX(3,Rules!$B$12),""Unranked"",IF(MAX(a)=MIN(a),50,100*(SUMPRODUCT(N(a&lt;H18))+(SUMPRODUCT(N(a=H18))-1)/2)/(cohort_size-1))))),""Un"&amp;"ranked"")"),100.0)</f>
        <v>100</v>
      </c>
      <c r="AG18" s="111">
        <f t="shared" si="4"/>
        <v>100</v>
      </c>
      <c r="AH18" s="111">
        <f>IFERROR(__xludf.DUMMYFUNCTION("IFERROR(IF(AA18&lt;&gt;1,""Unranked"",100-LET(a,FILTER($K$15:$K$44,$D$15:$D$44=D18,$AA$15:$AA$44=1),cohort_size,ROWS(a),IF(cohort_size&lt;MAX(3,Rules!$B$12),""Unranked"",IF(MAX(a)=MIN(a),50,100*(SUMPRODUCT(N(a&lt;K18))+(SUMPRODUCT(N(a=K18))-1)/2)/(cohort_size-1))))),"&amp;"""Unranked"")"),100.0)</f>
        <v>100</v>
      </c>
      <c r="AI18" s="111">
        <f>IFERROR(__xludf.DUMMYFUNCTION("IFERROR(IF(AA18&lt;&gt;1,""Unranked"",100-LET(a,FILTER($L$15:$L$44,$D$15:$D$44=D18,$AA$15:$AA$44=1),cohort_size,ROWS(a),IF(cohort_size&lt;MAX(3,Rules!$B$12),""Unranked"",IF(MAX(a)=MIN(a),50,100*(SUMPRODUCT(N(a&lt;L18))+(SUMPRODUCT(N(a=L18))-1)/2)/(cohort_size-1))))),"&amp;"""Unranked"")"),0.0)</f>
        <v>0</v>
      </c>
      <c r="AJ18" s="111">
        <f>IFERROR(__xludf.DUMMYFUNCTION("IFERROR(IF(AA18&lt;&gt;1,""Unranked"",LET(a,FILTER($M$15:$M$44,$D$15:$D$44=D18,$AA$15:$AA$44=1),cohort_size,ROWS(a),IF(cohort_size&lt;MAX(3,Rules!$B$12),""Unranked"",IF(MAX(a)=MIN(a),50,100*(SUMPRODUCT(N(a&lt;M18))+(SUMPRODUCT(N(a=M18))-1)/2)/(cohort_size-1))))),""Un"&amp;"ranked"")"),0.0)</f>
        <v>0</v>
      </c>
      <c r="AK18" s="139" t="str">
        <f t="shared" si="5"/>
        <v>Not used</v>
      </c>
      <c r="AL18" s="111">
        <f t="shared" si="6"/>
        <v>35</v>
      </c>
      <c r="AM18" s="111">
        <f>IFERROR(__xludf.DUMMYFUNCTION("IFERROR(IF(AA18&lt;&gt;1,""Unranked"",LET(a,FILTER($AB$15:$AB$44,$D$15:$D$44=D18,$AA$15:$AA$44=1),cohort_size,ROWS(a),IF(cohort_size&lt;MAX(3,Rules!$B$12),""Unranked"",IF(MAX(a)=MIN(a),50,100*(SUMPRODUCT(N(a&lt;AB18))+(SUMPRODUCT(N(a=AB18))-1)/2)/(cohort_size-1))))),"&amp;"""Unranked"")"),100.0)</f>
        <v>100</v>
      </c>
      <c r="AN18" s="111">
        <f>IFERROR(__xludf.DUMMYFUNCTION("IFERROR(IF(AA18&lt;&gt;1,""Unranked"",LET(a,FILTER($O$15:$O$44,$D$15:$D$44=D18,$AA$15:$AA$44=1),cohort_size,ROWS(a),IF(cohort_size&lt;MAX(3,Rules!$B$12),""Unranked"",IF(MAX(a)=MIN(a),50,100*(SUMPRODUCT(N(a&lt;O18))+(SUMPRODUCT(N(a=O18))-1)/2)/(cohort_size-1))))),""Un"&amp;"ranked"")"),100.0)</f>
        <v>100</v>
      </c>
      <c r="AO18" s="111">
        <f>IFERROR(__xludf.DUMMYFUNCTION("IFERROR(IF(AA18&lt;&gt;1,""Unranked"",LET(a,FILTER($P$15:$P$44,$D$15:$D$44=D18,$AA$15:$AA$44=1),cohort_size,ROWS(a),IF(cohort_size&lt;MAX(3,Rules!$B$12),""Unranked"",IF(MAX(a)=MIN(a),50,100*(SUMPRODUCT(N(a&lt;P18))+(SUMPRODUCT(N(a=P18))-1)/2)/(cohort_size-1))))),""Un"&amp;"ranked"")"),0.0)</f>
        <v>0</v>
      </c>
      <c r="AP18" s="111">
        <f t="shared" si="7"/>
        <v>50</v>
      </c>
      <c r="AQ18" s="111">
        <f>IF(AND(AA18=1,AD18&gt;=MAX(3,Rules!$B$12),COUNT(AG18,AL18,AM18,AP18)=4,MIN(AG18,AL18,AM18,AP18)&gt;=0,MAX(AG18,AL18,AM18,AP18)&lt;=100),1,0)</f>
        <v>1</v>
      </c>
      <c r="AR18" s="105" t="s">
        <v>300</v>
      </c>
      <c r="AS18" s="105" t="s">
        <v>1274</v>
      </c>
    </row>
    <row r="19" ht="52.5" customHeight="1">
      <c r="A19" s="132" t="s">
        <v>1297</v>
      </c>
      <c r="B19" s="132" t="s">
        <v>1298</v>
      </c>
      <c r="C19" s="132" t="s">
        <v>301</v>
      </c>
      <c r="D19" s="132" t="s">
        <v>1291</v>
      </c>
      <c r="E19" s="133" t="s">
        <v>59</v>
      </c>
      <c r="F19" s="134">
        <v>158.45</v>
      </c>
      <c r="G19" s="135">
        <v>46297.0</v>
      </c>
      <c r="H19" s="134">
        <v>63.696</v>
      </c>
      <c r="I19" s="136" t="s">
        <v>1266</v>
      </c>
      <c r="J19" s="135">
        <v>46298.0</v>
      </c>
      <c r="K19" s="134">
        <v>36.54</v>
      </c>
      <c r="L19" s="134">
        <v>8.28</v>
      </c>
      <c r="M19" s="137">
        <v>0.0693</v>
      </c>
      <c r="N19" s="134">
        <v>1.86</v>
      </c>
      <c r="O19" s="137">
        <v>0.1349</v>
      </c>
      <c r="P19" s="137">
        <v>0.2958</v>
      </c>
      <c r="Q19" s="132" t="s">
        <v>1206</v>
      </c>
      <c r="R19" s="134">
        <v>62.579</v>
      </c>
      <c r="S19" s="132" t="s">
        <v>1267</v>
      </c>
      <c r="T19" s="134">
        <v>101.175</v>
      </c>
      <c r="U19" s="134">
        <v>1.36</v>
      </c>
      <c r="V19" s="134">
        <v>5.47</v>
      </c>
      <c r="W19" s="138" t="s">
        <v>1300</v>
      </c>
      <c r="X19" s="138" t="s">
        <v>1301</v>
      </c>
      <c r="Y19" s="138" t="s">
        <v>1302</v>
      </c>
      <c r="Z19" s="133" t="s">
        <v>249</v>
      </c>
      <c r="AA19" s="111">
        <f>IFERROR(IF(AND(COUNTIF($A$15:$A$44,A19)=1,Z19="Yes",ISNUMBER(F19),F19&gt;=MAX(10,Rules!$B$22),ISNUMBER(G19),G19&lt;=Rules!$B$6,Rules!$B$6-G19&lt;=Rules!$B$10,ISNUMBER(J19),J19=Rules!$B$6,DATEVALUE("1 "&amp;I19)&lt;=Rules!$B$6,Rules!$B$6-DATEVALUE("1 "&amp;I19)&lt;=Rules!$B$11,COUNT(H19,K19:L19,O19:P19,R19,T19)=7,MIN(H19,K19:L19,R19,T19)&gt;0,RIGHT(Q19,4)-RIGHT(S19,4)=3,IF(C19="Utilities",AND(ISNUMBER(N19),N19&gt;0),ISNUMBER(M19)),D19&lt;&gt;"",W19&lt;&gt;"",X19&lt;&gt;""),1,0),0)</f>
        <v>1</v>
      </c>
      <c r="AB19" s="128">
        <f t="shared" si="1"/>
        <v>-0.1479760516</v>
      </c>
      <c r="AC19" s="128">
        <f t="shared" si="2"/>
        <v>-0.3711932515</v>
      </c>
      <c r="AD19" s="111">
        <f t="shared" si="3"/>
        <v>3</v>
      </c>
      <c r="AE19" s="111">
        <f>IFERROR(__xludf.DUMMYFUNCTION("IFERROR(IF(AA19&lt;&gt;1,""Unranked"",LET(a,FILTER($F$15:$F$44,$D$15:$D$44=D19,$AA$15:$AA$44=1),cohort_size,ROWS(a),IF(cohort_size&lt;MAX(3,Rules!$B$12),""Unranked"",IF(MAX(a)=MIN(a),50,100*(SUMPRODUCT(N(a&lt;F19))+(SUMPRODUCT(N(a=F19))-1)/2)/(cohort_size-1))))),""Un"&amp;"ranked"")"),0.0)</f>
        <v>0</v>
      </c>
      <c r="AF19" s="111">
        <f>IFERROR(__xludf.DUMMYFUNCTION("IFERROR(IF(AA19&lt;&gt;1,""Unranked"",LET(a,FILTER($H$15:$H$44,$D$15:$D$44=D19,$AA$15:$AA$44=1),cohort_size,ROWS(a),IF(cohort_size&lt;MAX(3,Rules!$B$12),""Unranked"",IF(MAX(a)=MIN(a),50,100*(SUMPRODUCT(N(a&lt;H19))+(SUMPRODUCT(N(a=H19))-1)/2)/(cohort_size-1))))),""Un"&amp;"ranked"")"),0.0)</f>
        <v>0</v>
      </c>
      <c r="AG19" s="111">
        <f t="shared" si="4"/>
        <v>0</v>
      </c>
      <c r="AH19" s="111">
        <f>IFERROR(__xludf.DUMMYFUNCTION("IFERROR(IF(AA19&lt;&gt;1,""Unranked"",100-LET(a,FILTER($K$15:$K$44,$D$15:$D$44=D19,$AA$15:$AA$44=1),cohort_size,ROWS(a),IF(cohort_size&lt;MAX(3,Rules!$B$12),""Unranked"",IF(MAX(a)=MIN(a),50,100*(SUMPRODUCT(N(a&lt;K19))+(SUMPRODUCT(N(a=K19))-1)/2)/(cohort_size-1))))),"&amp;"""Unranked"")"),50.0)</f>
        <v>50</v>
      </c>
      <c r="AI19" s="111">
        <f>IFERROR(__xludf.DUMMYFUNCTION("IFERROR(IF(AA19&lt;&gt;1,""Unranked"",100-LET(a,FILTER($L$15:$L$44,$D$15:$D$44=D19,$AA$15:$AA$44=1),cohort_size,ROWS(a),IF(cohort_size&lt;MAX(3,Rules!$B$12),""Unranked"",IF(MAX(a)=MIN(a),50,100*(SUMPRODUCT(N(a&lt;L19))+(SUMPRODUCT(N(a=L19))-1)/2)/(cohort_size-1))))),"&amp;"""Unranked"")"),100.0)</f>
        <v>100</v>
      </c>
      <c r="AJ19" s="111">
        <f>IFERROR(__xludf.DUMMYFUNCTION("IFERROR(IF(AA19&lt;&gt;1,""Unranked"",LET(a,FILTER($M$15:$M$44,$D$15:$D$44=D19,$AA$15:$AA$44=1),cohort_size,ROWS(a),IF(cohort_size&lt;MAX(3,Rules!$B$12),""Unranked"",IF(MAX(a)=MIN(a),50,100*(SUMPRODUCT(N(a&lt;M19))+(SUMPRODUCT(N(a=M19))-1)/2)/(cohort_size-1))))),""Un"&amp;"ranked"")"),100.0)</f>
        <v>100</v>
      </c>
      <c r="AK19" s="139" t="str">
        <f t="shared" si="5"/>
        <v>Not used</v>
      </c>
      <c r="AL19" s="111">
        <f t="shared" si="6"/>
        <v>82.5</v>
      </c>
      <c r="AM19" s="111">
        <f>IFERROR(__xludf.DUMMYFUNCTION("IFERROR(IF(AA19&lt;&gt;1,""Unranked"",LET(a,FILTER($AB$15:$AB$44,$D$15:$D$44=D19,$AA$15:$AA$44=1),cohort_size,ROWS(a),IF(cohort_size&lt;MAX(3,Rules!$B$12),""Unranked"",IF(MAX(a)=MIN(a),50,100*(SUMPRODUCT(N(a&lt;AB19))+(SUMPRODUCT(N(a=AB19))-1)/2)/(cohort_size-1))))),"&amp;"""Unranked"")"),0.0)</f>
        <v>0</v>
      </c>
      <c r="AN19" s="111">
        <f>IFERROR(__xludf.DUMMYFUNCTION("IFERROR(IF(AA19&lt;&gt;1,""Unranked"",LET(a,FILTER($O$15:$O$44,$D$15:$D$44=D19,$AA$15:$AA$44=1),cohort_size,ROWS(a),IF(cohort_size&lt;MAX(3,Rules!$B$12),""Unranked"",IF(MAX(a)=MIN(a),50,100*(SUMPRODUCT(N(a&lt;O19))+(SUMPRODUCT(N(a=O19))-1)/2)/(cohort_size-1))))),""Un"&amp;"ranked"")"),0.0)</f>
        <v>0</v>
      </c>
      <c r="AO19" s="111">
        <f>IFERROR(__xludf.DUMMYFUNCTION("IFERROR(IF(AA19&lt;&gt;1,""Unranked"",LET(a,FILTER($P$15:$P$44,$D$15:$D$44=D19,$AA$15:$AA$44=1),cohort_size,ROWS(a),IF(cohort_size&lt;MAX(3,Rules!$B$12),""Unranked"",IF(MAX(a)=MIN(a),50,100*(SUMPRODUCT(N(a&lt;P19))+(SUMPRODUCT(N(a=P19))-1)/2)/(cohort_size-1))))),""Un"&amp;"ranked"")"),50.0)</f>
        <v>50</v>
      </c>
      <c r="AP19" s="111">
        <f t="shared" si="7"/>
        <v>25</v>
      </c>
      <c r="AQ19" s="111">
        <f>IF(AND(AA19=1,AD19&gt;=MAX(3,Rules!$B$12),COUNT(AG19,AL19,AM19,AP19)=4,MIN(AG19,AL19,AM19,AP19)&gt;=0,MAX(AG19,AL19,AM19,AP19)&lt;=100),1,0)</f>
        <v>1</v>
      </c>
      <c r="AR19" s="105" t="s">
        <v>1303</v>
      </c>
      <c r="AS19" s="105" t="s">
        <v>1274</v>
      </c>
    </row>
    <row r="20" ht="52.5" customHeight="1">
      <c r="A20" s="132" t="s">
        <v>1305</v>
      </c>
      <c r="B20" s="132" t="s">
        <v>1306</v>
      </c>
      <c r="C20" s="132" t="s">
        <v>301</v>
      </c>
      <c r="D20" s="132" t="s">
        <v>1291</v>
      </c>
      <c r="E20" s="133" t="s">
        <v>59</v>
      </c>
      <c r="F20" s="134">
        <v>356.01</v>
      </c>
      <c r="G20" s="135">
        <v>46297.0</v>
      </c>
      <c r="H20" s="134">
        <v>66.569</v>
      </c>
      <c r="I20" s="136" t="s">
        <v>1266</v>
      </c>
      <c r="J20" s="135">
        <v>46298.0</v>
      </c>
      <c r="K20" s="134">
        <v>113.37</v>
      </c>
      <c r="L20" s="134">
        <v>13.95</v>
      </c>
      <c r="M20" s="137">
        <v>0.0451</v>
      </c>
      <c r="N20" s="134">
        <v>8.5</v>
      </c>
      <c r="O20" s="137">
        <v>0.1405</v>
      </c>
      <c r="P20" s="137">
        <v>0.3528</v>
      </c>
      <c r="Q20" s="132" t="s">
        <v>1206</v>
      </c>
      <c r="R20" s="134">
        <v>65.011</v>
      </c>
      <c r="S20" s="132" t="s">
        <v>1267</v>
      </c>
      <c r="T20" s="134">
        <v>59.283</v>
      </c>
      <c r="U20" s="134">
        <v>7.28</v>
      </c>
      <c r="V20" s="134">
        <v>5.71</v>
      </c>
      <c r="W20" s="138" t="s">
        <v>1307</v>
      </c>
      <c r="X20" s="138" t="s">
        <v>1308</v>
      </c>
      <c r="Y20" s="138" t="s">
        <v>1309</v>
      </c>
      <c r="Z20" s="133" t="s">
        <v>249</v>
      </c>
      <c r="AA20" s="111">
        <f>IFERROR(IF(AND(COUNTIF($A$15:$A$44,A20)=1,Z20="Yes",ISNUMBER(F20),F20&gt;=MAX(10,Rules!$B$22),ISNUMBER(G20),G20&lt;=Rules!$B$6,Rules!$B$6-G20&lt;=Rules!$B$10,ISNUMBER(J20),J20=Rules!$B$6,DATEVALUE("1 "&amp;I20)&lt;=Rules!$B$6,Rules!$B$6-DATEVALUE("1 "&amp;I20)&lt;=Rules!$B$11,COUNT(H20,K20:L20,O20:P20,R20,T20)=7,MIN(H20,K20:L20,R20,T20)&gt;0,RIGHT(Q20,4)-RIGHT(S20,4)=3,IF(C20="Utilities",AND(ISNUMBER(N20),N20&gt;0),ISNUMBER(M20)),D20&lt;&gt;"",W20&lt;&gt;"",X20&lt;&gt;""),1,0),0)</f>
        <v>1</v>
      </c>
      <c r="AB20" s="128">
        <f t="shared" si="1"/>
        <v>0.03122213028</v>
      </c>
      <c r="AC20" s="128">
        <f t="shared" si="2"/>
        <v>0.08433903046</v>
      </c>
      <c r="AD20" s="111">
        <f t="shared" si="3"/>
        <v>3</v>
      </c>
      <c r="AE20" s="111">
        <f>IFERROR(__xludf.DUMMYFUNCTION("IFERROR(IF(AA20&lt;&gt;1,""Unranked"",LET(a,FILTER($F$15:$F$44,$D$15:$D$44=D20,$AA$15:$AA$44=1),cohort_size,ROWS(a),IF(cohort_size&lt;MAX(3,Rules!$B$12),""Unranked"",IF(MAX(a)=MIN(a),50,100*(SUMPRODUCT(N(a&lt;F20))+(SUMPRODUCT(N(a=F20))-1)/2)/(cohort_size-1))))),""Un"&amp;"ranked"")"),50.0)</f>
        <v>50</v>
      </c>
      <c r="AF20" s="111">
        <f>IFERROR(__xludf.DUMMYFUNCTION("IFERROR(IF(AA20&lt;&gt;1,""Unranked"",LET(a,FILTER($H$15:$H$44,$D$15:$D$44=D20,$AA$15:$AA$44=1),cohort_size,ROWS(a),IF(cohort_size&lt;MAX(3,Rules!$B$12),""Unranked"",IF(MAX(a)=MIN(a),50,100*(SUMPRODUCT(N(a&lt;H20))+(SUMPRODUCT(N(a=H20))-1)/2)/(cohort_size-1))))),""Un"&amp;"ranked"")"),50.0)</f>
        <v>50</v>
      </c>
      <c r="AG20" s="111">
        <f t="shared" si="4"/>
        <v>50</v>
      </c>
      <c r="AH20" s="111">
        <f>IFERROR(__xludf.DUMMYFUNCTION("IFERROR(IF(AA20&lt;&gt;1,""Unranked"",100-LET(a,FILTER($K$15:$K$44,$D$15:$D$44=D20,$AA$15:$AA$44=1),cohort_size,ROWS(a),IF(cohort_size&lt;MAX(3,Rules!$B$12),""Unranked"",IF(MAX(a)=MIN(a),50,100*(SUMPRODUCT(N(a&lt;K20))+(SUMPRODUCT(N(a=K20))-1)/2)/(cohort_size-1))))),"&amp;"""Unranked"")"),0.0)</f>
        <v>0</v>
      </c>
      <c r="AI20" s="111">
        <f>IFERROR(__xludf.DUMMYFUNCTION("IFERROR(IF(AA20&lt;&gt;1,""Unranked"",100-LET(a,FILTER($L$15:$L$44,$D$15:$D$44=D20,$AA$15:$AA$44=1),cohort_size,ROWS(a),IF(cohort_size&lt;MAX(3,Rules!$B$12),""Unranked"",IF(MAX(a)=MIN(a),50,100*(SUMPRODUCT(N(a&lt;L20))+(SUMPRODUCT(N(a=L20))-1)/2)/(cohort_size-1))))),"&amp;"""Unranked"")"),50.0)</f>
        <v>50</v>
      </c>
      <c r="AJ20" s="111">
        <f>IFERROR(__xludf.DUMMYFUNCTION("IFERROR(IF(AA20&lt;&gt;1,""Unranked"",LET(a,FILTER($M$15:$M$44,$D$15:$D$44=D20,$AA$15:$AA$44=1),cohort_size,ROWS(a),IF(cohort_size&lt;MAX(3,Rules!$B$12),""Unranked"",IF(MAX(a)=MIN(a),50,100*(SUMPRODUCT(N(a&lt;M20))+(SUMPRODUCT(N(a=M20))-1)/2)/(cohort_size-1))))),""Un"&amp;"ranked"")"),50.0)</f>
        <v>50</v>
      </c>
      <c r="AK20" s="139" t="str">
        <f t="shared" si="5"/>
        <v>Not used</v>
      </c>
      <c r="AL20" s="111">
        <f t="shared" si="6"/>
        <v>32.5</v>
      </c>
      <c r="AM20" s="111">
        <f>IFERROR(__xludf.DUMMYFUNCTION("IFERROR(IF(AA20&lt;&gt;1,""Unranked"",LET(a,FILTER($AB$15:$AB$44,$D$15:$D$44=D20,$AA$15:$AA$44=1),cohort_size,ROWS(a),IF(cohort_size&lt;MAX(3,Rules!$B$12),""Unranked"",IF(MAX(a)=MIN(a),50,100*(SUMPRODUCT(N(a&lt;AB20))+(SUMPRODUCT(N(a=AB20))-1)/2)/(cohort_size-1))))),"&amp;"""Unranked"")"),50.0)</f>
        <v>50</v>
      </c>
      <c r="AN20" s="111">
        <f>IFERROR(__xludf.DUMMYFUNCTION("IFERROR(IF(AA20&lt;&gt;1,""Unranked"",LET(a,FILTER($O$15:$O$44,$D$15:$D$44=D20,$AA$15:$AA$44=1),cohort_size,ROWS(a),IF(cohort_size&lt;MAX(3,Rules!$B$12),""Unranked"",IF(MAX(a)=MIN(a),50,100*(SUMPRODUCT(N(a&lt;O20))+(SUMPRODUCT(N(a=O20))-1)/2)/(cohort_size-1))))),""Un"&amp;"ranked"")"),50.0)</f>
        <v>50</v>
      </c>
      <c r="AO20" s="111">
        <f>IFERROR(__xludf.DUMMYFUNCTION("IFERROR(IF(AA20&lt;&gt;1,""Unranked"",LET(a,FILTER($P$15:$P$44,$D$15:$D$44=D20,$AA$15:$AA$44=1),cohort_size,ROWS(a),IF(cohort_size&lt;MAX(3,Rules!$B$12),""Unranked"",IF(MAX(a)=MIN(a),50,100*(SUMPRODUCT(N(a&lt;P20))+(SUMPRODUCT(N(a=P20))-1)/2)/(cohort_size-1))))),""Un"&amp;"ranked"")"),100.0)</f>
        <v>100</v>
      </c>
      <c r="AP20" s="111">
        <f t="shared" si="7"/>
        <v>75</v>
      </c>
      <c r="AQ20" s="111">
        <f>IF(AND(AA20=1,AD20&gt;=MAX(3,Rules!$B$12),COUNT(AG20,AL20,AM20,AP20)=4,MIN(AG20,AL20,AM20,AP20)&gt;=0,MAX(AG20,AL20,AM20,AP20)&lt;=100),1,0)</f>
        <v>1</v>
      </c>
      <c r="AR20" s="105" t="s">
        <v>1312</v>
      </c>
      <c r="AS20" s="105" t="s">
        <v>1274</v>
      </c>
    </row>
    <row r="21" ht="52.5" customHeight="1">
      <c r="A21" s="132" t="s">
        <v>304</v>
      </c>
      <c r="B21" s="132" t="s">
        <v>305</v>
      </c>
      <c r="C21" s="132" t="s">
        <v>307</v>
      </c>
      <c r="D21" s="132" t="s">
        <v>1313</v>
      </c>
      <c r="E21" s="133" t="s">
        <v>249</v>
      </c>
      <c r="F21" s="134">
        <v>336.58</v>
      </c>
      <c r="G21" s="135">
        <v>46297.0</v>
      </c>
      <c r="H21" s="134">
        <v>87.032</v>
      </c>
      <c r="I21" s="136" t="s">
        <v>1266</v>
      </c>
      <c r="J21" s="135">
        <v>46298.0</v>
      </c>
      <c r="K21" s="134">
        <v>21.88</v>
      </c>
      <c r="L21" s="134">
        <v>14.61</v>
      </c>
      <c r="M21" s="137">
        <v>0.045</v>
      </c>
      <c r="N21" s="134">
        <v>6.32</v>
      </c>
      <c r="O21" s="137">
        <v>0.2154</v>
      </c>
      <c r="P21" s="137">
        <v>0.2481</v>
      </c>
      <c r="Q21" s="132" t="s">
        <v>1207</v>
      </c>
      <c r="R21" s="134">
        <v>87.032</v>
      </c>
      <c r="S21" s="132" t="s">
        <v>1314</v>
      </c>
      <c r="T21" s="134">
        <v>82.006</v>
      </c>
      <c r="U21" s="134">
        <v>6.62</v>
      </c>
      <c r="V21" s="134">
        <v>5.9</v>
      </c>
      <c r="W21" s="138" t="s">
        <v>1315</v>
      </c>
      <c r="X21" s="138" t="s">
        <v>1316</v>
      </c>
      <c r="Y21" s="138" t="s">
        <v>1317</v>
      </c>
      <c r="Z21" s="133" t="s">
        <v>249</v>
      </c>
      <c r="AA21" s="111">
        <f>IFERROR(IF(AND(COUNTIF($A$15:$A$44,A21)=1,Z21="Yes",ISNUMBER(F21),F21&gt;=MAX(10,Rules!$B$22),ISNUMBER(G21),G21&lt;=Rules!$B$6,Rules!$B$6-G21&lt;=Rules!$B$10,ISNUMBER(J21),J21=Rules!$B$6,DATEVALUE("1 "&amp;I21)&lt;=Rules!$B$6,Rules!$B$6-DATEVALUE("1 "&amp;I21)&lt;=Rules!$B$11,COUNT(H21,K21:L21,O21:P21,R21,T21)=7,MIN(H21,K21:L21,R21,T21)&gt;0,RIGHT(Q21,4)-RIGHT(S21,4)=3,IF(C21="Utilities",AND(ISNUMBER(N21),N21&gt;0),ISNUMBER(M21)),D21&lt;&gt;"",W21&lt;&gt;"",X21&lt;&gt;""),1,0),0)</f>
        <v>1</v>
      </c>
      <c r="AB21" s="128">
        <f t="shared" si="1"/>
        <v>0.02002569409</v>
      </c>
      <c r="AC21" s="128">
        <f t="shared" si="2"/>
        <v>0.03912707147</v>
      </c>
      <c r="AD21" s="111">
        <f t="shared" si="3"/>
        <v>3</v>
      </c>
      <c r="AE21" s="111">
        <f>IFERROR(__xludf.DUMMYFUNCTION("IFERROR(IF(AA21&lt;&gt;1,""Unranked"",LET(a,FILTER($F$15:$F$44,$D$15:$D$44=D21,$AA$15:$AA$44=1),cohort_size,ROWS(a),IF(cohort_size&lt;MAX(3,Rules!$B$12),""Unranked"",IF(MAX(a)=MIN(a),50,100*(SUMPRODUCT(N(a&lt;F21))+(SUMPRODUCT(N(a=F21))-1)/2)/(cohort_size-1))))),""Un"&amp;"ranked"")"),100.0)</f>
        <v>100</v>
      </c>
      <c r="AF21" s="111">
        <f>IFERROR(__xludf.DUMMYFUNCTION("IFERROR(IF(AA21&lt;&gt;1,""Unranked"",LET(a,FILTER($H$15:$H$44,$D$15:$D$44=D21,$AA$15:$AA$44=1),cohort_size,ROWS(a),IF(cohort_size&lt;MAX(3,Rules!$B$12),""Unranked"",IF(MAX(a)=MIN(a),50,100*(SUMPRODUCT(N(a&lt;H21))+(SUMPRODUCT(N(a=H21))-1)/2)/(cohort_size-1))))),""Un"&amp;"ranked"")"),100.0)</f>
        <v>100</v>
      </c>
      <c r="AG21" s="111">
        <f t="shared" si="4"/>
        <v>100</v>
      </c>
      <c r="AH21" s="111">
        <f>IFERROR(__xludf.DUMMYFUNCTION("IFERROR(IF(AA21&lt;&gt;1,""Unranked"",100-LET(a,FILTER($K$15:$K$44,$D$15:$D$44=D21,$AA$15:$AA$44=1),cohort_size,ROWS(a),IF(cohort_size&lt;MAX(3,Rules!$B$12),""Unranked"",IF(MAX(a)=MIN(a),50,100*(SUMPRODUCT(N(a&lt;K21))+(SUMPRODUCT(N(a=K21))-1)/2)/(cohort_size-1))))),"&amp;"""Unranked"")"),100.0)</f>
        <v>100</v>
      </c>
      <c r="AI21" s="111">
        <f>IFERROR(__xludf.DUMMYFUNCTION("IFERROR(IF(AA21&lt;&gt;1,""Unranked"",100-LET(a,FILTER($L$15:$L$44,$D$15:$D$44=D21,$AA$15:$AA$44=1),cohort_size,ROWS(a),IF(cohort_size&lt;MAX(3,Rules!$B$12),""Unranked"",IF(MAX(a)=MIN(a),50,100*(SUMPRODUCT(N(a&lt;L21))+(SUMPRODUCT(N(a=L21))-1)/2)/(cohort_size-1))))),"&amp;"""Unranked"")"),100.0)</f>
        <v>100</v>
      </c>
      <c r="AJ21" s="111">
        <f>IFERROR(__xludf.DUMMYFUNCTION("IFERROR(IF(AA21&lt;&gt;1,""Unranked"",LET(a,FILTER($M$15:$M$44,$D$15:$D$44=D21,$AA$15:$AA$44=1),cohort_size,ROWS(a),IF(cohort_size&lt;MAX(3,Rules!$B$12),""Unranked"",IF(MAX(a)=MIN(a),50,100*(SUMPRODUCT(N(a&lt;M21))+(SUMPRODUCT(N(a=M21))-1)/2)/(cohort_size-1))))),""Un"&amp;"ranked"")"),0.0)</f>
        <v>0</v>
      </c>
      <c r="AK21" s="139" t="str">
        <f t="shared" si="5"/>
        <v>Not used</v>
      </c>
      <c r="AL21" s="111">
        <f t="shared" si="6"/>
        <v>70</v>
      </c>
      <c r="AM21" s="111">
        <f>IFERROR(__xludf.DUMMYFUNCTION("IFERROR(IF(AA21&lt;&gt;1,""Unranked"",LET(a,FILTER($AB$15:$AB$44,$D$15:$D$44=D21,$AA$15:$AA$44=1),cohort_size,ROWS(a),IF(cohort_size&lt;MAX(3,Rules!$B$12),""Unranked"",IF(MAX(a)=MIN(a),50,100*(SUMPRODUCT(N(a&lt;AB21))+(SUMPRODUCT(N(a=AB21))-1)/2)/(cohort_size-1))))),"&amp;"""Unranked"")"),0.0)</f>
        <v>0</v>
      </c>
      <c r="AN21" s="111">
        <f>IFERROR(__xludf.DUMMYFUNCTION("IFERROR(IF(AA21&lt;&gt;1,""Unranked"",LET(a,FILTER($O$15:$O$44,$D$15:$D$44=D21,$AA$15:$AA$44=1),cohort_size,ROWS(a),IF(cohort_size&lt;MAX(3,Rules!$B$12),""Unranked"",IF(MAX(a)=MIN(a),50,100*(SUMPRODUCT(N(a&lt;O21))+(SUMPRODUCT(N(a=O21))-1)/2)/(cohort_size-1))))),""Un"&amp;"ranked"")"),50.0)</f>
        <v>50</v>
      </c>
      <c r="AO21" s="111">
        <f>IFERROR(__xludf.DUMMYFUNCTION("IFERROR(IF(AA21&lt;&gt;1,""Unranked"",LET(a,FILTER($P$15:$P$44,$D$15:$D$44=D21,$AA$15:$AA$44=1),cohort_size,ROWS(a),IF(cohort_size&lt;MAX(3,Rules!$B$12),""Unranked"",IF(MAX(a)=MIN(a),50,100*(SUMPRODUCT(N(a&lt;P21))+(SUMPRODUCT(N(a=P21))-1)/2)/(cohort_size-1))))),""Un"&amp;"ranked"")"),100.0)</f>
        <v>100</v>
      </c>
      <c r="AP21" s="111">
        <f t="shared" si="7"/>
        <v>75</v>
      </c>
      <c r="AQ21" s="111">
        <f>IF(AND(AA21=1,AD21&gt;=MAX(3,Rules!$B$12),COUNT(AG21,AL21,AM21,AP21)=4,MIN(AG21,AL21,AM21,AP21)&gt;=0,MAX(AG21,AL21,AM21,AP21)&lt;=100),1,0)</f>
        <v>1</v>
      </c>
      <c r="AR21" s="105" t="s">
        <v>306</v>
      </c>
      <c r="AS21" s="105" t="s">
        <v>1274</v>
      </c>
    </row>
    <row r="22" ht="52.5" customHeight="1">
      <c r="A22" s="132" t="s">
        <v>1337</v>
      </c>
      <c r="B22" s="132" t="s">
        <v>1331</v>
      </c>
      <c r="C22" s="132" t="s">
        <v>307</v>
      </c>
      <c r="D22" s="132" t="s">
        <v>1313</v>
      </c>
      <c r="E22" s="133" t="s">
        <v>59</v>
      </c>
      <c r="F22" s="134">
        <v>67.17</v>
      </c>
      <c r="G22" s="135">
        <v>46297.0</v>
      </c>
      <c r="H22" s="134">
        <v>21.047</v>
      </c>
      <c r="I22" s="136" t="s">
        <v>1266</v>
      </c>
      <c r="J22" s="135">
        <v>46298.0</v>
      </c>
      <c r="K22" s="134">
        <v>33.25</v>
      </c>
      <c r="L22" s="134">
        <v>14.76</v>
      </c>
      <c r="M22" s="137">
        <v>0.0574</v>
      </c>
      <c r="N22" s="134">
        <v>284.62</v>
      </c>
      <c r="O22" s="137">
        <v>0.4556</v>
      </c>
      <c r="P22" s="137">
        <v>0.2063</v>
      </c>
      <c r="Q22" s="132" t="s">
        <v>1206</v>
      </c>
      <c r="R22" s="134">
        <v>20.382</v>
      </c>
      <c r="S22" s="132" t="s">
        <v>1267</v>
      </c>
      <c r="T22" s="134">
        <v>17.967</v>
      </c>
      <c r="U22" s="134">
        <v>2.63</v>
      </c>
      <c r="V22" s="134">
        <v>2.13</v>
      </c>
      <c r="W22" s="138" t="s">
        <v>1341</v>
      </c>
      <c r="X22" s="138" t="s">
        <v>1342</v>
      </c>
      <c r="Y22" s="138" t="s">
        <v>1344</v>
      </c>
      <c r="Z22" s="133" t="s">
        <v>249</v>
      </c>
      <c r="AA22" s="111">
        <f>IFERROR(IF(AND(COUNTIF($A$15:$A$44,A22)=1,Z22="Yes",ISNUMBER(F22),F22&gt;=MAX(10,Rules!$B$22),ISNUMBER(G22),G22&lt;=Rules!$B$6,Rules!$B$6-G22&lt;=Rules!$B$10,ISNUMBER(J22),J22=Rules!$B$6,DATEVALUE("1 "&amp;I22)&lt;=Rules!$B$6,Rules!$B$6-DATEVALUE("1 "&amp;I22)&lt;=Rules!$B$11,COUNT(H22,K22:L22,O22:P22,R22,T22)=7,MIN(H22,K22:L22,R22,T22)&gt;0,RIGHT(Q22,4)-RIGHT(S22,4)=3,IF(C22="Utilities",AND(ISNUMBER(N22),N22&gt;0),ISNUMBER(M22)),D22&lt;&gt;"",W22&lt;&gt;"",X22&lt;&gt;""),1,0),0)</f>
        <v>1</v>
      </c>
      <c r="AB22" s="128">
        <f t="shared" si="1"/>
        <v>0.04293460192</v>
      </c>
      <c r="AC22" s="128">
        <f t="shared" si="2"/>
        <v>0.07281634513</v>
      </c>
      <c r="AD22" s="111">
        <f t="shared" si="3"/>
        <v>3</v>
      </c>
      <c r="AE22" s="111">
        <f>IFERROR(__xludf.DUMMYFUNCTION("IFERROR(IF(AA22&lt;&gt;1,""Unranked"",LET(a,FILTER($F$15:$F$44,$D$15:$D$44=D22,$AA$15:$AA$44=1),cohort_size,ROWS(a),IF(cohort_size&lt;MAX(3,Rules!$B$12),""Unranked"",IF(MAX(a)=MIN(a),50,100*(SUMPRODUCT(N(a&lt;F22))+(SUMPRODUCT(N(a=F22))-1)/2)/(cohort_size-1))))),""Un"&amp;"ranked"")"),50.0)</f>
        <v>50</v>
      </c>
      <c r="AF22" s="111">
        <f>IFERROR(__xludf.DUMMYFUNCTION("IFERROR(IF(AA22&lt;&gt;1,""Unranked"",LET(a,FILTER($H$15:$H$44,$D$15:$D$44=D22,$AA$15:$AA$44=1),cohort_size,ROWS(a),IF(cohort_size&lt;MAX(3,Rules!$B$12),""Unranked"",IF(MAX(a)=MIN(a),50,100*(SUMPRODUCT(N(a&lt;H22))+(SUMPRODUCT(N(a=H22))-1)/2)/(cohort_size-1))))),""Un"&amp;"ranked"")"),50.0)</f>
        <v>50</v>
      </c>
      <c r="AG22" s="111">
        <f t="shared" si="4"/>
        <v>50</v>
      </c>
      <c r="AH22" s="111">
        <f>IFERROR(__xludf.DUMMYFUNCTION("IFERROR(IF(AA22&lt;&gt;1,""Unranked"",100-LET(a,FILTER($K$15:$K$44,$D$15:$D$44=D22,$AA$15:$AA$44=1),cohort_size,ROWS(a),IF(cohort_size&lt;MAX(3,Rules!$B$12),""Unranked"",IF(MAX(a)=MIN(a),50,100*(SUMPRODUCT(N(a&lt;K22))+(SUMPRODUCT(N(a=K22))-1)/2)/(cohort_size-1))))),"&amp;"""Unranked"")"),0.0)</f>
        <v>0</v>
      </c>
      <c r="AI22" s="111">
        <f>IFERROR(__xludf.DUMMYFUNCTION("IFERROR(IF(AA22&lt;&gt;1,""Unranked"",100-LET(a,FILTER($L$15:$L$44,$D$15:$D$44=D22,$AA$15:$AA$44=1),cohort_size,ROWS(a),IF(cohort_size&lt;MAX(3,Rules!$B$12),""Unranked"",IF(MAX(a)=MIN(a),50,100*(SUMPRODUCT(N(a&lt;L22))+(SUMPRODUCT(N(a=L22))-1)/2)/(cohort_size-1))))),"&amp;"""Unranked"")"),50.0)</f>
        <v>50</v>
      </c>
      <c r="AJ22" s="111">
        <f>IFERROR(__xludf.DUMMYFUNCTION("IFERROR(IF(AA22&lt;&gt;1,""Unranked"",LET(a,FILTER($M$15:$M$44,$D$15:$D$44=D22,$AA$15:$AA$44=1),cohort_size,ROWS(a),IF(cohort_size&lt;MAX(3,Rules!$B$12),""Unranked"",IF(MAX(a)=MIN(a),50,100*(SUMPRODUCT(N(a&lt;M22))+(SUMPRODUCT(N(a=M22))-1)/2)/(cohort_size-1))))),""Un"&amp;"ranked"")"),100.0)</f>
        <v>100</v>
      </c>
      <c r="AK22" s="139" t="str">
        <f t="shared" si="5"/>
        <v>Not used</v>
      </c>
      <c r="AL22" s="111">
        <f t="shared" si="6"/>
        <v>47.5</v>
      </c>
      <c r="AM22" s="111">
        <f>IFERROR(__xludf.DUMMYFUNCTION("IFERROR(IF(AA22&lt;&gt;1,""Unranked"",LET(a,FILTER($AB$15:$AB$44,$D$15:$D$44=D22,$AA$15:$AA$44=1),cohort_size,ROWS(a),IF(cohort_size&lt;MAX(3,Rules!$B$12),""Unranked"",IF(MAX(a)=MIN(a),50,100*(SUMPRODUCT(N(a&lt;AB22))+(SUMPRODUCT(N(a=AB22))-1)/2)/(cohort_size-1))))),"&amp;"""Unranked"")"),50.0)</f>
        <v>50</v>
      </c>
      <c r="AN22" s="111">
        <f>IFERROR(__xludf.DUMMYFUNCTION("IFERROR(IF(AA22&lt;&gt;1,""Unranked"",LET(a,FILTER($O$15:$O$44,$D$15:$D$44=D22,$AA$15:$AA$44=1),cohort_size,ROWS(a),IF(cohort_size&lt;MAX(3,Rules!$B$12),""Unranked"",IF(MAX(a)=MIN(a),50,100*(SUMPRODUCT(N(a&lt;O22))+(SUMPRODUCT(N(a=O22))-1)/2)/(cohort_size-1))))),""Un"&amp;"ranked"")"),100.0)</f>
        <v>100</v>
      </c>
      <c r="AO22" s="111">
        <f>IFERROR(__xludf.DUMMYFUNCTION("IFERROR(IF(AA22&lt;&gt;1,""Unranked"",LET(a,FILTER($P$15:$P$44,$D$15:$D$44=D22,$AA$15:$AA$44=1),cohort_size,ROWS(a),IF(cohort_size&lt;MAX(3,Rules!$B$12),""Unranked"",IF(MAX(a)=MIN(a),50,100*(SUMPRODUCT(N(a&lt;P22))+(SUMPRODUCT(N(a=P22))-1)/2)/(cohort_size-1))))),""Un"&amp;"ranked"")"),50.0)</f>
        <v>50</v>
      </c>
      <c r="AP22" s="111">
        <f t="shared" si="7"/>
        <v>75</v>
      </c>
      <c r="AQ22" s="111">
        <f>IF(AND(AA22=1,AD22&gt;=MAX(3,Rules!$B$12),COUNT(AG22,AL22,AM22,AP22)=4,MIN(AG22,AL22,AM22,AP22)&gt;=0,MAX(AG22,AL22,AM22,AP22)&lt;=100),1,0)</f>
        <v>1</v>
      </c>
      <c r="AR22" s="105" t="s">
        <v>1382</v>
      </c>
      <c r="AS22" s="105" t="s">
        <v>1274</v>
      </c>
    </row>
    <row r="23" ht="52.5" customHeight="1">
      <c r="A23" s="132" t="s">
        <v>1386</v>
      </c>
      <c r="B23" s="132" t="s">
        <v>1387</v>
      </c>
      <c r="C23" s="132" t="s">
        <v>307</v>
      </c>
      <c r="D23" s="132" t="s">
        <v>1313</v>
      </c>
      <c r="E23" s="133" t="s">
        <v>59</v>
      </c>
      <c r="F23" s="134">
        <v>22.37</v>
      </c>
      <c r="G23" s="135">
        <v>46297.0</v>
      </c>
      <c r="H23" s="134">
        <v>6.229</v>
      </c>
      <c r="I23" s="136" t="s">
        <v>1266</v>
      </c>
      <c r="J23" s="135">
        <v>46298.0</v>
      </c>
      <c r="K23" s="134">
        <v>30.29</v>
      </c>
      <c r="L23" s="134">
        <v>18.12</v>
      </c>
      <c r="M23" s="137">
        <v>0.0499</v>
      </c>
      <c r="N23" s="134">
        <v>5.14</v>
      </c>
      <c r="O23" s="137">
        <v>0.1401</v>
      </c>
      <c r="P23" s="137">
        <v>0.1809</v>
      </c>
      <c r="Q23" s="132" t="s">
        <v>1206</v>
      </c>
      <c r="R23" s="134">
        <v>6.203</v>
      </c>
      <c r="S23" s="132" t="s">
        <v>1267</v>
      </c>
      <c r="T23" s="134">
        <v>5.376</v>
      </c>
      <c r="U23" s="134">
        <v>3.02</v>
      </c>
      <c r="V23" s="134">
        <v>1.68</v>
      </c>
      <c r="W23" s="138" t="s">
        <v>1393</v>
      </c>
      <c r="X23" s="138" t="s">
        <v>1394</v>
      </c>
      <c r="Y23" s="138" t="s">
        <v>1396</v>
      </c>
      <c r="Z23" s="133" t="s">
        <v>249</v>
      </c>
      <c r="AA23" s="111">
        <f>IFERROR(IF(AND(COUNTIF($A$15:$A$44,A23)=1,Z23="Yes",ISNUMBER(F23),F23&gt;=MAX(10,Rules!$B$22),ISNUMBER(G23),G23&lt;=Rules!$B$6,Rules!$B$6-G23&lt;=Rules!$B$10,ISNUMBER(J23),J23=Rules!$B$6,DATEVALUE("1 "&amp;I23)&lt;=Rules!$B$6,Rules!$B$6-DATEVALUE("1 "&amp;I23)&lt;=Rules!$B$11,COUNT(H23,K23:L23,O23:P23,R23,T23)=7,MIN(H23,K23:L23,R23,T23)&gt;0,RIGHT(Q23,4)-RIGHT(S23,4)=3,IF(C23="Utilities",AND(ISNUMBER(N23),N23&gt;0),ISNUMBER(M23)),D23&lt;&gt;"",W23&lt;&gt;"",X23&lt;&gt;""),1,0),0)</f>
        <v>1</v>
      </c>
      <c r="AB23" s="128">
        <f t="shared" si="1"/>
        <v>0.04885191072</v>
      </c>
      <c r="AC23" s="128">
        <f t="shared" si="2"/>
        <v>0.2159038131</v>
      </c>
      <c r="AD23" s="111">
        <f t="shared" si="3"/>
        <v>3</v>
      </c>
      <c r="AE23" s="111">
        <f>IFERROR(__xludf.DUMMYFUNCTION("IFERROR(IF(AA23&lt;&gt;1,""Unranked"",LET(a,FILTER($F$15:$F$44,$D$15:$D$44=D23,$AA$15:$AA$44=1),cohort_size,ROWS(a),IF(cohort_size&lt;MAX(3,Rules!$B$12),""Unranked"",IF(MAX(a)=MIN(a),50,100*(SUMPRODUCT(N(a&lt;F23))+(SUMPRODUCT(N(a=F23))-1)/2)/(cohort_size-1))))),""Un"&amp;"ranked"")"),0.0)</f>
        <v>0</v>
      </c>
      <c r="AF23" s="111">
        <f>IFERROR(__xludf.DUMMYFUNCTION("IFERROR(IF(AA23&lt;&gt;1,""Unranked"",LET(a,FILTER($H$15:$H$44,$D$15:$D$44=D23,$AA$15:$AA$44=1),cohort_size,ROWS(a),IF(cohort_size&lt;MAX(3,Rules!$B$12),""Unranked"",IF(MAX(a)=MIN(a),50,100*(SUMPRODUCT(N(a&lt;H23))+(SUMPRODUCT(N(a=H23))-1)/2)/(cohort_size-1))))),""Un"&amp;"ranked"")"),0.0)</f>
        <v>0</v>
      </c>
      <c r="AG23" s="111">
        <f t="shared" si="4"/>
        <v>0</v>
      </c>
      <c r="AH23" s="111">
        <f>IFERROR(__xludf.DUMMYFUNCTION("IFERROR(IF(AA23&lt;&gt;1,""Unranked"",100-LET(a,FILTER($K$15:$K$44,$D$15:$D$44=D23,$AA$15:$AA$44=1),cohort_size,ROWS(a),IF(cohort_size&lt;MAX(3,Rules!$B$12),""Unranked"",IF(MAX(a)=MIN(a),50,100*(SUMPRODUCT(N(a&lt;K23))+(SUMPRODUCT(N(a=K23))-1)/2)/(cohort_size-1))))),"&amp;"""Unranked"")"),50.0)</f>
        <v>50</v>
      </c>
      <c r="AI23" s="111">
        <f>IFERROR(__xludf.DUMMYFUNCTION("IFERROR(IF(AA23&lt;&gt;1,""Unranked"",100-LET(a,FILTER($L$15:$L$44,$D$15:$D$44=D23,$AA$15:$AA$44=1),cohort_size,ROWS(a),IF(cohort_size&lt;MAX(3,Rules!$B$12),""Unranked"",IF(MAX(a)=MIN(a),50,100*(SUMPRODUCT(N(a&lt;L23))+(SUMPRODUCT(N(a=L23))-1)/2)/(cohort_size-1))))),"&amp;"""Unranked"")"),0.0)</f>
        <v>0</v>
      </c>
      <c r="AJ23" s="111">
        <f>IFERROR(__xludf.DUMMYFUNCTION("IFERROR(IF(AA23&lt;&gt;1,""Unranked"",LET(a,FILTER($M$15:$M$44,$D$15:$D$44=D23,$AA$15:$AA$44=1),cohort_size,ROWS(a),IF(cohort_size&lt;MAX(3,Rules!$B$12),""Unranked"",IF(MAX(a)=MIN(a),50,100*(SUMPRODUCT(N(a&lt;M23))+(SUMPRODUCT(N(a=M23))-1)/2)/(cohort_size-1))))),""Un"&amp;"ranked"")"),50.0)</f>
        <v>50</v>
      </c>
      <c r="AK23" s="139" t="str">
        <f t="shared" si="5"/>
        <v>Not used</v>
      </c>
      <c r="AL23" s="111">
        <f t="shared" si="6"/>
        <v>32.5</v>
      </c>
      <c r="AM23" s="111">
        <f>IFERROR(__xludf.DUMMYFUNCTION("IFERROR(IF(AA23&lt;&gt;1,""Unranked"",LET(a,FILTER($AB$15:$AB$44,$D$15:$D$44=D23,$AA$15:$AA$44=1),cohort_size,ROWS(a),IF(cohort_size&lt;MAX(3,Rules!$B$12),""Unranked"",IF(MAX(a)=MIN(a),50,100*(SUMPRODUCT(N(a&lt;AB23))+(SUMPRODUCT(N(a=AB23))-1)/2)/(cohort_size-1))))),"&amp;"""Unranked"")"),100.0)</f>
        <v>100</v>
      </c>
      <c r="AN23" s="111">
        <f>IFERROR(__xludf.DUMMYFUNCTION("IFERROR(IF(AA23&lt;&gt;1,""Unranked"",LET(a,FILTER($O$15:$O$44,$D$15:$D$44=D23,$AA$15:$AA$44=1),cohort_size,ROWS(a),IF(cohort_size&lt;MAX(3,Rules!$B$12),""Unranked"",IF(MAX(a)=MIN(a),50,100*(SUMPRODUCT(N(a&lt;O23))+(SUMPRODUCT(N(a=O23))-1)/2)/(cohort_size-1))))),""Un"&amp;"ranked"")"),0.0)</f>
        <v>0</v>
      </c>
      <c r="AO23" s="111">
        <f>IFERROR(__xludf.DUMMYFUNCTION("IFERROR(IF(AA23&lt;&gt;1,""Unranked"",LET(a,FILTER($P$15:$P$44,$D$15:$D$44=D23,$AA$15:$AA$44=1),cohort_size,ROWS(a),IF(cohort_size&lt;MAX(3,Rules!$B$12),""Unranked"",IF(MAX(a)=MIN(a),50,100*(SUMPRODUCT(N(a&lt;P23))+(SUMPRODUCT(N(a=P23))-1)/2)/(cohort_size-1))))),""Un"&amp;"ranked"")"),0.0)</f>
        <v>0</v>
      </c>
      <c r="AP23" s="111">
        <f t="shared" si="7"/>
        <v>0</v>
      </c>
      <c r="AQ23" s="111">
        <f>IF(AND(AA23=1,AD23&gt;=MAX(3,Rules!$B$12),COUNT(AG23,AL23,AM23,AP23)=4,MIN(AG23,AL23,AM23,AP23)&gt;=0,MAX(AG23,AL23,AM23,AP23)&lt;=100),1,0)</f>
        <v>1</v>
      </c>
      <c r="AR23" s="105" t="s">
        <v>1416</v>
      </c>
      <c r="AS23" s="105" t="s">
        <v>1274</v>
      </c>
    </row>
    <row r="24" ht="52.5" customHeight="1">
      <c r="A24" s="132" t="s">
        <v>310</v>
      </c>
      <c r="B24" s="132" t="s">
        <v>311</v>
      </c>
      <c r="C24" s="132" t="s">
        <v>313</v>
      </c>
      <c r="D24" s="132" t="s">
        <v>1421</v>
      </c>
      <c r="E24" s="133" t="s">
        <v>249</v>
      </c>
      <c r="F24" s="134">
        <v>282.2</v>
      </c>
      <c r="G24" s="135">
        <v>46297.0</v>
      </c>
      <c r="H24" s="134">
        <v>169.176</v>
      </c>
      <c r="I24" s="136" t="s">
        <v>1423</v>
      </c>
      <c r="J24" s="135">
        <v>46298.0</v>
      </c>
      <c r="K24" s="134">
        <v>19.79</v>
      </c>
      <c r="L24" s="134">
        <v>13.93</v>
      </c>
      <c r="M24" s="137">
        <v>0.0535</v>
      </c>
      <c r="N24" s="134">
        <v>16.99</v>
      </c>
      <c r="O24" s="137">
        <v>0.2008</v>
      </c>
      <c r="P24" s="137">
        <v>0.1202</v>
      </c>
      <c r="Q24" s="132" t="s">
        <v>1206</v>
      </c>
      <c r="R24" s="134">
        <v>164.683</v>
      </c>
      <c r="S24" s="132" t="s">
        <v>1267</v>
      </c>
      <c r="T24" s="134">
        <v>157.403</v>
      </c>
      <c r="U24" s="134">
        <v>14.23</v>
      </c>
      <c r="V24" s="134">
        <v>16.69</v>
      </c>
      <c r="W24" s="138" t="s">
        <v>1427</v>
      </c>
      <c r="X24" s="138" t="s">
        <v>1428</v>
      </c>
      <c r="Y24" s="138" t="s">
        <v>1430</v>
      </c>
      <c r="Z24" s="133" t="s">
        <v>249</v>
      </c>
      <c r="AA24" s="111">
        <f>IFERROR(IF(AND(COUNTIF($A$15:$A$44,A24)=1,Z24="Yes",ISNUMBER(F24),F24&gt;=MAX(10,Rules!$B$22),ISNUMBER(G24),G24&lt;=Rules!$B$6,Rules!$B$6-G24&lt;=Rules!$B$10,ISNUMBER(J24),J24=Rules!$B$6,DATEVALUE("1 "&amp;I24)&lt;=Rules!$B$6,Rules!$B$6-DATEVALUE("1 "&amp;I24)&lt;=Rules!$B$11,COUNT(H24,K24:L24,O24:P24,R24,T24)=7,MIN(H24,K24:L24,R24,T24)&gt;0,RIGHT(Q24,4)-RIGHT(S24,4)=3,IF(C24="Utilities",AND(ISNUMBER(N24),N24&gt;0),ISNUMBER(M24)),D24&lt;&gt;"",W24&lt;&gt;"",X24&lt;&gt;""),1,0),0)</f>
        <v>1</v>
      </c>
      <c r="AB24" s="128">
        <f t="shared" si="1"/>
        <v>0.01518514642</v>
      </c>
      <c r="AC24" s="128">
        <f t="shared" si="2"/>
        <v>-0.05176454931</v>
      </c>
      <c r="AD24" s="111">
        <f t="shared" si="3"/>
        <v>3</v>
      </c>
      <c r="AE24" s="111">
        <f>IFERROR(__xludf.DUMMYFUNCTION("IFERROR(IF(AA24&lt;&gt;1,""Unranked"",LET(a,FILTER($F$15:$F$44,$D$15:$D$44=D24,$AA$15:$AA$44=1),cohort_size,ROWS(a),IF(cohort_size&lt;MAX(3,Rules!$B$12),""Unranked"",IF(MAX(a)=MIN(a),50,100*(SUMPRODUCT(N(a&lt;F24))+(SUMPRODUCT(N(a=F24))-1)/2)/(cohort_size-1))))),""Un"&amp;"ranked"")"),100.0)</f>
        <v>100</v>
      </c>
      <c r="AF24" s="111">
        <f>IFERROR(__xludf.DUMMYFUNCTION("IFERROR(IF(AA24&lt;&gt;1,""Unranked"",LET(a,FILTER($H$15:$H$44,$D$15:$D$44=D24,$AA$15:$AA$44=1),cohort_size,ROWS(a),IF(cohort_size&lt;MAX(3,Rules!$B$12),""Unranked"",IF(MAX(a)=MIN(a),50,100*(SUMPRODUCT(N(a&lt;H24))+(SUMPRODUCT(N(a=H24))-1)/2)/(cohort_size-1))))),""Un"&amp;"ranked"")"),100.0)</f>
        <v>100</v>
      </c>
      <c r="AG24" s="111">
        <f t="shared" si="4"/>
        <v>100</v>
      </c>
      <c r="AH24" s="111">
        <f>IFERROR(__xludf.DUMMYFUNCTION("IFERROR(IF(AA24&lt;&gt;1,""Unranked"",100-LET(a,FILTER($K$15:$K$44,$D$15:$D$44=D24,$AA$15:$AA$44=1),cohort_size,ROWS(a),IF(cohort_size&lt;MAX(3,Rules!$B$12),""Unranked"",IF(MAX(a)=MIN(a),50,100*(SUMPRODUCT(N(a&lt;K24))+(SUMPRODUCT(N(a=K24))-1)/2)/(cohort_size-1))))),"&amp;"""Unranked"")"),0.0)</f>
        <v>0</v>
      </c>
      <c r="AI24" s="111">
        <f>IFERROR(__xludf.DUMMYFUNCTION("IFERROR(IF(AA24&lt;&gt;1,""Unranked"",100-LET(a,FILTER($L$15:$L$44,$D$15:$D$44=D24,$AA$15:$AA$44=1),cohort_size,ROWS(a),IF(cohort_size&lt;MAX(3,Rules!$B$12),""Unranked"",IF(MAX(a)=MIN(a),50,100*(SUMPRODUCT(N(a&lt;L24))+(SUMPRODUCT(N(a=L24))-1)/2)/(cohort_size-1))))),"&amp;"""Unranked"")"),0.0)</f>
        <v>0</v>
      </c>
      <c r="AJ24" s="111">
        <f>IFERROR(__xludf.DUMMYFUNCTION("IFERROR(IF(AA24&lt;&gt;1,""Unranked"",LET(a,FILTER($M$15:$M$44,$D$15:$D$44=D24,$AA$15:$AA$44=1),cohort_size,ROWS(a),IF(cohort_size&lt;MAX(3,Rules!$B$12),""Unranked"",IF(MAX(a)=MIN(a),50,100*(SUMPRODUCT(N(a&lt;M24))+(SUMPRODUCT(N(a=M24))-1)/2)/(cohort_size-1))))),""Un"&amp;"ranked"")"),50.0)</f>
        <v>50</v>
      </c>
      <c r="AK24" s="139" t="str">
        <f t="shared" si="5"/>
        <v>Not used</v>
      </c>
      <c r="AL24" s="111">
        <f t="shared" si="6"/>
        <v>15</v>
      </c>
      <c r="AM24" s="111">
        <f>IFERROR(__xludf.DUMMYFUNCTION("IFERROR(IF(AA24&lt;&gt;1,""Unranked"",LET(a,FILTER($AB$15:$AB$44,$D$15:$D$44=D24,$AA$15:$AA$44=1),cohort_size,ROWS(a),IF(cohort_size&lt;MAX(3,Rules!$B$12),""Unranked"",IF(MAX(a)=MIN(a),50,100*(SUMPRODUCT(N(a&lt;AB24))+(SUMPRODUCT(N(a=AB24))-1)/2)/(cohort_size-1))))),"&amp;"""Unranked"")"),50.0)</f>
        <v>50</v>
      </c>
      <c r="AN24" s="111">
        <f>IFERROR(__xludf.DUMMYFUNCTION("IFERROR(IF(AA24&lt;&gt;1,""Unranked"",LET(a,FILTER($O$15:$O$44,$D$15:$D$44=D24,$AA$15:$AA$44=1),cohort_size,ROWS(a),IF(cohort_size&lt;MAX(3,Rules!$B$12),""Unranked"",IF(MAX(a)=MIN(a),50,100*(SUMPRODUCT(N(a&lt;O24))+(SUMPRODUCT(N(a=O24))-1)/2)/(cohort_size-1))))),""Un"&amp;"ranked"")"),50.0)</f>
        <v>50</v>
      </c>
      <c r="AO24" s="111">
        <f>IFERROR(__xludf.DUMMYFUNCTION("IFERROR(IF(AA24&lt;&gt;1,""Unranked"",LET(a,FILTER($P$15:$P$44,$D$15:$D$44=D24,$AA$15:$AA$44=1),cohort_size,ROWS(a),IF(cohort_size&lt;MAX(3,Rules!$B$12),""Unranked"",IF(MAX(a)=MIN(a),50,100*(SUMPRODUCT(N(a&lt;P24))+(SUMPRODUCT(N(a=P24))-1)/2)/(cohort_size-1))))),""Un"&amp;"ranked"")"),100.0)</f>
        <v>100</v>
      </c>
      <c r="AP24" s="111">
        <f t="shared" si="7"/>
        <v>75</v>
      </c>
      <c r="AQ24" s="111">
        <f>IF(AND(AA24=1,AD24&gt;=MAX(3,Rules!$B$12),COUNT(AG24,AL24,AM24,AP24)=4,MIN(AG24,AL24,AM24,AP24)&gt;=0,MAX(AG24,AL24,AM24,AP24)&lt;=100),1,0)</f>
        <v>1</v>
      </c>
      <c r="AR24" s="105" t="s">
        <v>1449</v>
      </c>
      <c r="AS24" s="105" t="s">
        <v>1274</v>
      </c>
    </row>
    <row r="25" ht="52.5" customHeight="1">
      <c r="A25" s="132" t="s">
        <v>1455</v>
      </c>
      <c r="B25" s="132" t="s">
        <v>1333</v>
      </c>
      <c r="C25" s="132" t="s">
        <v>313</v>
      </c>
      <c r="D25" s="132" t="s">
        <v>1421</v>
      </c>
      <c r="E25" s="133" t="s">
        <v>59</v>
      </c>
      <c r="F25" s="134">
        <v>101.44</v>
      </c>
      <c r="G25" s="135">
        <v>46297.0</v>
      </c>
      <c r="H25" s="134">
        <v>90.432</v>
      </c>
      <c r="I25" s="136" t="s">
        <v>1457</v>
      </c>
      <c r="J25" s="135">
        <v>46298.0</v>
      </c>
      <c r="K25" s="134">
        <v>15.28</v>
      </c>
      <c r="L25" s="134">
        <v>11.02</v>
      </c>
      <c r="M25" s="137">
        <v>0.069</v>
      </c>
      <c r="N25" s="134"/>
      <c r="O25" s="137">
        <v>0.2242</v>
      </c>
      <c r="P25" s="137">
        <v>0.1135</v>
      </c>
      <c r="Q25" s="132" t="s">
        <v>1206</v>
      </c>
      <c r="R25" s="134">
        <v>86.286</v>
      </c>
      <c r="S25" s="132" t="s">
        <v>1267</v>
      </c>
      <c r="T25" s="134">
        <v>97.059</v>
      </c>
      <c r="U25" s="134">
        <v>11.85</v>
      </c>
      <c r="V25" s="134">
        <v>10.17</v>
      </c>
      <c r="W25" s="138" t="s">
        <v>1461</v>
      </c>
      <c r="X25" s="138" t="s">
        <v>1462</v>
      </c>
      <c r="Y25" s="138" t="s">
        <v>1463</v>
      </c>
      <c r="Z25" s="133" t="s">
        <v>249</v>
      </c>
      <c r="AA25" s="111">
        <f>IFERROR(IF(AND(COUNTIF($A$15:$A$44,A25)=1,Z25="Yes",ISNUMBER(F25),F25&gt;=MAX(10,Rules!$B$22),ISNUMBER(G25),G25&lt;=Rules!$B$6,Rules!$B$6-G25&lt;=Rules!$B$10,ISNUMBER(J25),J25=Rules!$B$6,DATEVALUE("1 "&amp;I25)&lt;=Rules!$B$6,Rules!$B$6-DATEVALUE("1 "&amp;I25)&lt;=Rules!$B$11,COUNT(H25,K25:L25,O25:P25,R25,T25)=7,MIN(H25,K25:L25,R25,T25)&gt;0,RIGHT(Q25,4)-RIGHT(S25,4)=3,IF(C25="Utilities",AND(ISNUMBER(N25),N25&gt;0),ISNUMBER(M25)),D25&lt;&gt;"",W25&lt;&gt;"",X25&lt;&gt;""),1,0),0)</f>
        <v>1</v>
      </c>
      <c r="AB25" s="128">
        <f t="shared" si="1"/>
        <v>-0.03845818635</v>
      </c>
      <c r="AC25" s="128">
        <f t="shared" si="2"/>
        <v>0.05228278564</v>
      </c>
      <c r="AD25" s="111">
        <f t="shared" si="3"/>
        <v>3</v>
      </c>
      <c r="AE25" s="111">
        <f>IFERROR(__xludf.DUMMYFUNCTION("IFERROR(IF(AA25&lt;&gt;1,""Unranked"",LET(a,FILTER($F$15:$F$44,$D$15:$D$44=D25,$AA$15:$AA$44=1),cohort_size,ROWS(a),IF(cohort_size&lt;MAX(3,Rules!$B$12),""Unranked"",IF(MAX(a)=MIN(a),50,100*(SUMPRODUCT(N(a&lt;F25))+(SUMPRODUCT(N(a=F25))-1)/2)/(cohort_size-1))))),""Un"&amp;"ranked"")"),50.0)</f>
        <v>50</v>
      </c>
      <c r="AF25" s="111">
        <f>IFERROR(__xludf.DUMMYFUNCTION("IFERROR(IF(AA25&lt;&gt;1,""Unranked"",LET(a,FILTER($H$15:$H$44,$D$15:$D$44=D25,$AA$15:$AA$44=1),cohort_size,ROWS(a),IF(cohort_size&lt;MAX(3,Rules!$B$12),""Unranked"",IF(MAX(a)=MIN(a),50,100*(SUMPRODUCT(N(a&lt;H25))+(SUMPRODUCT(N(a=H25))-1)/2)/(cohort_size-1))))),""Un"&amp;"ranked"")"),50.0)</f>
        <v>50</v>
      </c>
      <c r="AG25" s="111">
        <f t="shared" si="4"/>
        <v>50</v>
      </c>
      <c r="AH25" s="111">
        <f>IFERROR(__xludf.DUMMYFUNCTION("IFERROR(IF(AA25&lt;&gt;1,""Unranked"",100-LET(a,FILTER($K$15:$K$44,$D$15:$D$44=D25,$AA$15:$AA$44=1),cohort_size,ROWS(a),IF(cohort_size&lt;MAX(3,Rules!$B$12),""Unranked"",IF(MAX(a)=MIN(a),50,100*(SUMPRODUCT(N(a&lt;K25))+(SUMPRODUCT(N(a=K25))-1)/2)/(cohort_size-1))))),"&amp;"""Unranked"")"),100.0)</f>
        <v>100</v>
      </c>
      <c r="AI25" s="111">
        <f>IFERROR(__xludf.DUMMYFUNCTION("IFERROR(IF(AA25&lt;&gt;1,""Unranked"",100-LET(a,FILTER($L$15:$L$44,$D$15:$D$44=D25,$AA$15:$AA$44=1),cohort_size,ROWS(a),IF(cohort_size&lt;MAX(3,Rules!$B$12),""Unranked"",IF(MAX(a)=MIN(a),50,100*(SUMPRODUCT(N(a&lt;L25))+(SUMPRODUCT(N(a=L25))-1)/2)/(cohort_size-1))))),"&amp;"""Unranked"")"),100.0)</f>
        <v>100</v>
      </c>
      <c r="AJ25" s="111">
        <f>IFERROR(__xludf.DUMMYFUNCTION("IFERROR(IF(AA25&lt;&gt;1,""Unranked"",LET(a,FILTER($M$15:$M$44,$D$15:$D$44=D25,$AA$15:$AA$44=1),cohort_size,ROWS(a),IF(cohort_size&lt;MAX(3,Rules!$B$12),""Unranked"",IF(MAX(a)=MIN(a),50,100*(SUMPRODUCT(N(a&lt;M25))+(SUMPRODUCT(N(a=M25))-1)/2)/(cohort_size-1))))),""Un"&amp;"ranked"")"),100.0)</f>
        <v>100</v>
      </c>
      <c r="AK25" s="139" t="str">
        <f t="shared" si="5"/>
        <v>Not used</v>
      </c>
      <c r="AL25" s="111">
        <f t="shared" si="6"/>
        <v>100</v>
      </c>
      <c r="AM25" s="111">
        <f>IFERROR(__xludf.DUMMYFUNCTION("IFERROR(IF(AA25&lt;&gt;1,""Unranked"",LET(a,FILTER($AB$15:$AB$44,$D$15:$D$44=D25,$AA$15:$AA$44=1),cohort_size,ROWS(a),IF(cohort_size&lt;MAX(3,Rules!$B$12),""Unranked"",IF(MAX(a)=MIN(a),50,100*(SUMPRODUCT(N(a&lt;AB25))+(SUMPRODUCT(N(a=AB25))-1)/2)/(cohort_size-1))))),"&amp;"""Unranked"")"),0.0)</f>
        <v>0</v>
      </c>
      <c r="AN25" s="111">
        <f>IFERROR(__xludf.DUMMYFUNCTION("IFERROR(IF(AA25&lt;&gt;1,""Unranked"",LET(a,FILTER($O$15:$O$44,$D$15:$D$44=D25,$AA$15:$AA$44=1),cohort_size,ROWS(a),IF(cohort_size&lt;MAX(3,Rules!$B$12),""Unranked"",IF(MAX(a)=MIN(a),50,100*(SUMPRODUCT(N(a&lt;O25))+(SUMPRODUCT(N(a=O25))-1)/2)/(cohort_size-1))))),""Un"&amp;"ranked"")"),100.0)</f>
        <v>100</v>
      </c>
      <c r="AO25" s="111">
        <f>IFERROR(__xludf.DUMMYFUNCTION("IFERROR(IF(AA25&lt;&gt;1,""Unranked"",LET(a,FILTER($P$15:$P$44,$D$15:$D$44=D25,$AA$15:$AA$44=1),cohort_size,ROWS(a),IF(cohort_size&lt;MAX(3,Rules!$B$12),""Unranked"",IF(MAX(a)=MIN(a),50,100*(SUMPRODUCT(N(a&lt;P25))+(SUMPRODUCT(N(a=P25))-1)/2)/(cohort_size-1))))),""Un"&amp;"ranked"")"),50.0)</f>
        <v>50</v>
      </c>
      <c r="AP25" s="111">
        <f t="shared" si="7"/>
        <v>75</v>
      </c>
      <c r="AQ25" s="111">
        <f>IF(AND(AA25=1,AD25&gt;=MAX(3,Rules!$B$12),COUNT(AG25,AL25,AM25,AP25)=4,MIN(AG25,AL25,AM25,AP25)&gt;=0,MAX(AG25,AL25,AM25,AP25)&lt;=100),1,0)</f>
        <v>1</v>
      </c>
      <c r="AR25" s="105" t="s">
        <v>1482</v>
      </c>
      <c r="AS25" s="105" t="s">
        <v>1274</v>
      </c>
    </row>
    <row r="26" ht="52.5" customHeight="1">
      <c r="A26" s="132" t="s">
        <v>1487</v>
      </c>
      <c r="B26" s="132" t="s">
        <v>1334</v>
      </c>
      <c r="C26" s="132" t="s">
        <v>313</v>
      </c>
      <c r="D26" s="132" t="s">
        <v>1421</v>
      </c>
      <c r="E26" s="133" t="s">
        <v>59</v>
      </c>
      <c r="F26" s="134">
        <v>16.2</v>
      </c>
      <c r="G26" s="135">
        <v>46297.0</v>
      </c>
      <c r="H26" s="134">
        <v>15.751</v>
      </c>
      <c r="I26" s="136" t="s">
        <v>1266</v>
      </c>
      <c r="J26" s="135">
        <v>46298.0</v>
      </c>
      <c r="K26" s="134">
        <v>16.2</v>
      </c>
      <c r="L26" s="134">
        <v>11.66</v>
      </c>
      <c r="M26" s="137">
        <v>0.019</v>
      </c>
      <c r="N26" s="134">
        <v>6.17</v>
      </c>
      <c r="O26" s="137">
        <v>0.1281</v>
      </c>
      <c r="P26" s="137">
        <v>0.0903</v>
      </c>
      <c r="Q26" s="132" t="s">
        <v>1206</v>
      </c>
      <c r="R26" s="134">
        <v>15.524</v>
      </c>
      <c r="S26" s="132" t="s">
        <v>1267</v>
      </c>
      <c r="T26" s="134">
        <v>14.205</v>
      </c>
      <c r="U26" s="134">
        <v>2.06</v>
      </c>
      <c r="V26" s="134">
        <v>1.94</v>
      </c>
      <c r="W26" s="138" t="s">
        <v>1494</v>
      </c>
      <c r="X26" s="138" t="s">
        <v>1495</v>
      </c>
      <c r="Y26" s="138" t="s">
        <v>1496</v>
      </c>
      <c r="Z26" s="133" t="s">
        <v>249</v>
      </c>
      <c r="AA26" s="111">
        <f>IFERROR(IF(AND(COUNTIF($A$15:$A$44,A26)=1,Z26="Yes",ISNUMBER(F26),F26&gt;=MAX(10,Rules!$B$22),ISNUMBER(G26),G26&lt;=Rules!$B$6,Rules!$B$6-G26&lt;=Rules!$B$10,ISNUMBER(J26),J26=Rules!$B$6,DATEVALUE("1 "&amp;I26)&lt;=Rules!$B$6,Rules!$B$6-DATEVALUE("1 "&amp;I26)&lt;=Rules!$B$11,COUNT(H26,K26:L26,O26:P26,R26,T26)=7,MIN(H26,K26:L26,R26,T26)&gt;0,RIGHT(Q26,4)-RIGHT(S26,4)=3,IF(C26="Utilities",AND(ISNUMBER(N26),N26&gt;0),ISNUMBER(M26)),D26&lt;&gt;"",W26&lt;&gt;"",X26&lt;&gt;""),1,0),0)</f>
        <v>1</v>
      </c>
      <c r="AB26" s="128">
        <f t="shared" si="1"/>
        <v>0.03004009919</v>
      </c>
      <c r="AC26" s="128">
        <f t="shared" si="2"/>
        <v>0.02020746456</v>
      </c>
      <c r="AD26" s="111">
        <f t="shared" si="3"/>
        <v>3</v>
      </c>
      <c r="AE26" s="111">
        <f>IFERROR(__xludf.DUMMYFUNCTION("IFERROR(IF(AA26&lt;&gt;1,""Unranked"",LET(a,FILTER($F$15:$F$44,$D$15:$D$44=D26,$AA$15:$AA$44=1),cohort_size,ROWS(a),IF(cohort_size&lt;MAX(3,Rules!$B$12),""Unranked"",IF(MAX(a)=MIN(a),50,100*(SUMPRODUCT(N(a&lt;F26))+(SUMPRODUCT(N(a=F26))-1)/2)/(cohort_size-1))))),""Un"&amp;"ranked"")"),0.0)</f>
        <v>0</v>
      </c>
      <c r="AF26" s="111">
        <f>IFERROR(__xludf.DUMMYFUNCTION("IFERROR(IF(AA26&lt;&gt;1,""Unranked"",LET(a,FILTER($H$15:$H$44,$D$15:$D$44=D26,$AA$15:$AA$44=1),cohort_size,ROWS(a),IF(cohort_size&lt;MAX(3,Rules!$B$12),""Unranked"",IF(MAX(a)=MIN(a),50,100*(SUMPRODUCT(N(a&lt;H26))+(SUMPRODUCT(N(a=H26))-1)/2)/(cohort_size-1))))),""Un"&amp;"ranked"")"),0.0)</f>
        <v>0</v>
      </c>
      <c r="AG26" s="111">
        <f t="shared" si="4"/>
        <v>0</v>
      </c>
      <c r="AH26" s="111">
        <f>IFERROR(__xludf.DUMMYFUNCTION("IFERROR(IF(AA26&lt;&gt;1,""Unranked"",100-LET(a,FILTER($K$15:$K$44,$D$15:$D$44=D26,$AA$15:$AA$44=1),cohort_size,ROWS(a),IF(cohort_size&lt;MAX(3,Rules!$B$12),""Unranked"",IF(MAX(a)=MIN(a),50,100*(SUMPRODUCT(N(a&lt;K26))+(SUMPRODUCT(N(a=K26))-1)/2)/(cohort_size-1))))),"&amp;"""Unranked"")"),50.0)</f>
        <v>50</v>
      </c>
      <c r="AI26" s="111">
        <f>IFERROR(__xludf.DUMMYFUNCTION("IFERROR(IF(AA26&lt;&gt;1,""Unranked"",100-LET(a,FILTER($L$15:$L$44,$D$15:$D$44=D26,$AA$15:$AA$44=1),cohort_size,ROWS(a),IF(cohort_size&lt;MAX(3,Rules!$B$12),""Unranked"",IF(MAX(a)=MIN(a),50,100*(SUMPRODUCT(N(a&lt;L26))+(SUMPRODUCT(N(a=L26))-1)/2)/(cohort_size-1))))),"&amp;"""Unranked"")"),50.0)</f>
        <v>50</v>
      </c>
      <c r="AJ26" s="111">
        <f>IFERROR(__xludf.DUMMYFUNCTION("IFERROR(IF(AA26&lt;&gt;1,""Unranked"",LET(a,FILTER($M$15:$M$44,$D$15:$D$44=D26,$AA$15:$AA$44=1),cohort_size,ROWS(a),IF(cohort_size&lt;MAX(3,Rules!$B$12),""Unranked"",IF(MAX(a)=MIN(a),50,100*(SUMPRODUCT(N(a&lt;M26))+(SUMPRODUCT(N(a=M26))-1)/2)/(cohort_size-1))))),""Un"&amp;"ranked"")"),0.0)</f>
        <v>0</v>
      </c>
      <c r="AK26" s="139" t="str">
        <f t="shared" si="5"/>
        <v>Not used</v>
      </c>
      <c r="AL26" s="111">
        <f t="shared" si="6"/>
        <v>35</v>
      </c>
      <c r="AM26" s="111">
        <f>IFERROR(__xludf.DUMMYFUNCTION("IFERROR(IF(AA26&lt;&gt;1,""Unranked"",LET(a,FILTER($AB$15:$AB$44,$D$15:$D$44=D26,$AA$15:$AA$44=1),cohort_size,ROWS(a),IF(cohort_size&lt;MAX(3,Rules!$B$12),""Unranked"",IF(MAX(a)=MIN(a),50,100*(SUMPRODUCT(N(a&lt;AB26))+(SUMPRODUCT(N(a=AB26))-1)/2)/(cohort_size-1))))),"&amp;"""Unranked"")"),100.0)</f>
        <v>100</v>
      </c>
      <c r="AN26" s="111">
        <f>IFERROR(__xludf.DUMMYFUNCTION("IFERROR(IF(AA26&lt;&gt;1,""Unranked"",LET(a,FILTER($O$15:$O$44,$D$15:$D$44=D26,$AA$15:$AA$44=1),cohort_size,ROWS(a),IF(cohort_size&lt;MAX(3,Rules!$B$12),""Unranked"",IF(MAX(a)=MIN(a),50,100*(SUMPRODUCT(N(a&lt;O26))+(SUMPRODUCT(N(a=O26))-1)/2)/(cohort_size-1))))),""Un"&amp;"ranked"")"),0.0)</f>
        <v>0</v>
      </c>
      <c r="AO26" s="111">
        <f>IFERROR(__xludf.DUMMYFUNCTION("IFERROR(IF(AA26&lt;&gt;1,""Unranked"",LET(a,FILTER($P$15:$P$44,$D$15:$D$44=D26,$AA$15:$AA$44=1),cohort_size,ROWS(a),IF(cohort_size&lt;MAX(3,Rules!$B$12),""Unranked"",IF(MAX(a)=MIN(a),50,100*(SUMPRODUCT(N(a&lt;P26))+(SUMPRODUCT(N(a=P26))-1)/2)/(cohort_size-1))))),""Un"&amp;"ranked"")"),0.0)</f>
        <v>0</v>
      </c>
      <c r="AP26" s="111">
        <f t="shared" si="7"/>
        <v>0</v>
      </c>
      <c r="AQ26" s="111">
        <f>IF(AND(AA26=1,AD26&gt;=MAX(3,Rules!$B$12),COUNT(AG26,AL26,AM26,AP26)=4,MIN(AG26,AL26,AM26,AP26)&gt;=0,MAX(AG26,AL26,AM26,AP26)&lt;=100),1,0)</f>
        <v>1</v>
      </c>
      <c r="AR26" s="105" t="s">
        <v>1512</v>
      </c>
      <c r="AS26" s="105" t="s">
        <v>1274</v>
      </c>
    </row>
    <row r="27" ht="52.5" customHeight="1">
      <c r="A27" s="132" t="s">
        <v>1516</v>
      </c>
      <c r="B27" s="132" t="s">
        <v>1391</v>
      </c>
      <c r="C27" s="132" t="s">
        <v>318</v>
      </c>
      <c r="D27" s="132" t="s">
        <v>1519</v>
      </c>
      <c r="E27" s="133" t="s">
        <v>249</v>
      </c>
      <c r="F27" s="134">
        <v>92.51</v>
      </c>
      <c r="G27" s="135">
        <v>46297.0</v>
      </c>
      <c r="H27" s="134">
        <v>25.97</v>
      </c>
      <c r="I27" s="136" t="s">
        <v>1423</v>
      </c>
      <c r="J27" s="135">
        <v>46298.0</v>
      </c>
      <c r="K27" s="134">
        <v>13.27</v>
      </c>
      <c r="L27" s="134">
        <v>9.44</v>
      </c>
      <c r="M27" s="137">
        <v>0.11449999999999999</v>
      </c>
      <c r="N27" s="134">
        <v>7.9</v>
      </c>
      <c r="O27" s="137">
        <v>0.5722</v>
      </c>
      <c r="P27" s="137">
        <v>0.3632</v>
      </c>
      <c r="Q27" s="132" t="s">
        <v>1206</v>
      </c>
      <c r="R27" s="134">
        <v>23.769</v>
      </c>
      <c r="S27" s="132" t="s">
        <v>1267</v>
      </c>
      <c r="T27" s="134">
        <v>17.606</v>
      </c>
      <c r="U27" s="134">
        <v>16.7</v>
      </c>
      <c r="V27" s="134">
        <v>10.1</v>
      </c>
      <c r="W27" s="138" t="s">
        <v>1524</v>
      </c>
      <c r="X27" s="138" t="s">
        <v>1525</v>
      </c>
      <c r="Y27" s="138" t="s">
        <v>1526</v>
      </c>
      <c r="Z27" s="133" t="s">
        <v>249</v>
      </c>
      <c r="AA27" s="111">
        <f>IFERROR(IF(AND(COUNTIF($A$15:$A$44,A27)=1,Z27="Yes",ISNUMBER(F27),F27&gt;=MAX(10,Rules!$B$22),ISNUMBER(G27),G27&lt;=Rules!$B$6,Rules!$B$6-G27&lt;=Rules!$B$10,ISNUMBER(J27),J27=Rules!$B$6,DATEVALUE("1 "&amp;I27)&lt;=Rules!$B$6,Rules!$B$6-DATEVALUE("1 "&amp;I27)&lt;=Rules!$B$11,COUNT(H27,K27:L27,O27:P27,R27,T27)=7,MIN(H27,K27:L27,R27,T27)&gt;0,RIGHT(Q27,4)-RIGHT(S27,4)=3,IF(C27="Utilities",AND(ISNUMBER(N27),N27&gt;0),ISNUMBER(M27)),D27&lt;&gt;"",W27&lt;&gt;"",X27&lt;&gt;""),1,0),0)</f>
        <v>1</v>
      </c>
      <c r="AB27" s="128">
        <f t="shared" si="1"/>
        <v>0.1052233993</v>
      </c>
      <c r="AC27" s="128">
        <f t="shared" si="2"/>
        <v>0.1824924208</v>
      </c>
      <c r="AD27" s="111">
        <f t="shared" si="3"/>
        <v>3</v>
      </c>
      <c r="AE27" s="111">
        <f>IFERROR(__xludf.DUMMYFUNCTION("IFERROR(IF(AA27&lt;&gt;1,""Unranked"",LET(a,FILTER($F$15:$F$44,$D$15:$D$44=D27,$AA$15:$AA$44=1),cohort_size,ROWS(a),IF(cohort_size&lt;MAX(3,Rules!$B$12),""Unranked"",IF(MAX(a)=MIN(a),50,100*(SUMPRODUCT(N(a&lt;F27))+(SUMPRODUCT(N(a=F27))-1)/2)/(cohort_size-1))))),""Un"&amp;"ranked"")"),50.0)</f>
        <v>50</v>
      </c>
      <c r="AF27" s="111">
        <f>IFERROR(__xludf.DUMMYFUNCTION("IFERROR(IF(AA27&lt;&gt;1,""Unranked"",LET(a,FILTER($H$15:$H$44,$D$15:$D$44=D27,$AA$15:$AA$44=1),cohort_size,ROWS(a),IF(cohort_size&lt;MAX(3,Rules!$B$12),""Unranked"",IF(MAX(a)=MIN(a),50,100*(SUMPRODUCT(N(a&lt;H27))+(SUMPRODUCT(N(a=H27))-1)/2)/(cohort_size-1))))),""Un"&amp;"ranked"")"),50.0)</f>
        <v>50</v>
      </c>
      <c r="AG27" s="111">
        <f t="shared" si="4"/>
        <v>50</v>
      </c>
      <c r="AH27" s="111">
        <f>IFERROR(__xludf.DUMMYFUNCTION("IFERROR(IF(AA27&lt;&gt;1,""Unranked"",100-LET(a,FILTER($K$15:$K$44,$D$15:$D$44=D27,$AA$15:$AA$44=1),cohort_size,ROWS(a),IF(cohort_size&lt;MAX(3,Rules!$B$12),""Unranked"",IF(MAX(a)=MIN(a),50,100*(SUMPRODUCT(N(a&lt;K27))+(SUMPRODUCT(N(a=K27))-1)/2)/(cohort_size-1))))),"&amp;"""Unranked"")"),100.0)</f>
        <v>100</v>
      </c>
      <c r="AI27" s="111">
        <f>IFERROR(__xludf.DUMMYFUNCTION("IFERROR(IF(AA27&lt;&gt;1,""Unranked"",100-LET(a,FILTER($L$15:$L$44,$D$15:$D$44=D27,$AA$15:$AA$44=1),cohort_size,ROWS(a),IF(cohort_size&lt;MAX(3,Rules!$B$12),""Unranked"",IF(MAX(a)=MIN(a),50,100*(SUMPRODUCT(N(a&lt;L27))+(SUMPRODUCT(N(a=L27))-1)/2)/(cohort_size-1))))),"&amp;"""Unranked"")"),100.0)</f>
        <v>100</v>
      </c>
      <c r="AJ27" s="111">
        <f>IFERROR(__xludf.DUMMYFUNCTION("IFERROR(IF(AA27&lt;&gt;1,""Unranked"",LET(a,FILTER($M$15:$M$44,$D$15:$D$44=D27,$AA$15:$AA$44=1),cohort_size,ROWS(a),IF(cohort_size&lt;MAX(3,Rules!$B$12),""Unranked"",IF(MAX(a)=MIN(a),50,100*(SUMPRODUCT(N(a&lt;M27))+(SUMPRODUCT(N(a=M27))-1)/2)/(cohort_size-1))))),""Un"&amp;"ranked"")"),100.0)</f>
        <v>100</v>
      </c>
      <c r="AK27" s="139" t="str">
        <f t="shared" si="5"/>
        <v>Not used</v>
      </c>
      <c r="AL27" s="111">
        <f t="shared" si="6"/>
        <v>100</v>
      </c>
      <c r="AM27" s="111">
        <f>IFERROR(__xludf.DUMMYFUNCTION("IFERROR(IF(AA27&lt;&gt;1,""Unranked"",LET(a,FILTER($AB$15:$AB$44,$D$15:$D$44=D27,$AA$15:$AA$44=1),cohort_size,ROWS(a),IF(cohort_size&lt;MAX(3,Rules!$B$12),""Unranked"",IF(MAX(a)=MIN(a),50,100*(SUMPRODUCT(N(a&lt;AB27))+(SUMPRODUCT(N(a=AB27))-1)/2)/(cohort_size-1))))),"&amp;"""Unranked"")"),50.0)</f>
        <v>50</v>
      </c>
      <c r="AN27" s="111">
        <f>IFERROR(__xludf.DUMMYFUNCTION("IFERROR(IF(AA27&lt;&gt;1,""Unranked"",LET(a,FILTER($O$15:$O$44,$D$15:$D$44=D27,$AA$15:$AA$44=1),cohort_size,ROWS(a),IF(cohort_size&lt;MAX(3,Rules!$B$12),""Unranked"",IF(MAX(a)=MIN(a),50,100*(SUMPRODUCT(N(a&lt;O27))+(SUMPRODUCT(N(a=O27))-1)/2)/(cohort_size-1))))),""Un"&amp;"ranked"")"),50.0)</f>
        <v>50</v>
      </c>
      <c r="AO27" s="111">
        <f>IFERROR(__xludf.DUMMYFUNCTION("IFERROR(IF(AA27&lt;&gt;1,""Unranked"",LET(a,FILTER($P$15:$P$44,$D$15:$D$44=D27,$AA$15:$AA$44=1),cohort_size,ROWS(a),IF(cohort_size&lt;MAX(3,Rules!$B$12),""Unranked"",IF(MAX(a)=MIN(a),50,100*(SUMPRODUCT(N(a&lt;P27))+(SUMPRODUCT(N(a=P27))-1)/2)/(cohort_size-1))))),""Un"&amp;"ranked"")"),100.0)</f>
        <v>100</v>
      </c>
      <c r="AP27" s="111">
        <f t="shared" si="7"/>
        <v>75</v>
      </c>
      <c r="AQ27" s="111">
        <f>IF(AND(AA27=1,AD27&gt;=MAX(3,Rules!$B$12),COUNT(AG27,AL27,AM27,AP27)=4,MIN(AG27,AL27,AM27,AP27)&gt;=0,MAX(AG27,AL27,AM27,AP27)&lt;=100),1,0)</f>
        <v>1</v>
      </c>
      <c r="AR27" s="105" t="s">
        <v>1540</v>
      </c>
      <c r="AS27" s="105" t="s">
        <v>1274</v>
      </c>
    </row>
    <row r="28" ht="52.5" customHeight="1">
      <c r="A28" s="132" t="s">
        <v>1547</v>
      </c>
      <c r="B28" s="132" t="s">
        <v>1398</v>
      </c>
      <c r="C28" s="132" t="s">
        <v>318</v>
      </c>
      <c r="D28" s="132" t="s">
        <v>1519</v>
      </c>
      <c r="E28" s="133" t="s">
        <v>59</v>
      </c>
      <c r="F28" s="134">
        <v>193.15</v>
      </c>
      <c r="G28" s="135">
        <v>46297.0</v>
      </c>
      <c r="H28" s="134">
        <v>43.938</v>
      </c>
      <c r="I28" s="136" t="s">
        <v>1457</v>
      </c>
      <c r="J28" s="135">
        <v>46298.0</v>
      </c>
      <c r="K28" s="134">
        <v>21.75</v>
      </c>
      <c r="L28" s="134">
        <v>17.38</v>
      </c>
      <c r="M28" s="137">
        <v>0.0785</v>
      </c>
      <c r="N28" s="134">
        <v>5.03</v>
      </c>
      <c r="O28" s="137">
        <v>0.1096</v>
      </c>
      <c r="P28" s="137">
        <v>0.2152</v>
      </c>
      <c r="Q28" s="132" t="s">
        <v>1207</v>
      </c>
      <c r="R28" s="134">
        <v>41.525</v>
      </c>
      <c r="S28" s="132" t="s">
        <v>1314</v>
      </c>
      <c r="T28" s="134">
        <v>31.352</v>
      </c>
      <c r="U28" s="134">
        <v>7.8</v>
      </c>
      <c r="V28" s="134">
        <v>0.21</v>
      </c>
      <c r="W28" s="138" t="s">
        <v>1550</v>
      </c>
      <c r="X28" s="138" t="s">
        <v>1551</v>
      </c>
      <c r="Y28" s="138" t="s">
        <v>1552</v>
      </c>
      <c r="Z28" s="133" t="s">
        <v>249</v>
      </c>
      <c r="AA28" s="111">
        <f>IFERROR(IF(AND(COUNTIF($A$15:$A$44,A28)=1,Z28="Yes",ISNUMBER(F28),F28&gt;=MAX(10,Rules!$B$22),ISNUMBER(G28),G28&lt;=Rules!$B$6,Rules!$B$6-G28&lt;=Rules!$B$10,ISNUMBER(J28),J28=Rules!$B$6,DATEVALUE("1 "&amp;I28)&lt;=Rules!$B$6,Rules!$B$6-DATEVALUE("1 "&amp;I28)&lt;=Rules!$B$11,COUNT(H28,K28:L28,O28:P28,R28,T28)=7,MIN(H28,K28:L28,R28,T28)&gt;0,RIGHT(Q28,4)-RIGHT(S28,4)=3,IF(C28="Utilities",AND(ISNUMBER(N28),N28&gt;0),ISNUMBER(M28)),D28&lt;&gt;"",W28&lt;&gt;"",X28&lt;&gt;""),1,0),0)</f>
        <v>1</v>
      </c>
      <c r="AB28" s="128">
        <f t="shared" si="1"/>
        <v>0.09820006114</v>
      </c>
      <c r="AC28" s="128">
        <f t="shared" si="2"/>
        <v>2.336504918</v>
      </c>
      <c r="AD28" s="111">
        <f t="shared" si="3"/>
        <v>3</v>
      </c>
      <c r="AE28" s="111">
        <f>IFERROR(__xludf.DUMMYFUNCTION("IFERROR(IF(AA28&lt;&gt;1,""Unranked"",LET(a,FILTER($F$15:$F$44,$D$15:$D$44=D28,$AA$15:$AA$44=1),cohort_size,ROWS(a),IF(cohort_size&lt;MAX(3,Rules!$B$12),""Unranked"",IF(MAX(a)=MIN(a),50,100*(SUMPRODUCT(N(a&lt;F28))+(SUMPRODUCT(N(a=F28))-1)/2)/(cohort_size-1))))),""Un"&amp;"ranked"")"),100.0)</f>
        <v>100</v>
      </c>
      <c r="AF28" s="111">
        <f>IFERROR(__xludf.DUMMYFUNCTION("IFERROR(IF(AA28&lt;&gt;1,""Unranked"",LET(a,FILTER($H$15:$H$44,$D$15:$D$44=D28,$AA$15:$AA$44=1),cohort_size,ROWS(a),IF(cohort_size&lt;MAX(3,Rules!$B$12),""Unranked"",IF(MAX(a)=MIN(a),50,100*(SUMPRODUCT(N(a&lt;H28))+(SUMPRODUCT(N(a=H28))-1)/2)/(cohort_size-1))))),""Un"&amp;"ranked"")"),100.0)</f>
        <v>100</v>
      </c>
      <c r="AG28" s="111">
        <f t="shared" si="4"/>
        <v>100</v>
      </c>
      <c r="AH28" s="111">
        <f>IFERROR(__xludf.DUMMYFUNCTION("IFERROR(IF(AA28&lt;&gt;1,""Unranked"",100-LET(a,FILTER($K$15:$K$44,$D$15:$D$44=D28,$AA$15:$AA$44=1),cohort_size,ROWS(a),IF(cohort_size&lt;MAX(3,Rules!$B$12),""Unranked"",IF(MAX(a)=MIN(a),50,100*(SUMPRODUCT(N(a&lt;K28))+(SUMPRODUCT(N(a=K28))-1)/2)/(cohort_size-1))))),"&amp;"""Unranked"")"),50.0)</f>
        <v>50</v>
      </c>
      <c r="AI28" s="111">
        <f>IFERROR(__xludf.DUMMYFUNCTION("IFERROR(IF(AA28&lt;&gt;1,""Unranked"",100-LET(a,FILTER($L$15:$L$44,$D$15:$D$44=D28,$AA$15:$AA$44=1),cohort_size,ROWS(a),IF(cohort_size&lt;MAX(3,Rules!$B$12),""Unranked"",IF(MAX(a)=MIN(a),50,100*(SUMPRODUCT(N(a&lt;L28))+(SUMPRODUCT(N(a=L28))-1)/2)/(cohort_size-1))))),"&amp;"""Unranked"")"),50.0)</f>
        <v>50</v>
      </c>
      <c r="AJ28" s="111">
        <f>IFERROR(__xludf.DUMMYFUNCTION("IFERROR(IF(AA28&lt;&gt;1,""Unranked"",LET(a,FILTER($M$15:$M$44,$D$15:$D$44=D28,$AA$15:$AA$44=1),cohort_size,ROWS(a),IF(cohort_size&lt;MAX(3,Rules!$B$12),""Unranked"",IF(MAX(a)=MIN(a),50,100*(SUMPRODUCT(N(a&lt;M28))+(SUMPRODUCT(N(a=M28))-1)/2)/(cohort_size-1))))),""Un"&amp;"ranked"")"),50.0)</f>
        <v>50</v>
      </c>
      <c r="AK28" s="139" t="str">
        <f t="shared" si="5"/>
        <v>Not used</v>
      </c>
      <c r="AL28" s="111">
        <f t="shared" si="6"/>
        <v>50</v>
      </c>
      <c r="AM28" s="111">
        <f>IFERROR(__xludf.DUMMYFUNCTION("IFERROR(IF(AA28&lt;&gt;1,""Unranked"",LET(a,FILTER($AB$15:$AB$44,$D$15:$D$44=D28,$AA$15:$AA$44=1),cohort_size,ROWS(a),IF(cohort_size&lt;MAX(3,Rules!$B$12),""Unranked"",IF(MAX(a)=MIN(a),50,100*(SUMPRODUCT(N(a&lt;AB28))+(SUMPRODUCT(N(a=AB28))-1)/2)/(cohort_size-1))))),"&amp;"""Unranked"")"),0.0)</f>
        <v>0</v>
      </c>
      <c r="AN28" s="111">
        <f>IFERROR(__xludf.DUMMYFUNCTION("IFERROR(IF(AA28&lt;&gt;1,""Unranked"",LET(a,FILTER($O$15:$O$44,$D$15:$D$44=D28,$AA$15:$AA$44=1),cohort_size,ROWS(a),IF(cohort_size&lt;MAX(3,Rules!$B$12),""Unranked"",IF(MAX(a)=MIN(a),50,100*(SUMPRODUCT(N(a&lt;O28))+(SUMPRODUCT(N(a=O28))-1)/2)/(cohort_size-1))))),""Un"&amp;"ranked"")"),0.0)</f>
        <v>0</v>
      </c>
      <c r="AO28" s="111">
        <f>IFERROR(__xludf.DUMMYFUNCTION("IFERROR(IF(AA28&lt;&gt;1,""Unranked"",LET(a,FILTER($P$15:$P$44,$D$15:$D$44=D28,$AA$15:$AA$44=1),cohort_size,ROWS(a),IF(cohort_size&lt;MAX(3,Rules!$B$12),""Unranked"",IF(MAX(a)=MIN(a),50,100*(SUMPRODUCT(N(a&lt;P28))+(SUMPRODUCT(N(a=P28))-1)/2)/(cohort_size-1))))),""Un"&amp;"ranked"")"),0.0)</f>
        <v>0</v>
      </c>
      <c r="AP28" s="111">
        <f t="shared" si="7"/>
        <v>0</v>
      </c>
      <c r="AQ28" s="111">
        <f>IF(AND(AA28=1,AD28&gt;=MAX(3,Rules!$B$12),COUNT(AG28,AL28,AM28,AP28)=4,MIN(AG28,AL28,AM28,AP28)&gt;=0,MAX(AG28,AL28,AM28,AP28)&lt;=100),1,0)</f>
        <v>1</v>
      </c>
      <c r="AR28" s="105" t="s">
        <v>1569</v>
      </c>
      <c r="AS28" s="105" t="s">
        <v>1274</v>
      </c>
    </row>
    <row r="29" ht="52.5" customHeight="1">
      <c r="A29" s="132" t="s">
        <v>1585</v>
      </c>
      <c r="B29" s="132" t="s">
        <v>1402</v>
      </c>
      <c r="C29" s="132" t="s">
        <v>318</v>
      </c>
      <c r="D29" s="132" t="s">
        <v>1519</v>
      </c>
      <c r="E29" s="133" t="s">
        <v>59</v>
      </c>
      <c r="F29" s="134">
        <v>44.31</v>
      </c>
      <c r="G29" s="135">
        <v>46297.0</v>
      </c>
      <c r="H29" s="134">
        <v>7.79</v>
      </c>
      <c r="I29" s="136" t="s">
        <v>1457</v>
      </c>
      <c r="J29" s="135">
        <v>46298.0</v>
      </c>
      <c r="K29" s="134">
        <v>27.47</v>
      </c>
      <c r="L29" s="134">
        <v>19.1</v>
      </c>
      <c r="M29" s="137">
        <v>0.0641</v>
      </c>
      <c r="N29" s="134">
        <v>13.1</v>
      </c>
      <c r="O29" s="137">
        <v>0.5764</v>
      </c>
      <c r="P29" s="137">
        <v>0.2809</v>
      </c>
      <c r="Q29" s="132" t="s">
        <v>1207</v>
      </c>
      <c r="R29" s="134">
        <v>7.206</v>
      </c>
      <c r="S29" s="132" t="s">
        <v>1314</v>
      </c>
      <c r="T29" s="134">
        <v>5.005</v>
      </c>
      <c r="U29" s="134">
        <v>5.23</v>
      </c>
      <c r="V29" s="134">
        <v>3.78</v>
      </c>
      <c r="W29" s="138" t="s">
        <v>1589</v>
      </c>
      <c r="X29" s="138" t="s">
        <v>1590</v>
      </c>
      <c r="Y29" s="138" t="s">
        <v>1591</v>
      </c>
      <c r="Z29" s="133" t="s">
        <v>249</v>
      </c>
      <c r="AA29" s="111">
        <f>IFERROR(IF(AND(COUNTIF($A$15:$A$44,A29)=1,Z29="Yes",ISNUMBER(F29),F29&gt;=MAX(10,Rules!$B$22),ISNUMBER(G29),G29&lt;=Rules!$B$6,Rules!$B$6-G29&lt;=Rules!$B$10,ISNUMBER(J29),J29=Rules!$B$6,DATEVALUE("1 "&amp;I29)&lt;=Rules!$B$6,Rules!$B$6-DATEVALUE("1 "&amp;I29)&lt;=Rules!$B$11,COUNT(H29,K29:L29,O29:P29,R29,T29)=7,MIN(H29,K29:L29,R29,T29)&gt;0,RIGHT(Q29,4)-RIGHT(S29,4)=3,IF(C29="Utilities",AND(ISNUMBER(N29),N29&gt;0),ISNUMBER(M29)),D29&lt;&gt;"",W29&lt;&gt;"",X29&lt;&gt;""),1,0),0)</f>
        <v>1</v>
      </c>
      <c r="AB29" s="128">
        <f t="shared" si="1"/>
        <v>0.1291805581</v>
      </c>
      <c r="AC29" s="128">
        <f t="shared" si="2"/>
        <v>0.1143029912</v>
      </c>
      <c r="AD29" s="111">
        <f t="shared" si="3"/>
        <v>3</v>
      </c>
      <c r="AE29" s="111">
        <f>IFERROR(__xludf.DUMMYFUNCTION("IFERROR(IF(AA29&lt;&gt;1,""Unranked"",LET(a,FILTER($F$15:$F$44,$D$15:$D$44=D29,$AA$15:$AA$44=1),cohort_size,ROWS(a),IF(cohort_size&lt;MAX(3,Rules!$B$12),""Unranked"",IF(MAX(a)=MIN(a),50,100*(SUMPRODUCT(N(a&lt;F29))+(SUMPRODUCT(N(a=F29))-1)/2)/(cohort_size-1))))),""Un"&amp;"ranked"")"),0.0)</f>
        <v>0</v>
      </c>
      <c r="AF29" s="111">
        <f>IFERROR(__xludf.DUMMYFUNCTION("IFERROR(IF(AA29&lt;&gt;1,""Unranked"",LET(a,FILTER($H$15:$H$44,$D$15:$D$44=D29,$AA$15:$AA$44=1),cohort_size,ROWS(a),IF(cohort_size&lt;MAX(3,Rules!$B$12),""Unranked"",IF(MAX(a)=MIN(a),50,100*(SUMPRODUCT(N(a&lt;H29))+(SUMPRODUCT(N(a=H29))-1)/2)/(cohort_size-1))))),""Un"&amp;"ranked"")"),0.0)</f>
        <v>0</v>
      </c>
      <c r="AG29" s="111">
        <f t="shared" si="4"/>
        <v>0</v>
      </c>
      <c r="AH29" s="111">
        <f>IFERROR(__xludf.DUMMYFUNCTION("IFERROR(IF(AA29&lt;&gt;1,""Unranked"",100-LET(a,FILTER($K$15:$K$44,$D$15:$D$44=D29,$AA$15:$AA$44=1),cohort_size,ROWS(a),IF(cohort_size&lt;MAX(3,Rules!$B$12),""Unranked"",IF(MAX(a)=MIN(a),50,100*(SUMPRODUCT(N(a&lt;K29))+(SUMPRODUCT(N(a=K29))-1)/2)/(cohort_size-1))))),"&amp;"""Unranked"")"),0.0)</f>
        <v>0</v>
      </c>
      <c r="AI29" s="111">
        <f>IFERROR(__xludf.DUMMYFUNCTION("IFERROR(IF(AA29&lt;&gt;1,""Unranked"",100-LET(a,FILTER($L$15:$L$44,$D$15:$D$44=D29,$AA$15:$AA$44=1),cohort_size,ROWS(a),IF(cohort_size&lt;MAX(3,Rules!$B$12),""Unranked"",IF(MAX(a)=MIN(a),50,100*(SUMPRODUCT(N(a&lt;L29))+(SUMPRODUCT(N(a=L29))-1)/2)/(cohort_size-1))))),"&amp;"""Unranked"")"),0.0)</f>
        <v>0</v>
      </c>
      <c r="AJ29" s="111">
        <f>IFERROR(__xludf.DUMMYFUNCTION("IFERROR(IF(AA29&lt;&gt;1,""Unranked"",LET(a,FILTER($M$15:$M$44,$D$15:$D$44=D29,$AA$15:$AA$44=1),cohort_size,ROWS(a),IF(cohort_size&lt;MAX(3,Rules!$B$12),""Unranked"",IF(MAX(a)=MIN(a),50,100*(SUMPRODUCT(N(a&lt;M29))+(SUMPRODUCT(N(a=M29))-1)/2)/(cohort_size-1))))),""Un"&amp;"ranked"")"),0.0)</f>
        <v>0</v>
      </c>
      <c r="AK29" s="139" t="str">
        <f t="shared" si="5"/>
        <v>Not used</v>
      </c>
      <c r="AL29" s="111">
        <f t="shared" si="6"/>
        <v>0</v>
      </c>
      <c r="AM29" s="111">
        <f>IFERROR(__xludf.DUMMYFUNCTION("IFERROR(IF(AA29&lt;&gt;1,""Unranked"",LET(a,FILTER($AB$15:$AB$44,$D$15:$D$44=D29,$AA$15:$AA$44=1),cohort_size,ROWS(a),IF(cohort_size&lt;MAX(3,Rules!$B$12),""Unranked"",IF(MAX(a)=MIN(a),50,100*(SUMPRODUCT(N(a&lt;AB29))+(SUMPRODUCT(N(a=AB29))-1)/2)/(cohort_size-1))))),"&amp;"""Unranked"")"),100.0)</f>
        <v>100</v>
      </c>
      <c r="AN29" s="111">
        <f>IFERROR(__xludf.DUMMYFUNCTION("IFERROR(IF(AA29&lt;&gt;1,""Unranked"",LET(a,FILTER($O$15:$O$44,$D$15:$D$44=D29,$AA$15:$AA$44=1),cohort_size,ROWS(a),IF(cohort_size&lt;MAX(3,Rules!$B$12),""Unranked"",IF(MAX(a)=MIN(a),50,100*(SUMPRODUCT(N(a&lt;O29))+(SUMPRODUCT(N(a=O29))-1)/2)/(cohort_size-1))))),""Un"&amp;"ranked"")"),100.0)</f>
        <v>100</v>
      </c>
      <c r="AO29" s="111">
        <f>IFERROR(__xludf.DUMMYFUNCTION("IFERROR(IF(AA29&lt;&gt;1,""Unranked"",LET(a,FILTER($P$15:$P$44,$D$15:$D$44=D29,$AA$15:$AA$44=1),cohort_size,ROWS(a),IF(cohort_size&lt;MAX(3,Rules!$B$12),""Unranked"",IF(MAX(a)=MIN(a),50,100*(SUMPRODUCT(N(a&lt;P29))+(SUMPRODUCT(N(a=P29))-1)/2)/(cohort_size-1))))),""Un"&amp;"ranked"")"),50.0)</f>
        <v>50</v>
      </c>
      <c r="AP29" s="111">
        <f t="shared" si="7"/>
        <v>75</v>
      </c>
      <c r="AQ29" s="111">
        <f>IF(AND(AA29=1,AD29&gt;=MAX(3,Rules!$B$12),COUNT(AG29,AL29,AM29,AP29)=4,MIN(AG29,AL29,AM29,AP29)&gt;=0,MAX(AG29,AL29,AM29,AP29)&lt;=100),1,0)</f>
        <v>1</v>
      </c>
      <c r="AR29" s="105" t="s">
        <v>1592</v>
      </c>
      <c r="AS29" s="105" t="s">
        <v>1274</v>
      </c>
    </row>
    <row r="30" ht="52.5" customHeight="1">
      <c r="A30" s="132" t="s">
        <v>321</v>
      </c>
      <c r="B30" s="132" t="s">
        <v>322</v>
      </c>
      <c r="C30" s="132" t="s">
        <v>324</v>
      </c>
      <c r="D30" s="132" t="s">
        <v>1593</v>
      </c>
      <c r="E30" s="133" t="s">
        <v>249</v>
      </c>
      <c r="F30" s="134">
        <v>190.79</v>
      </c>
      <c r="G30" s="135">
        <v>46297.0</v>
      </c>
      <c r="H30" s="134">
        <v>138.895</v>
      </c>
      <c r="I30" s="136" t="s">
        <v>1266</v>
      </c>
      <c r="J30" s="135">
        <v>46298.0</v>
      </c>
      <c r="K30" s="134">
        <v>11.96</v>
      </c>
      <c r="L30" s="134">
        <v>7.48</v>
      </c>
      <c r="M30" s="137">
        <v>0.11289999999999999</v>
      </c>
      <c r="N30" s="134">
        <v>1.84</v>
      </c>
      <c r="O30" s="137">
        <v>0.0827</v>
      </c>
      <c r="P30" s="137">
        <v>0.2307</v>
      </c>
      <c r="Q30" s="132" t="s">
        <v>1206</v>
      </c>
      <c r="R30" s="134">
        <v>138.191</v>
      </c>
      <c r="S30" s="132" t="s">
        <v>1267</v>
      </c>
      <c r="T30" s="134">
        <v>136.835</v>
      </c>
      <c r="U30" s="134">
        <v>4.06</v>
      </c>
      <c r="V30" s="134">
        <v>5.06</v>
      </c>
      <c r="W30" s="138" t="s">
        <v>1594</v>
      </c>
      <c r="X30" s="138" t="s">
        <v>1595</v>
      </c>
      <c r="Y30" s="138" t="s">
        <v>1596</v>
      </c>
      <c r="Z30" s="133" t="s">
        <v>249</v>
      </c>
      <c r="AA30" s="111">
        <f>IFERROR(IF(AND(COUNTIF($A$15:$A$44,A30)=1,Z30="Yes",ISNUMBER(F30),F30&gt;=MAX(10,Rules!$B$22),ISNUMBER(G30),G30&lt;=Rules!$B$6,Rules!$B$6-G30&lt;=Rules!$B$10,ISNUMBER(J30),J30=Rules!$B$6,DATEVALUE("1 "&amp;I30)&lt;=Rules!$B$6,Rules!$B$6-DATEVALUE("1 "&amp;I30)&lt;=Rules!$B$11,COUNT(H30,K30:L30,O30:P30,R30,T30)=7,MIN(H30,K30:L30,R30,T30)&gt;0,RIGHT(Q30,4)-RIGHT(S30,4)=3,IF(C30="Utilities",AND(ISNUMBER(N30),N30&gt;0),ISNUMBER(M30)),D30&lt;&gt;"",W30&lt;&gt;"",X30&lt;&gt;""),1,0),0)</f>
        <v>1</v>
      </c>
      <c r="AB30" s="128">
        <f t="shared" si="1"/>
        <v>0.003292396666</v>
      </c>
      <c r="AC30" s="128">
        <f t="shared" si="2"/>
        <v>-0.07076582817</v>
      </c>
      <c r="AD30" s="111">
        <f t="shared" si="3"/>
        <v>3</v>
      </c>
      <c r="AE30" s="111">
        <f>IFERROR(__xludf.DUMMYFUNCTION("IFERROR(IF(AA30&lt;&gt;1,""Unranked"",LET(a,FILTER($F$15:$F$44,$D$15:$D$44=D30,$AA$15:$AA$44=1),cohort_size,ROWS(a),IF(cohort_size&lt;MAX(3,Rules!$B$12),""Unranked"",IF(MAX(a)=MIN(a),50,100*(SUMPRODUCT(N(a&lt;F30))+(SUMPRODUCT(N(a=F30))-1)/2)/(cohort_size-1))))),""Un"&amp;"ranked"")"),100.0)</f>
        <v>100</v>
      </c>
      <c r="AF30" s="111">
        <f>IFERROR(__xludf.DUMMYFUNCTION("IFERROR(IF(AA30&lt;&gt;1,""Unranked"",LET(a,FILTER($H$15:$H$44,$D$15:$D$44=D30,$AA$15:$AA$44=1),cohort_size,ROWS(a),IF(cohort_size&lt;MAX(3,Rules!$B$12),""Unranked"",IF(MAX(a)=MIN(a),50,100*(SUMPRODUCT(N(a&lt;H30))+(SUMPRODUCT(N(a=H30))-1)/2)/(cohort_size-1))))),""Un"&amp;"ranked"")"),100.0)</f>
        <v>100</v>
      </c>
      <c r="AG30" s="111">
        <f t="shared" si="4"/>
        <v>100</v>
      </c>
      <c r="AH30" s="111">
        <f>IFERROR(__xludf.DUMMYFUNCTION("IFERROR(IF(AA30&lt;&gt;1,""Unranked"",100-LET(a,FILTER($K$15:$K$44,$D$15:$D$44=D30,$AA$15:$AA$44=1),cohort_size,ROWS(a),IF(cohort_size&lt;MAX(3,Rules!$B$12),""Unranked"",IF(MAX(a)=MIN(a),50,100*(SUMPRODUCT(N(a&lt;K30))+(SUMPRODUCT(N(a=K30))-1)/2)/(cohort_size-1))))),"&amp;"""Unranked"")"),50.0)</f>
        <v>50</v>
      </c>
      <c r="AI30" s="111">
        <f>IFERROR(__xludf.DUMMYFUNCTION("IFERROR(IF(AA30&lt;&gt;1,""Unranked"",100-LET(a,FILTER($L$15:$L$44,$D$15:$D$44=D30,$AA$15:$AA$44=1),cohort_size,ROWS(a),IF(cohort_size&lt;MAX(3,Rules!$B$12),""Unranked"",IF(MAX(a)=MIN(a),50,100*(SUMPRODUCT(N(a&lt;L30))+(SUMPRODUCT(N(a=L30))-1)/2)/(cohort_size-1))))),"&amp;"""Unranked"")"),50.0)</f>
        <v>50</v>
      </c>
      <c r="AJ30" s="111">
        <f>IFERROR(__xludf.DUMMYFUNCTION("IFERROR(IF(AA30&lt;&gt;1,""Unranked"",LET(a,FILTER($M$15:$M$44,$D$15:$D$44=D30,$AA$15:$AA$44=1),cohort_size,ROWS(a),IF(cohort_size&lt;MAX(3,Rules!$B$12),""Unranked"",IF(MAX(a)=MIN(a),50,100*(SUMPRODUCT(N(a&lt;M30))+(SUMPRODUCT(N(a=M30))-1)/2)/(cohort_size-1))))),""Un"&amp;"ranked"")"),100.0)</f>
        <v>100</v>
      </c>
      <c r="AK30" s="139" t="str">
        <f t="shared" si="5"/>
        <v>Not used</v>
      </c>
      <c r="AL30" s="111">
        <f t="shared" si="6"/>
        <v>65</v>
      </c>
      <c r="AM30" s="111">
        <f>IFERROR(__xludf.DUMMYFUNCTION("IFERROR(IF(AA30&lt;&gt;1,""Unranked"",LET(a,FILTER($AB$15:$AB$44,$D$15:$D$44=D30,$AA$15:$AA$44=1),cohort_size,ROWS(a),IF(cohort_size&lt;MAX(3,Rules!$B$12),""Unranked"",IF(MAX(a)=MIN(a),50,100*(SUMPRODUCT(N(a&lt;AB30))+(SUMPRODUCT(N(a=AB30))-1)/2)/(cohort_size-1))))),"&amp;"""Unranked"")"),0.0)</f>
        <v>0</v>
      </c>
      <c r="AN30" s="111">
        <f>IFERROR(__xludf.DUMMYFUNCTION("IFERROR(IF(AA30&lt;&gt;1,""Unranked"",LET(a,FILTER($O$15:$O$44,$D$15:$D$44=D30,$AA$15:$AA$44=1),cohort_size,ROWS(a),IF(cohort_size&lt;MAX(3,Rules!$B$12),""Unranked"",IF(MAX(a)=MIN(a),50,100*(SUMPRODUCT(N(a&lt;O30))+(SUMPRODUCT(N(a=O30))-1)/2)/(cohort_size-1))))),""Un"&amp;"ranked"")"),0.0)</f>
        <v>0</v>
      </c>
      <c r="AO30" s="111">
        <f>IFERROR(__xludf.DUMMYFUNCTION("IFERROR(IF(AA30&lt;&gt;1,""Unranked"",LET(a,FILTER($P$15:$P$44,$D$15:$D$44=D30,$AA$15:$AA$44=1),cohort_size,ROWS(a),IF(cohort_size&lt;MAX(3,Rules!$B$12),""Unranked"",IF(MAX(a)=MIN(a),50,100*(SUMPRODUCT(N(a&lt;P30))+(SUMPRODUCT(N(a=P30))-1)/2)/(cohort_size-1))))),""Un"&amp;"ranked"")"),100.0)</f>
        <v>100</v>
      </c>
      <c r="AP30" s="111">
        <f t="shared" si="7"/>
        <v>50</v>
      </c>
      <c r="AQ30" s="111">
        <f>IF(AND(AA30=1,AD30&gt;=MAX(3,Rules!$B$12),COUNT(AG30,AL30,AM30,AP30)=4,MIN(AG30,AL30,AM30,AP30)&gt;=0,MAX(AG30,AL30,AM30,AP30)&lt;=100),1,0)</f>
        <v>1</v>
      </c>
      <c r="AR30" s="105" t="s">
        <v>1597</v>
      </c>
      <c r="AS30" s="105" t="s">
        <v>1274</v>
      </c>
    </row>
    <row r="31" ht="52.5" customHeight="1">
      <c r="A31" s="132" t="s">
        <v>1598</v>
      </c>
      <c r="B31" s="132" t="s">
        <v>1338</v>
      </c>
      <c r="C31" s="132" t="s">
        <v>324</v>
      </c>
      <c r="D31" s="132" t="s">
        <v>1593</v>
      </c>
      <c r="E31" s="133" t="s">
        <v>59</v>
      </c>
      <c r="F31" s="134">
        <v>166.51</v>
      </c>
      <c r="G31" s="135">
        <v>46297.0</v>
      </c>
      <c r="H31" s="134">
        <v>127.239</v>
      </c>
      <c r="I31" s="136" t="s">
        <v>1266</v>
      </c>
      <c r="J31" s="135">
        <v>46298.0</v>
      </c>
      <c r="K31" s="134">
        <v>8.01</v>
      </c>
      <c r="L31" s="134">
        <v>7.0</v>
      </c>
      <c r="M31" s="137">
        <v>0.106</v>
      </c>
      <c r="N31" s="134">
        <v>1.51</v>
      </c>
      <c r="O31" s="137">
        <v>0.0889</v>
      </c>
      <c r="P31" s="137">
        <v>0.2183</v>
      </c>
      <c r="Q31" s="132" t="s">
        <v>1206</v>
      </c>
      <c r="R31" s="134">
        <v>125.648</v>
      </c>
      <c r="S31" s="132" t="s">
        <v>1267</v>
      </c>
      <c r="T31" s="134">
        <v>120.741</v>
      </c>
      <c r="U31" s="134">
        <v>3.05</v>
      </c>
      <c r="V31" s="134">
        <v>-1.13</v>
      </c>
      <c r="W31" s="138" t="s">
        <v>1599</v>
      </c>
      <c r="X31" s="138" t="s">
        <v>1600</v>
      </c>
      <c r="Y31" s="138" t="s">
        <v>1601</v>
      </c>
      <c r="Z31" s="133" t="s">
        <v>249</v>
      </c>
      <c r="AA31" s="111">
        <f>IFERROR(IF(AND(COUNTIF($A$15:$A$44,A31)=1,Z31="Yes",ISNUMBER(F31),F31&gt;=MAX(10,Rules!$B$22),ISNUMBER(G31),G31&lt;=Rules!$B$6,Rules!$B$6-G31&lt;=Rules!$B$10,ISNUMBER(J31),J31=Rules!$B$6,DATEVALUE("1 "&amp;I31)&lt;=Rules!$B$6,Rules!$B$6-DATEVALUE("1 "&amp;I31)&lt;=Rules!$B$11,COUNT(H31,K31:L31,O31:P31,R31,T31)=7,MIN(H31,K31:L31,R31,T31)&gt;0,RIGHT(Q31,4)-RIGHT(S31,4)=3,IF(C31="Utilities",AND(ISNUMBER(N31),N31&gt;0),ISNUMBER(M31)),D31&lt;&gt;"",W31&lt;&gt;"",X31&lt;&gt;""),1,0),0)</f>
        <v>1</v>
      </c>
      <c r="AB31" s="128">
        <f t="shared" si="1"/>
        <v>0.01336741933</v>
      </c>
      <c r="AC31" s="128" t="str">
        <f t="shared" si="2"/>
        <v>Undefined</v>
      </c>
      <c r="AD31" s="111">
        <f t="shared" si="3"/>
        <v>3</v>
      </c>
      <c r="AE31" s="111">
        <f>IFERROR(__xludf.DUMMYFUNCTION("IFERROR(IF(AA31&lt;&gt;1,""Unranked"",LET(a,FILTER($F$15:$F$44,$D$15:$D$44=D31,$AA$15:$AA$44=1),cohort_size,ROWS(a),IF(cohort_size&lt;MAX(3,Rules!$B$12),""Unranked"",IF(MAX(a)=MIN(a),50,100*(SUMPRODUCT(N(a&lt;F31))+(SUMPRODUCT(N(a=F31))-1)/2)/(cohort_size-1))))),""Un"&amp;"ranked"")"),0.0)</f>
        <v>0</v>
      </c>
      <c r="AF31" s="111">
        <f>IFERROR(__xludf.DUMMYFUNCTION("IFERROR(IF(AA31&lt;&gt;1,""Unranked"",LET(a,FILTER($H$15:$H$44,$D$15:$D$44=D31,$AA$15:$AA$44=1),cohort_size,ROWS(a),IF(cohort_size&lt;MAX(3,Rules!$B$12),""Unranked"",IF(MAX(a)=MIN(a),50,100*(SUMPRODUCT(N(a&lt;H31))+(SUMPRODUCT(N(a=H31))-1)/2)/(cohort_size-1))))),""Un"&amp;"ranked"")"),50.0)</f>
        <v>50</v>
      </c>
      <c r="AG31" s="111">
        <f t="shared" si="4"/>
        <v>25</v>
      </c>
      <c r="AH31" s="111">
        <f>IFERROR(__xludf.DUMMYFUNCTION("IFERROR(IF(AA31&lt;&gt;1,""Unranked"",100-LET(a,FILTER($K$15:$K$44,$D$15:$D$44=D31,$AA$15:$AA$44=1),cohort_size,ROWS(a),IF(cohort_size&lt;MAX(3,Rules!$B$12),""Unranked"",IF(MAX(a)=MIN(a),50,100*(SUMPRODUCT(N(a&lt;K31))+(SUMPRODUCT(N(a=K31))-1)/2)/(cohort_size-1))))),"&amp;"""Unranked"")"),100.0)</f>
        <v>100</v>
      </c>
      <c r="AI31" s="111">
        <f>IFERROR(__xludf.DUMMYFUNCTION("IFERROR(IF(AA31&lt;&gt;1,""Unranked"",100-LET(a,FILTER($L$15:$L$44,$D$15:$D$44=D31,$AA$15:$AA$44=1),cohort_size,ROWS(a),IF(cohort_size&lt;MAX(3,Rules!$B$12),""Unranked"",IF(MAX(a)=MIN(a),50,100*(SUMPRODUCT(N(a&lt;L31))+(SUMPRODUCT(N(a=L31))-1)/2)/(cohort_size-1))))),"&amp;"""Unranked"")"),100.0)</f>
        <v>100</v>
      </c>
      <c r="AJ31" s="111">
        <f>IFERROR(__xludf.DUMMYFUNCTION("IFERROR(IF(AA31&lt;&gt;1,""Unranked"",LET(a,FILTER($M$15:$M$44,$D$15:$D$44=D31,$AA$15:$AA$44=1),cohort_size,ROWS(a),IF(cohort_size&lt;MAX(3,Rules!$B$12),""Unranked"",IF(MAX(a)=MIN(a),50,100*(SUMPRODUCT(N(a&lt;M31))+(SUMPRODUCT(N(a=M31))-1)/2)/(cohort_size-1))))),""Un"&amp;"ranked"")"),50.0)</f>
        <v>50</v>
      </c>
      <c r="AK31" s="139" t="str">
        <f t="shared" si="5"/>
        <v>Not used</v>
      </c>
      <c r="AL31" s="111">
        <f t="shared" si="6"/>
        <v>85</v>
      </c>
      <c r="AM31" s="111">
        <f>IFERROR(__xludf.DUMMYFUNCTION("IFERROR(IF(AA31&lt;&gt;1,""Unranked"",LET(a,FILTER($AB$15:$AB$44,$D$15:$D$44=D31,$AA$15:$AA$44=1),cohort_size,ROWS(a),IF(cohort_size&lt;MAX(3,Rules!$B$12),""Unranked"",IF(MAX(a)=MIN(a),50,100*(SUMPRODUCT(N(a&lt;AB31))+(SUMPRODUCT(N(a=AB31))-1)/2)/(cohort_size-1))))),"&amp;"""Unranked"")"),50.0)</f>
        <v>50</v>
      </c>
      <c r="AN31" s="111">
        <f>IFERROR(__xludf.DUMMYFUNCTION("IFERROR(IF(AA31&lt;&gt;1,""Unranked"",LET(a,FILTER($O$15:$O$44,$D$15:$D$44=D31,$AA$15:$AA$44=1),cohort_size,ROWS(a),IF(cohort_size&lt;MAX(3,Rules!$B$12),""Unranked"",IF(MAX(a)=MIN(a),50,100*(SUMPRODUCT(N(a&lt;O31))+(SUMPRODUCT(N(a=O31))-1)/2)/(cohort_size-1))))),""Un"&amp;"ranked"")"),50.0)</f>
        <v>50</v>
      </c>
      <c r="AO31" s="111">
        <f>IFERROR(__xludf.DUMMYFUNCTION("IFERROR(IF(AA31&lt;&gt;1,""Unranked"",LET(a,FILTER($P$15:$P$44,$D$15:$D$44=D31,$AA$15:$AA$44=1),cohort_size,ROWS(a),IF(cohort_size&lt;MAX(3,Rules!$B$12),""Unranked"",IF(MAX(a)=MIN(a),50,100*(SUMPRODUCT(N(a&lt;P31))+(SUMPRODUCT(N(a=P31))-1)/2)/(cohort_size-1))))),""Un"&amp;"ranked"")"),0.0)</f>
        <v>0</v>
      </c>
      <c r="AP31" s="111">
        <f t="shared" si="7"/>
        <v>25</v>
      </c>
      <c r="AQ31" s="111">
        <f>IF(AND(AA31=1,AD31&gt;=MAX(3,Rules!$B$12),COUNT(AG31,AL31,AM31,AP31)=4,MIN(AG31,AL31,AM31,AP31)&gt;=0,MAX(AG31,AL31,AM31,AP31)&lt;=100),1,0)</f>
        <v>1</v>
      </c>
      <c r="AR31" s="105" t="s">
        <v>1602</v>
      </c>
      <c r="AS31" s="105" t="s">
        <v>1274</v>
      </c>
    </row>
    <row r="32" ht="52.5" customHeight="1">
      <c r="A32" s="132" t="s">
        <v>1603</v>
      </c>
      <c r="B32" s="132" t="s">
        <v>1339</v>
      </c>
      <c r="C32" s="132" t="s">
        <v>324</v>
      </c>
      <c r="D32" s="132" t="s">
        <v>1593</v>
      </c>
      <c r="E32" s="133" t="s">
        <v>59</v>
      </c>
      <c r="F32" s="134">
        <v>175.53</v>
      </c>
      <c r="G32" s="135">
        <v>46297.0</v>
      </c>
      <c r="H32" s="134">
        <v>92.189</v>
      </c>
      <c r="I32" s="136" t="s">
        <v>1266</v>
      </c>
      <c r="J32" s="135">
        <v>46298.0</v>
      </c>
      <c r="K32" s="134">
        <v>17.16</v>
      </c>
      <c r="L32" s="134">
        <v>8.53</v>
      </c>
      <c r="M32" s="137">
        <v>0.1048</v>
      </c>
      <c r="N32" s="134">
        <v>3.13</v>
      </c>
      <c r="O32" s="137">
        <v>0.0893</v>
      </c>
      <c r="P32" s="137">
        <v>0.2209</v>
      </c>
      <c r="Q32" s="132" t="s">
        <v>1206</v>
      </c>
      <c r="R32" s="134">
        <v>88.309</v>
      </c>
      <c r="S32" s="132" t="s">
        <v>1267</v>
      </c>
      <c r="T32" s="134">
        <v>79.571</v>
      </c>
      <c r="U32" s="134">
        <v>9.72</v>
      </c>
      <c r="V32" s="134">
        <v>2.06</v>
      </c>
      <c r="W32" s="138" t="s">
        <v>1604</v>
      </c>
      <c r="X32" s="138" t="s">
        <v>1605</v>
      </c>
      <c r="Y32" s="138" t="s">
        <v>1606</v>
      </c>
      <c r="Z32" s="133" t="s">
        <v>249</v>
      </c>
      <c r="AA32" s="111">
        <f>IFERROR(IF(AND(COUNTIF($A$15:$A$44,A32)=1,Z32="Yes",ISNUMBER(F32),F32&gt;=MAX(10,Rules!$B$22),ISNUMBER(G32),G32&lt;=Rules!$B$6,Rules!$B$6-G32&lt;=Rules!$B$10,ISNUMBER(J32),J32=Rules!$B$6,DATEVALUE("1 "&amp;I32)&lt;=Rules!$B$6,Rules!$B$6-DATEVALUE("1 "&amp;I32)&lt;=Rules!$B$11,COUNT(H32,K32:L32,O32:P32,R32,T32)=7,MIN(H32,K32:L32,R32,T32)&gt;0,RIGHT(Q32,4)-RIGHT(S32,4)=3,IF(C32="Utilities",AND(ISNUMBER(N32),N32&gt;0),ISNUMBER(M32)),D32&lt;&gt;"",W32&lt;&gt;"",X32&lt;&gt;""),1,0),0)</f>
        <v>1</v>
      </c>
      <c r="AB32" s="128">
        <f t="shared" si="1"/>
        <v>0.03534093086</v>
      </c>
      <c r="AC32" s="128">
        <f t="shared" si="2"/>
        <v>0.6772572643</v>
      </c>
      <c r="AD32" s="111">
        <f t="shared" si="3"/>
        <v>3</v>
      </c>
      <c r="AE32" s="111">
        <f>IFERROR(__xludf.DUMMYFUNCTION("IFERROR(IF(AA32&lt;&gt;1,""Unranked"",LET(a,FILTER($F$15:$F$44,$D$15:$D$44=D32,$AA$15:$AA$44=1),cohort_size,ROWS(a),IF(cohort_size&lt;MAX(3,Rules!$B$12),""Unranked"",IF(MAX(a)=MIN(a),50,100*(SUMPRODUCT(N(a&lt;F32))+(SUMPRODUCT(N(a=F32))-1)/2)/(cohort_size-1))))),""Un"&amp;"ranked"")"),50.0)</f>
        <v>50</v>
      </c>
      <c r="AF32" s="111">
        <f>IFERROR(__xludf.DUMMYFUNCTION("IFERROR(IF(AA32&lt;&gt;1,""Unranked"",LET(a,FILTER($H$15:$H$44,$D$15:$D$44=D32,$AA$15:$AA$44=1),cohort_size,ROWS(a),IF(cohort_size&lt;MAX(3,Rules!$B$12),""Unranked"",IF(MAX(a)=MIN(a),50,100*(SUMPRODUCT(N(a&lt;H32))+(SUMPRODUCT(N(a=H32))-1)/2)/(cohort_size-1))))),""Un"&amp;"ranked"")"),0.0)</f>
        <v>0</v>
      </c>
      <c r="AG32" s="111">
        <f t="shared" si="4"/>
        <v>25</v>
      </c>
      <c r="AH32" s="111">
        <f>IFERROR(__xludf.DUMMYFUNCTION("IFERROR(IF(AA32&lt;&gt;1,""Unranked"",100-LET(a,FILTER($K$15:$K$44,$D$15:$D$44=D32,$AA$15:$AA$44=1),cohort_size,ROWS(a),IF(cohort_size&lt;MAX(3,Rules!$B$12),""Unranked"",IF(MAX(a)=MIN(a),50,100*(SUMPRODUCT(N(a&lt;K32))+(SUMPRODUCT(N(a=K32))-1)/2)/(cohort_size-1))))),"&amp;"""Unranked"")"),0.0)</f>
        <v>0</v>
      </c>
      <c r="AI32" s="111">
        <f>IFERROR(__xludf.DUMMYFUNCTION("IFERROR(IF(AA32&lt;&gt;1,""Unranked"",100-LET(a,FILTER($L$15:$L$44,$D$15:$D$44=D32,$AA$15:$AA$44=1),cohort_size,ROWS(a),IF(cohort_size&lt;MAX(3,Rules!$B$12),""Unranked"",IF(MAX(a)=MIN(a),50,100*(SUMPRODUCT(N(a&lt;L32))+(SUMPRODUCT(N(a=L32))-1)/2)/(cohort_size-1))))),"&amp;"""Unranked"")"),0.0)</f>
        <v>0</v>
      </c>
      <c r="AJ32" s="111">
        <f>IFERROR(__xludf.DUMMYFUNCTION("IFERROR(IF(AA32&lt;&gt;1,""Unranked"",LET(a,FILTER($M$15:$M$44,$D$15:$D$44=D32,$AA$15:$AA$44=1),cohort_size,ROWS(a),IF(cohort_size&lt;MAX(3,Rules!$B$12),""Unranked"",IF(MAX(a)=MIN(a),50,100*(SUMPRODUCT(N(a&lt;M32))+(SUMPRODUCT(N(a=M32))-1)/2)/(cohort_size-1))))),""Un"&amp;"ranked"")"),0.0)</f>
        <v>0</v>
      </c>
      <c r="AK32" s="139" t="str">
        <f t="shared" si="5"/>
        <v>Not used</v>
      </c>
      <c r="AL32" s="111">
        <f t="shared" si="6"/>
        <v>0</v>
      </c>
      <c r="AM32" s="111">
        <f>IFERROR(__xludf.DUMMYFUNCTION("IFERROR(IF(AA32&lt;&gt;1,""Unranked"",LET(a,FILTER($AB$15:$AB$44,$D$15:$D$44=D32,$AA$15:$AA$44=1),cohort_size,ROWS(a),IF(cohort_size&lt;MAX(3,Rules!$B$12),""Unranked"",IF(MAX(a)=MIN(a),50,100*(SUMPRODUCT(N(a&lt;AB32))+(SUMPRODUCT(N(a=AB32))-1)/2)/(cohort_size-1))))),"&amp;"""Unranked"")"),100.0)</f>
        <v>100</v>
      </c>
      <c r="AN32" s="111">
        <f>IFERROR(__xludf.DUMMYFUNCTION("IFERROR(IF(AA32&lt;&gt;1,""Unranked"",LET(a,FILTER($O$15:$O$44,$D$15:$D$44=D32,$AA$15:$AA$44=1),cohort_size,ROWS(a),IF(cohort_size&lt;MAX(3,Rules!$B$12),""Unranked"",IF(MAX(a)=MIN(a),50,100*(SUMPRODUCT(N(a&lt;O32))+(SUMPRODUCT(N(a=O32))-1)/2)/(cohort_size-1))))),""Un"&amp;"ranked"")"),100.0)</f>
        <v>100</v>
      </c>
      <c r="AO32" s="111">
        <f>IFERROR(__xludf.DUMMYFUNCTION("IFERROR(IF(AA32&lt;&gt;1,""Unranked"",LET(a,FILTER($P$15:$P$44,$D$15:$D$44=D32,$AA$15:$AA$44=1),cohort_size,ROWS(a),IF(cohort_size&lt;MAX(3,Rules!$B$12),""Unranked"",IF(MAX(a)=MIN(a),50,100*(SUMPRODUCT(N(a&lt;P32))+(SUMPRODUCT(N(a=P32))-1)/2)/(cohort_size-1))))),""Un"&amp;"ranked"")"),50.0)</f>
        <v>50</v>
      </c>
      <c r="AP32" s="111">
        <f t="shared" si="7"/>
        <v>75</v>
      </c>
      <c r="AQ32" s="111">
        <f>IF(AND(AA32=1,AD32&gt;=MAX(3,Rules!$B$12),COUNT(AG32,AL32,AM32,AP32)=4,MIN(AG32,AL32,AM32,AP32)&gt;=0,MAX(AG32,AL32,AM32,AP32)&lt;=100),1,0)</f>
        <v>1</v>
      </c>
      <c r="AR32" s="105" t="s">
        <v>1607</v>
      </c>
      <c r="AS32" s="105" t="s">
        <v>1274</v>
      </c>
    </row>
    <row r="33" ht="52.5" customHeight="1">
      <c r="A33" s="132" t="s">
        <v>1619</v>
      </c>
      <c r="B33" s="132" t="s">
        <v>1437</v>
      </c>
      <c r="C33" s="132" t="s">
        <v>330</v>
      </c>
      <c r="D33" s="132" t="s">
        <v>1620</v>
      </c>
      <c r="E33" s="133" t="s">
        <v>249</v>
      </c>
      <c r="F33" s="134">
        <v>74.88</v>
      </c>
      <c r="G33" s="135">
        <v>46297.0</v>
      </c>
      <c r="H33" s="134">
        <v>16.469</v>
      </c>
      <c r="I33" s="136" t="s">
        <v>1266</v>
      </c>
      <c r="J33" s="135">
        <v>46298.0</v>
      </c>
      <c r="K33" s="134">
        <v>23.81</v>
      </c>
      <c r="L33" s="134">
        <v>17.42</v>
      </c>
      <c r="M33" s="137">
        <v>0.039</v>
      </c>
      <c r="N33" s="134">
        <v>25.87</v>
      </c>
      <c r="O33" s="137">
        <v>0.2932</v>
      </c>
      <c r="P33" s="137">
        <v>0.2675</v>
      </c>
      <c r="Q33" s="132" t="s">
        <v>1206</v>
      </c>
      <c r="R33" s="134">
        <v>16.044</v>
      </c>
      <c r="S33" s="132" t="s">
        <v>1267</v>
      </c>
      <c r="T33" s="134">
        <v>15.932</v>
      </c>
      <c r="U33" s="134">
        <v>10.49</v>
      </c>
      <c r="V33" s="134">
        <v>9.77</v>
      </c>
      <c r="W33" s="138" t="s">
        <v>1622</v>
      </c>
      <c r="X33" s="138" t="s">
        <v>1623</v>
      </c>
      <c r="Y33" s="138" t="s">
        <v>1624</v>
      </c>
      <c r="Z33" s="133" t="s">
        <v>249</v>
      </c>
      <c r="AA33" s="111">
        <f>IFERROR(IF(AND(COUNTIF($A$15:$A$44,A33)=1,Z33="Yes",ISNUMBER(F33),F33&gt;=MAX(10,Rules!$B$22),ISNUMBER(G33),G33&lt;=Rules!$B$6,Rules!$B$6-G33&lt;=Rules!$B$10,ISNUMBER(J33),J33=Rules!$B$6,DATEVALUE("1 "&amp;I33)&lt;=Rules!$B$6,Rules!$B$6-DATEVALUE("1 "&amp;I33)&lt;=Rules!$B$11,COUNT(H33,K33:L33,O33:P33,R33,T33)=7,MIN(H33,K33:L33,R33,T33)&gt;0,RIGHT(Q33,4)-RIGHT(S33,4)=3,IF(C33="Utilities",AND(ISNUMBER(N33),N33&gt;0),ISNUMBER(M33)),D33&lt;&gt;"",W33&lt;&gt;"",X33&lt;&gt;""),1,0),0)</f>
        <v>1</v>
      </c>
      <c r="AB33" s="128">
        <f t="shared" si="1"/>
        <v>0.002337822652</v>
      </c>
      <c r="AC33" s="128">
        <f t="shared" si="2"/>
        <v>0.02398510995</v>
      </c>
      <c r="AD33" s="111">
        <f t="shared" si="3"/>
        <v>3</v>
      </c>
      <c r="AE33" s="111">
        <f>IFERROR(__xludf.DUMMYFUNCTION("IFERROR(IF(AA33&lt;&gt;1,""Unranked"",LET(a,FILTER($F$15:$F$44,$D$15:$D$44=D33,$AA$15:$AA$44=1),cohort_size,ROWS(a),IF(cohort_size&lt;MAX(3,Rules!$B$12),""Unranked"",IF(MAX(a)=MIN(a),50,100*(SUMPRODUCT(N(a&lt;F33))+(SUMPRODUCT(N(a=F33))-1)/2)/(cohort_size-1))))),""Un"&amp;"ranked"")"),100.0)</f>
        <v>100</v>
      </c>
      <c r="AF33" s="111">
        <f>IFERROR(__xludf.DUMMYFUNCTION("IFERROR(IF(AA33&lt;&gt;1,""Unranked"",LET(a,FILTER($H$15:$H$44,$D$15:$D$44=D33,$AA$15:$AA$44=1),cohort_size,ROWS(a),IF(cohort_size&lt;MAX(3,Rules!$B$12),""Unranked"",IF(MAX(a)=MIN(a),50,100*(SUMPRODUCT(N(a&lt;H33))+(SUMPRODUCT(N(a=H33))-1)/2)/(cohort_size-1))))),""Un"&amp;"ranked"")"),100.0)</f>
        <v>100</v>
      </c>
      <c r="AG33" s="111">
        <f t="shared" si="4"/>
        <v>100</v>
      </c>
      <c r="AH33" s="111">
        <f>IFERROR(__xludf.DUMMYFUNCTION("IFERROR(IF(AA33&lt;&gt;1,""Unranked"",100-LET(a,FILTER($K$15:$K$44,$D$15:$D$44=D33,$AA$15:$AA$44=1),cohort_size,ROWS(a),IF(cohort_size&lt;MAX(3,Rules!$B$12),""Unranked"",IF(MAX(a)=MIN(a),50,100*(SUMPRODUCT(N(a&lt;K33))+(SUMPRODUCT(N(a=K33))-1)/2)/(cohort_size-1))))),"&amp;"""Unranked"")"),50.0)</f>
        <v>50</v>
      </c>
      <c r="AI33" s="111">
        <f>IFERROR(__xludf.DUMMYFUNCTION("IFERROR(IF(AA33&lt;&gt;1,""Unranked"",100-LET(a,FILTER($L$15:$L$44,$D$15:$D$44=D33,$AA$15:$AA$44=1),cohort_size,ROWS(a),IF(cohort_size&lt;MAX(3,Rules!$B$12),""Unranked"",IF(MAX(a)=MIN(a),50,100*(SUMPRODUCT(N(a&lt;L33))+(SUMPRODUCT(N(a=L33))-1)/2)/(cohort_size-1))))),"&amp;"""Unranked"")"),0.0)</f>
        <v>0</v>
      </c>
      <c r="AJ33" s="111">
        <f>IFERROR(__xludf.DUMMYFUNCTION("IFERROR(IF(AA33&lt;&gt;1,""Unranked"",LET(a,FILTER($M$15:$M$44,$D$15:$D$44=D33,$AA$15:$AA$44=1),cohort_size,ROWS(a),IF(cohort_size&lt;MAX(3,Rules!$B$12),""Unranked"",IF(MAX(a)=MIN(a),50,100*(SUMPRODUCT(N(a&lt;M33))+(SUMPRODUCT(N(a=M33))-1)/2)/(cohort_size-1))))),""Un"&amp;"ranked"")"),0.0)</f>
        <v>0</v>
      </c>
      <c r="AK33" s="139" t="str">
        <f t="shared" si="5"/>
        <v>Not used</v>
      </c>
      <c r="AL33" s="111">
        <f t="shared" si="6"/>
        <v>17.5</v>
      </c>
      <c r="AM33" s="111">
        <f>IFERROR(__xludf.DUMMYFUNCTION("IFERROR(IF(AA33&lt;&gt;1,""Unranked"",LET(a,FILTER($AB$15:$AB$44,$D$15:$D$44=D33,$AA$15:$AA$44=1),cohort_size,ROWS(a),IF(cohort_size&lt;MAX(3,Rules!$B$12),""Unranked"",IF(MAX(a)=MIN(a),50,100*(SUMPRODUCT(N(a&lt;AB33))+(SUMPRODUCT(N(a=AB33))-1)/2)/(cohort_size-1))))),"&amp;"""Unranked"")"),0.0)</f>
        <v>0</v>
      </c>
      <c r="AN33" s="111">
        <f>IFERROR(__xludf.DUMMYFUNCTION("IFERROR(IF(AA33&lt;&gt;1,""Unranked"",LET(a,FILTER($O$15:$O$44,$D$15:$D$44=D33,$AA$15:$AA$44=1),cohort_size,ROWS(a),IF(cohort_size&lt;MAX(3,Rules!$B$12),""Unranked"",IF(MAX(a)=MIN(a),50,100*(SUMPRODUCT(N(a&lt;O33))+(SUMPRODUCT(N(a=O33))-1)/2)/(cohort_size-1))))),""Un"&amp;"ranked"")"),100.0)</f>
        <v>100</v>
      </c>
      <c r="AO33" s="111">
        <f>IFERROR(__xludf.DUMMYFUNCTION("IFERROR(IF(AA33&lt;&gt;1,""Unranked"",LET(a,FILTER($P$15:$P$44,$D$15:$D$44=D33,$AA$15:$AA$44=1),cohort_size,ROWS(a),IF(cohort_size&lt;MAX(3,Rules!$B$12),""Unranked"",IF(MAX(a)=MIN(a),50,100*(SUMPRODUCT(N(a&lt;P33))+(SUMPRODUCT(N(a=P33))-1)/2)/(cohort_size-1))))),""Un"&amp;"ranked"")"),100.0)</f>
        <v>100</v>
      </c>
      <c r="AP33" s="111">
        <f t="shared" si="7"/>
        <v>100</v>
      </c>
      <c r="AQ33" s="111">
        <f>IF(AND(AA33=1,AD33&gt;=MAX(3,Rules!$B$12),COUNT(AG33,AL33,AM33,AP33)=4,MIN(AG33,AL33,AM33,AP33)&gt;=0,MAX(AG33,AL33,AM33,AP33)&lt;=100),1,0)</f>
        <v>1</v>
      </c>
      <c r="AR33" s="105" t="s">
        <v>1632</v>
      </c>
      <c r="AS33" s="105" t="s">
        <v>1274</v>
      </c>
    </row>
    <row r="34" ht="52.5" customHeight="1">
      <c r="A34" s="132" t="s">
        <v>1633</v>
      </c>
      <c r="B34" s="132" t="s">
        <v>1441</v>
      </c>
      <c r="C34" s="132" t="s">
        <v>330</v>
      </c>
      <c r="D34" s="132" t="s">
        <v>1620</v>
      </c>
      <c r="E34" s="133" t="s">
        <v>59</v>
      </c>
      <c r="F34" s="134">
        <v>25.55</v>
      </c>
      <c r="G34" s="135">
        <v>46297.0</v>
      </c>
      <c r="H34" s="134">
        <v>8.421</v>
      </c>
      <c r="I34" s="136" t="s">
        <v>1266</v>
      </c>
      <c r="J34" s="135">
        <v>46298.0</v>
      </c>
      <c r="K34" s="134">
        <v>22.93</v>
      </c>
      <c r="L34" s="134">
        <v>14.17</v>
      </c>
      <c r="M34" s="137">
        <v>0.045899999999999996</v>
      </c>
      <c r="N34" s="134">
        <v>3.32</v>
      </c>
      <c r="O34" s="137">
        <v>0.1321</v>
      </c>
      <c r="P34" s="137">
        <v>0.1802</v>
      </c>
      <c r="Q34" s="132" t="s">
        <v>1206</v>
      </c>
      <c r="R34" s="134">
        <v>8.093</v>
      </c>
      <c r="S34" s="132" t="s">
        <v>1267</v>
      </c>
      <c r="T34" s="134">
        <v>7.844</v>
      </c>
      <c r="U34" s="134">
        <v>7.94</v>
      </c>
      <c r="V34" s="134">
        <v>7.42</v>
      </c>
      <c r="W34" s="138" t="s">
        <v>1634</v>
      </c>
      <c r="X34" s="138" t="s">
        <v>1635</v>
      </c>
      <c r="Y34" s="138" t="s">
        <v>1636</v>
      </c>
      <c r="Z34" s="133" t="s">
        <v>249</v>
      </c>
      <c r="AA34" s="111">
        <f>IFERROR(IF(AND(COUNTIF($A$15:$A$44,A34)=1,Z34="Yes",ISNUMBER(F34),F34&gt;=MAX(10,Rules!$B$22),ISNUMBER(G34),G34&lt;=Rules!$B$6,Rules!$B$6-G34&lt;=Rules!$B$10,ISNUMBER(J34),J34=Rules!$B$6,DATEVALUE("1 "&amp;I34)&lt;=Rules!$B$6,Rules!$B$6-DATEVALUE("1 "&amp;I34)&lt;=Rules!$B$11,COUNT(H34,K34:L34,O34:P34,R34,T34)=7,MIN(H34,K34:L34,R34,T34)&gt;0,RIGHT(Q34,4)-RIGHT(S34,4)=3,IF(C34="Utilities",AND(ISNUMBER(N34),N34&gt;0),ISNUMBER(M34)),D34&lt;&gt;"",W34&lt;&gt;"",X34&lt;&gt;""),1,0),0)</f>
        <v>1</v>
      </c>
      <c r="AB34" s="128">
        <f t="shared" si="1"/>
        <v>0.0104713051</v>
      </c>
      <c r="AC34" s="128">
        <f t="shared" si="2"/>
        <v>0.02283488652</v>
      </c>
      <c r="AD34" s="111">
        <f t="shared" si="3"/>
        <v>3</v>
      </c>
      <c r="AE34" s="111">
        <f>IFERROR(__xludf.DUMMYFUNCTION("IFERROR(IF(AA34&lt;&gt;1,""Unranked"",LET(a,FILTER($F$15:$F$44,$D$15:$D$44=D34,$AA$15:$AA$44=1),cohort_size,ROWS(a),IF(cohort_size&lt;MAX(3,Rules!$B$12),""Unranked"",IF(MAX(a)=MIN(a),50,100*(SUMPRODUCT(N(a&lt;F34))+(SUMPRODUCT(N(a=F34))-1)/2)/(cohort_size-1))))),""Un"&amp;"ranked"")"),0.0)</f>
        <v>0</v>
      </c>
      <c r="AF34" s="111">
        <f>IFERROR(__xludf.DUMMYFUNCTION("IFERROR(IF(AA34&lt;&gt;1,""Unranked"",LET(a,FILTER($H$15:$H$44,$D$15:$D$44=D34,$AA$15:$AA$44=1),cohort_size,ROWS(a),IF(cohort_size&lt;MAX(3,Rules!$B$12),""Unranked"",IF(MAX(a)=MIN(a),50,100*(SUMPRODUCT(N(a&lt;H34))+(SUMPRODUCT(N(a=H34))-1)/2)/(cohort_size-1))))),""Un"&amp;"ranked"")"),50.0)</f>
        <v>50</v>
      </c>
      <c r="AG34" s="111">
        <f t="shared" si="4"/>
        <v>25</v>
      </c>
      <c r="AH34" s="111">
        <f>IFERROR(__xludf.DUMMYFUNCTION("IFERROR(IF(AA34&lt;&gt;1,""Unranked"",100-LET(a,FILTER($K$15:$K$44,$D$15:$D$44=D34,$AA$15:$AA$44=1),cohort_size,ROWS(a),IF(cohort_size&lt;MAX(3,Rules!$B$12),""Unranked"",IF(MAX(a)=MIN(a),50,100*(SUMPRODUCT(N(a&lt;K34))+(SUMPRODUCT(N(a=K34))-1)/2)/(cohort_size-1))))),"&amp;"""Unranked"")"),100.0)</f>
        <v>100</v>
      </c>
      <c r="AI34" s="111">
        <f>IFERROR(__xludf.DUMMYFUNCTION("IFERROR(IF(AA34&lt;&gt;1,""Unranked"",100-LET(a,FILTER($L$15:$L$44,$D$15:$D$44=D34,$AA$15:$AA$44=1),cohort_size,ROWS(a),IF(cohort_size&lt;MAX(3,Rules!$B$12),""Unranked"",IF(MAX(a)=MIN(a),50,100*(SUMPRODUCT(N(a&lt;L34))+(SUMPRODUCT(N(a=L34))-1)/2)/(cohort_size-1))))),"&amp;"""Unranked"")"),100.0)</f>
        <v>100</v>
      </c>
      <c r="AJ34" s="111">
        <f>IFERROR(__xludf.DUMMYFUNCTION("IFERROR(IF(AA34&lt;&gt;1,""Unranked"",LET(a,FILTER($M$15:$M$44,$D$15:$D$44=D34,$AA$15:$AA$44=1),cohort_size,ROWS(a),IF(cohort_size&lt;MAX(3,Rules!$B$12),""Unranked"",IF(MAX(a)=MIN(a),50,100*(SUMPRODUCT(N(a&lt;M34))+(SUMPRODUCT(N(a=M34))-1)/2)/(cohort_size-1))))),""Un"&amp;"ranked"")"),100.0)</f>
        <v>100</v>
      </c>
      <c r="AK34" s="139" t="str">
        <f t="shared" si="5"/>
        <v>Not used</v>
      </c>
      <c r="AL34" s="111">
        <f t="shared" si="6"/>
        <v>100</v>
      </c>
      <c r="AM34" s="111">
        <f>IFERROR(__xludf.DUMMYFUNCTION("IFERROR(IF(AA34&lt;&gt;1,""Unranked"",LET(a,FILTER($AB$15:$AB$44,$D$15:$D$44=D34,$AA$15:$AA$44=1),cohort_size,ROWS(a),IF(cohort_size&lt;MAX(3,Rules!$B$12),""Unranked"",IF(MAX(a)=MIN(a),50,100*(SUMPRODUCT(N(a&lt;AB34))+(SUMPRODUCT(N(a=AB34))-1)/2)/(cohort_size-1))))),"&amp;"""Unranked"")"),50.0)</f>
        <v>50</v>
      </c>
      <c r="AN34" s="111">
        <f>IFERROR(__xludf.DUMMYFUNCTION("IFERROR(IF(AA34&lt;&gt;1,""Unranked"",LET(a,FILTER($O$15:$O$44,$D$15:$D$44=D34,$AA$15:$AA$44=1),cohort_size,ROWS(a),IF(cohort_size&lt;MAX(3,Rules!$B$12),""Unranked"",IF(MAX(a)=MIN(a),50,100*(SUMPRODUCT(N(a&lt;O34))+(SUMPRODUCT(N(a=O34))-1)/2)/(cohort_size-1))))),""Un"&amp;"ranked"")"),50.0)</f>
        <v>50</v>
      </c>
      <c r="AO34" s="111">
        <f>IFERROR(__xludf.DUMMYFUNCTION("IFERROR(IF(AA34&lt;&gt;1,""Unranked"",LET(a,FILTER($P$15:$P$44,$D$15:$D$44=D34,$AA$15:$AA$44=1),cohort_size,ROWS(a),IF(cohort_size&lt;MAX(3,Rules!$B$12),""Unranked"",IF(MAX(a)=MIN(a),50,100*(SUMPRODUCT(N(a&lt;P34))+(SUMPRODUCT(N(a=P34))-1)/2)/(cohort_size-1))))),""Un"&amp;"ranked"")"),0.0)</f>
        <v>0</v>
      </c>
      <c r="AP34" s="111">
        <f t="shared" si="7"/>
        <v>25</v>
      </c>
      <c r="AQ34" s="111">
        <f>IF(AND(AA34=1,AD34&gt;=MAX(3,Rules!$B$12),COUNT(AG34,AL34,AM34,AP34)=4,MIN(AG34,AL34,AM34,AP34)&gt;=0,MAX(AG34,AL34,AM34,AP34)&lt;=100),1,0)</f>
        <v>1</v>
      </c>
      <c r="AR34" s="105" t="s">
        <v>1652</v>
      </c>
      <c r="AS34" s="105" t="s">
        <v>1274</v>
      </c>
    </row>
    <row r="35" ht="52.5" customHeight="1">
      <c r="A35" s="132" t="s">
        <v>1653</v>
      </c>
      <c r="B35" s="132" t="s">
        <v>1445</v>
      </c>
      <c r="C35" s="132" t="s">
        <v>330</v>
      </c>
      <c r="D35" s="132" t="s">
        <v>1620</v>
      </c>
      <c r="E35" s="133" t="s">
        <v>59</v>
      </c>
      <c r="F35" s="134">
        <v>29.52</v>
      </c>
      <c r="G35" s="135">
        <v>46297.0</v>
      </c>
      <c r="H35" s="134">
        <v>7.942</v>
      </c>
      <c r="I35" s="136" t="s">
        <v>1266</v>
      </c>
      <c r="J35" s="135">
        <v>46298.0</v>
      </c>
      <c r="K35" s="134">
        <v>31.28</v>
      </c>
      <c r="L35" s="134">
        <v>16.5</v>
      </c>
      <c r="M35" s="137">
        <v>0.041299999999999996</v>
      </c>
      <c r="N35" s="134">
        <v>2.9</v>
      </c>
      <c r="O35" s="137">
        <v>0.0847</v>
      </c>
      <c r="P35" s="137">
        <v>0.1863</v>
      </c>
      <c r="Q35" s="132" t="s">
        <v>1206</v>
      </c>
      <c r="R35" s="134">
        <v>7.651</v>
      </c>
      <c r="S35" s="132" t="s">
        <v>1267</v>
      </c>
      <c r="T35" s="134">
        <v>5.916</v>
      </c>
      <c r="U35" s="134">
        <v>1.45</v>
      </c>
      <c r="V35" s="134">
        <v>1.48</v>
      </c>
      <c r="W35" s="138" t="s">
        <v>1654</v>
      </c>
      <c r="X35" s="138" t="s">
        <v>1655</v>
      </c>
      <c r="Y35" s="138" t="s">
        <v>1656</v>
      </c>
      <c r="Z35" s="133" t="s">
        <v>249</v>
      </c>
      <c r="AA35" s="111">
        <f>IFERROR(IF(AND(COUNTIF($A$15:$A$44,A35)=1,Z35="Yes",ISNUMBER(F35),F35&gt;=MAX(10,Rules!$B$22),ISNUMBER(G35),G35&lt;=Rules!$B$6,Rules!$B$6-G35&lt;=Rules!$B$10,ISNUMBER(J35),J35=Rules!$B$6,DATEVALUE("1 "&amp;I35)&lt;=Rules!$B$6,Rules!$B$6-DATEVALUE("1 "&amp;I35)&lt;=Rules!$B$11,COUNT(H35,K35:L35,O35:P35,R35,T35)=7,MIN(H35,K35:L35,R35,T35)&gt;0,RIGHT(Q35,4)-RIGHT(S35,4)=3,IF(C35="Utilities",AND(ISNUMBER(N35),N35&gt;0),ISNUMBER(M35)),D35&lt;&gt;"",W35&lt;&gt;"",X35&lt;&gt;""),1,0),0)</f>
        <v>1</v>
      </c>
      <c r="AB35" s="128">
        <f t="shared" si="1"/>
        <v>0.08950696817</v>
      </c>
      <c r="AC35" s="128">
        <f t="shared" si="2"/>
        <v>-0.00680293169</v>
      </c>
      <c r="AD35" s="111">
        <f t="shared" si="3"/>
        <v>3</v>
      </c>
      <c r="AE35" s="111">
        <f>IFERROR(__xludf.DUMMYFUNCTION("IFERROR(IF(AA35&lt;&gt;1,""Unranked"",LET(a,FILTER($F$15:$F$44,$D$15:$D$44=D35,$AA$15:$AA$44=1),cohort_size,ROWS(a),IF(cohort_size&lt;MAX(3,Rules!$B$12),""Unranked"",IF(MAX(a)=MIN(a),50,100*(SUMPRODUCT(N(a&lt;F35))+(SUMPRODUCT(N(a=F35))-1)/2)/(cohort_size-1))))),""Un"&amp;"ranked"")"),50.0)</f>
        <v>50</v>
      </c>
      <c r="AF35" s="111">
        <f>IFERROR(__xludf.DUMMYFUNCTION("IFERROR(IF(AA35&lt;&gt;1,""Unranked"",LET(a,FILTER($H$15:$H$44,$D$15:$D$44=D35,$AA$15:$AA$44=1),cohort_size,ROWS(a),IF(cohort_size&lt;MAX(3,Rules!$B$12),""Unranked"",IF(MAX(a)=MIN(a),50,100*(SUMPRODUCT(N(a&lt;H35))+(SUMPRODUCT(N(a=H35))-1)/2)/(cohort_size-1))))),""Un"&amp;"ranked"")"),0.0)</f>
        <v>0</v>
      </c>
      <c r="AG35" s="111">
        <f t="shared" si="4"/>
        <v>25</v>
      </c>
      <c r="AH35" s="111">
        <f>IFERROR(__xludf.DUMMYFUNCTION("IFERROR(IF(AA35&lt;&gt;1,""Unranked"",100-LET(a,FILTER($K$15:$K$44,$D$15:$D$44=D35,$AA$15:$AA$44=1),cohort_size,ROWS(a),IF(cohort_size&lt;MAX(3,Rules!$B$12),""Unranked"",IF(MAX(a)=MIN(a),50,100*(SUMPRODUCT(N(a&lt;K35))+(SUMPRODUCT(N(a=K35))-1)/2)/(cohort_size-1))))),"&amp;"""Unranked"")"),0.0)</f>
        <v>0</v>
      </c>
      <c r="AI35" s="111">
        <f>IFERROR(__xludf.DUMMYFUNCTION("IFERROR(IF(AA35&lt;&gt;1,""Unranked"",100-LET(a,FILTER($L$15:$L$44,$D$15:$D$44=D35,$AA$15:$AA$44=1),cohort_size,ROWS(a),IF(cohort_size&lt;MAX(3,Rules!$B$12),""Unranked"",IF(MAX(a)=MIN(a),50,100*(SUMPRODUCT(N(a&lt;L35))+(SUMPRODUCT(N(a=L35))-1)/2)/(cohort_size-1))))),"&amp;"""Unranked"")"),50.0)</f>
        <v>50</v>
      </c>
      <c r="AJ35" s="111">
        <f>IFERROR(__xludf.DUMMYFUNCTION("IFERROR(IF(AA35&lt;&gt;1,""Unranked"",LET(a,FILTER($M$15:$M$44,$D$15:$D$44=D35,$AA$15:$AA$44=1),cohort_size,ROWS(a),IF(cohort_size&lt;MAX(3,Rules!$B$12),""Unranked"",IF(MAX(a)=MIN(a),50,100*(SUMPRODUCT(N(a&lt;M35))+(SUMPRODUCT(N(a=M35))-1)/2)/(cohort_size-1))))),""Un"&amp;"ranked"")"),50.0)</f>
        <v>50</v>
      </c>
      <c r="AK35" s="139" t="str">
        <f t="shared" si="5"/>
        <v>Not used</v>
      </c>
      <c r="AL35" s="111">
        <f t="shared" si="6"/>
        <v>32.5</v>
      </c>
      <c r="AM35" s="111">
        <f>IFERROR(__xludf.DUMMYFUNCTION("IFERROR(IF(AA35&lt;&gt;1,""Unranked"",LET(a,FILTER($AB$15:$AB$44,$D$15:$D$44=D35,$AA$15:$AA$44=1),cohort_size,ROWS(a),IF(cohort_size&lt;MAX(3,Rules!$B$12),""Unranked"",IF(MAX(a)=MIN(a),50,100*(SUMPRODUCT(N(a&lt;AB35))+(SUMPRODUCT(N(a=AB35))-1)/2)/(cohort_size-1))))),"&amp;"""Unranked"")"),100.0)</f>
        <v>100</v>
      </c>
      <c r="AN35" s="111">
        <f>IFERROR(__xludf.DUMMYFUNCTION("IFERROR(IF(AA35&lt;&gt;1,""Unranked"",LET(a,FILTER($O$15:$O$44,$D$15:$D$44=D35,$AA$15:$AA$44=1),cohort_size,ROWS(a),IF(cohort_size&lt;MAX(3,Rules!$B$12),""Unranked"",IF(MAX(a)=MIN(a),50,100*(SUMPRODUCT(N(a&lt;O35))+(SUMPRODUCT(N(a=O35))-1)/2)/(cohort_size-1))))),""Un"&amp;"ranked"")"),0.0)</f>
        <v>0</v>
      </c>
      <c r="AO35" s="111">
        <f>IFERROR(__xludf.DUMMYFUNCTION("IFERROR(IF(AA35&lt;&gt;1,""Unranked"",LET(a,FILTER($P$15:$P$44,$D$15:$D$44=D35,$AA$15:$AA$44=1),cohort_size,ROWS(a),IF(cohort_size&lt;MAX(3,Rules!$B$12),""Unranked"",IF(MAX(a)=MIN(a),50,100*(SUMPRODUCT(N(a&lt;P35))+(SUMPRODUCT(N(a=P35))-1)/2)/(cohort_size-1))))),""Un"&amp;"ranked"")"),50.0)</f>
        <v>50</v>
      </c>
      <c r="AP35" s="111">
        <f t="shared" si="7"/>
        <v>25</v>
      </c>
      <c r="AQ35" s="111">
        <f>IF(AND(AA35=1,AD35&gt;=MAX(3,Rules!$B$12),COUNT(AG35,AL35,AM35,AP35)=4,MIN(AG35,AL35,AM35,AP35)&gt;=0,MAX(AG35,AL35,AM35,AP35)&lt;=100),1,0)</f>
        <v>1</v>
      </c>
      <c r="AR35" s="105" t="s">
        <v>1657</v>
      </c>
      <c r="AS35" s="105" t="s">
        <v>1274</v>
      </c>
    </row>
    <row r="36" ht="52.5" customHeight="1">
      <c r="A36" s="132" t="s">
        <v>333</v>
      </c>
      <c r="B36" s="132" t="s">
        <v>334</v>
      </c>
      <c r="C36" s="132" t="s">
        <v>336</v>
      </c>
      <c r="D36" s="132" t="s">
        <v>1658</v>
      </c>
      <c r="E36" s="133" t="s">
        <v>249</v>
      </c>
      <c r="F36" s="134">
        <v>77.11</v>
      </c>
      <c r="G36" s="135">
        <v>46297.0</v>
      </c>
      <c r="H36" s="134">
        <v>24.41</v>
      </c>
      <c r="I36" s="136" t="s">
        <v>1266</v>
      </c>
      <c r="J36" s="135">
        <v>46298.0</v>
      </c>
      <c r="K36" s="134">
        <v>29.47</v>
      </c>
      <c r="L36" s="134">
        <v>19.5</v>
      </c>
      <c r="M36" s="137">
        <v>0.0417</v>
      </c>
      <c r="N36" s="134">
        <v>20.0</v>
      </c>
      <c r="O36" s="137">
        <v>0.1639</v>
      </c>
      <c r="P36" s="137">
        <v>0.1632</v>
      </c>
      <c r="Q36" s="132" t="s">
        <v>1206</v>
      </c>
      <c r="R36" s="134">
        <v>23.574</v>
      </c>
      <c r="S36" s="132" t="s">
        <v>1267</v>
      </c>
      <c r="T36" s="134">
        <v>22.149</v>
      </c>
      <c r="U36" s="134">
        <v>10.26</v>
      </c>
      <c r="V36" s="134">
        <v>7.72</v>
      </c>
      <c r="W36" s="138" t="s">
        <v>1659</v>
      </c>
      <c r="X36" s="138" t="s">
        <v>1660</v>
      </c>
      <c r="Y36" s="138" t="s">
        <v>1661</v>
      </c>
      <c r="Z36" s="133" t="s">
        <v>249</v>
      </c>
      <c r="AA36" s="111">
        <f>IFERROR(IF(AND(COUNTIF($A$15:$A$44,A36)=1,Z36="Yes",ISNUMBER(F36),F36&gt;=MAX(10,Rules!$B$22),ISNUMBER(G36),G36&lt;=Rules!$B$6,Rules!$B$6-G36&lt;=Rules!$B$10,ISNUMBER(J36),J36=Rules!$B$6,DATEVALUE("1 "&amp;I36)&lt;=Rules!$B$6,Rules!$B$6-DATEVALUE("1 "&amp;I36)&lt;=Rules!$B$11,COUNT(H36,K36:L36,O36:P36,R36,T36)=7,MIN(H36,K36:L36,R36,T36)&gt;0,RIGHT(Q36,4)-RIGHT(S36,4)=3,IF(C36="Utilities",AND(ISNUMBER(N36),N36&gt;0),ISNUMBER(M36)),D36&lt;&gt;"",W36&lt;&gt;"",X36&lt;&gt;""),1,0),0)</f>
        <v>1</v>
      </c>
      <c r="AB36" s="128">
        <f t="shared" si="1"/>
        <v>0.02100151228</v>
      </c>
      <c r="AC36" s="128">
        <f t="shared" si="2"/>
        <v>0.099453046</v>
      </c>
      <c r="AD36" s="111">
        <f t="shared" si="3"/>
        <v>3</v>
      </c>
      <c r="AE36" s="111">
        <f>IFERROR(__xludf.DUMMYFUNCTION("IFERROR(IF(AA36&lt;&gt;1,""Unranked"",LET(a,FILTER($F$15:$F$44,$D$15:$D$44=D36,$AA$15:$AA$44=1),cohort_size,ROWS(a),IF(cohort_size&lt;MAX(3,Rules!$B$12),""Unranked"",IF(MAX(a)=MIN(a),50,100*(SUMPRODUCT(N(a&lt;F36))+(SUMPRODUCT(N(a=F36))-1)/2)/(cohort_size-1))))),""Un"&amp;"ranked"")"),100.0)</f>
        <v>100</v>
      </c>
      <c r="AF36" s="111">
        <f>IFERROR(__xludf.DUMMYFUNCTION("IFERROR(IF(AA36&lt;&gt;1,""Unranked"",LET(a,FILTER($H$15:$H$44,$D$15:$D$44=D36,$AA$15:$AA$44=1),cohort_size,ROWS(a),IF(cohort_size&lt;MAX(3,Rules!$B$12),""Unranked"",IF(MAX(a)=MIN(a),50,100*(SUMPRODUCT(N(a&lt;H36))+(SUMPRODUCT(N(a=H36))-1)/2)/(cohort_size-1))))),""Un"&amp;"ranked"")"),100.0)</f>
        <v>100</v>
      </c>
      <c r="AG36" s="111">
        <f t="shared" si="4"/>
        <v>100</v>
      </c>
      <c r="AH36" s="111">
        <f>IFERROR(__xludf.DUMMYFUNCTION("IFERROR(IF(AA36&lt;&gt;1,""Unranked"",100-LET(a,FILTER($K$15:$K$44,$D$15:$D$44=D36,$AA$15:$AA$44=1),cohort_size,ROWS(a),IF(cohort_size&lt;MAX(3,Rules!$B$12),""Unranked"",IF(MAX(a)=MIN(a),50,100*(SUMPRODUCT(N(a&lt;K36))+(SUMPRODUCT(N(a=K36))-1)/2)/(cohort_size-1))))),"&amp;"""Unranked"")"),50.0)</f>
        <v>50</v>
      </c>
      <c r="AI36" s="111">
        <f>IFERROR(__xludf.DUMMYFUNCTION("IFERROR(IF(AA36&lt;&gt;1,""Unranked"",100-LET(a,FILTER($L$15:$L$44,$D$15:$D$44=D36,$AA$15:$AA$44=1),cohort_size,ROWS(a),IF(cohort_size&lt;MAX(3,Rules!$B$12),""Unranked"",IF(MAX(a)=MIN(a),50,100*(SUMPRODUCT(N(a&lt;L36))+(SUMPRODUCT(N(a=L36))-1)/2)/(cohort_size-1))))),"&amp;"""Unranked"")"),50.0)</f>
        <v>50</v>
      </c>
      <c r="AJ36" s="111">
        <f>IFERROR(__xludf.DUMMYFUNCTION("IFERROR(IF(AA36&lt;&gt;1,""Unranked"",LET(a,FILTER($M$15:$M$44,$D$15:$D$44=D36,$AA$15:$AA$44=1),cohort_size,ROWS(a),IF(cohort_size&lt;MAX(3,Rules!$B$12),""Unranked"",IF(MAX(a)=MIN(a),50,100*(SUMPRODUCT(N(a&lt;M36))+(SUMPRODUCT(N(a=M36))-1)/2)/(cohort_size-1))))),""Un"&amp;"ranked"")"),50.0)</f>
        <v>50</v>
      </c>
      <c r="AK36" s="139" t="str">
        <f t="shared" si="5"/>
        <v>Not used</v>
      </c>
      <c r="AL36" s="111">
        <f t="shared" si="6"/>
        <v>50</v>
      </c>
      <c r="AM36" s="111">
        <f>IFERROR(__xludf.DUMMYFUNCTION("IFERROR(IF(AA36&lt;&gt;1,""Unranked"",LET(a,FILTER($AB$15:$AB$44,$D$15:$D$44=D36,$AA$15:$AA$44=1),cohort_size,ROWS(a),IF(cohort_size&lt;MAX(3,Rules!$B$12),""Unranked"",IF(MAX(a)=MIN(a),50,100*(SUMPRODUCT(N(a&lt;AB36))+(SUMPRODUCT(N(a=AB36))-1)/2)/(cohort_size-1))))),"&amp;"""Unranked"")"),50.0)</f>
        <v>50</v>
      </c>
      <c r="AN36" s="111">
        <f>IFERROR(__xludf.DUMMYFUNCTION("IFERROR(IF(AA36&lt;&gt;1,""Unranked"",LET(a,FILTER($O$15:$O$44,$D$15:$D$44=D36,$AA$15:$AA$44=1),cohort_size,ROWS(a),IF(cohort_size&lt;MAX(3,Rules!$B$12),""Unranked"",IF(MAX(a)=MIN(a),50,100*(SUMPRODUCT(N(a&lt;O36))+(SUMPRODUCT(N(a=O36))-1)/2)/(cohort_size-1))))),""Un"&amp;"ranked"")"),100.0)</f>
        <v>100</v>
      </c>
      <c r="AO36" s="111">
        <f>IFERROR(__xludf.DUMMYFUNCTION("IFERROR(IF(AA36&lt;&gt;1,""Unranked"",LET(a,FILTER($P$15:$P$44,$D$15:$D$44=D36,$AA$15:$AA$44=1),cohort_size,ROWS(a),IF(cohort_size&lt;MAX(3,Rules!$B$12),""Unranked"",IF(MAX(a)=MIN(a),50,100*(SUMPRODUCT(N(a&lt;P36))+(SUMPRODUCT(N(a=P36))-1)/2)/(cohort_size-1))))),""Un"&amp;"ranked"")"),50.0)</f>
        <v>50</v>
      </c>
      <c r="AP36" s="111">
        <f t="shared" si="7"/>
        <v>75</v>
      </c>
      <c r="AQ36" s="111">
        <f>IF(AND(AA36=1,AD36&gt;=MAX(3,Rules!$B$12),COUNT(AG36,AL36,AM36,AP36)=4,MIN(AG36,AL36,AM36,AP36)&gt;=0,MAX(AG36,AL36,AM36,AP36)&lt;=100),1,0)</f>
        <v>1</v>
      </c>
      <c r="AR36" s="105" t="s">
        <v>335</v>
      </c>
      <c r="AS36" s="105" t="s">
        <v>1274</v>
      </c>
    </row>
    <row r="37" ht="52.5" customHeight="1">
      <c r="A37" s="132" t="s">
        <v>1662</v>
      </c>
      <c r="B37" s="132" t="s">
        <v>1345</v>
      </c>
      <c r="C37" s="132" t="s">
        <v>336</v>
      </c>
      <c r="D37" s="132" t="s">
        <v>1658</v>
      </c>
      <c r="E37" s="133" t="s">
        <v>59</v>
      </c>
      <c r="F37" s="134">
        <v>23.37</v>
      </c>
      <c r="G37" s="135">
        <v>46297.0</v>
      </c>
      <c r="H37" s="134">
        <v>16.421</v>
      </c>
      <c r="I37" s="136" t="s">
        <v>1266</v>
      </c>
      <c r="J37" s="135">
        <v>46298.0</v>
      </c>
      <c r="K37" s="134">
        <v>15.09</v>
      </c>
      <c r="L37" s="134">
        <v>10.81</v>
      </c>
      <c r="M37" s="137">
        <v>0.0602</v>
      </c>
      <c r="N37" s="134">
        <v>2.77</v>
      </c>
      <c r="O37" s="137">
        <v>0.1163</v>
      </c>
      <c r="P37" s="137">
        <v>0.1315</v>
      </c>
      <c r="Q37" s="132" t="s">
        <v>1206</v>
      </c>
      <c r="R37" s="134">
        <v>15.875</v>
      </c>
      <c r="S37" s="132" t="s">
        <v>1267</v>
      </c>
      <c r="T37" s="134">
        <v>15.614</v>
      </c>
      <c r="U37" s="134">
        <v>6.94</v>
      </c>
      <c r="V37" s="134">
        <v>4.32</v>
      </c>
      <c r="W37" s="138" t="s">
        <v>1663</v>
      </c>
      <c r="X37" s="138" t="s">
        <v>1664</v>
      </c>
      <c r="Y37" s="138" t="s">
        <v>1665</v>
      </c>
      <c r="Z37" s="133" t="s">
        <v>249</v>
      </c>
      <c r="AA37" s="111">
        <f>IFERROR(IF(AND(COUNTIF($A$15:$A$44,A37)=1,Z37="Yes",ISNUMBER(F37),F37&gt;=MAX(10,Rules!$B$22),ISNUMBER(G37),G37&lt;=Rules!$B$6,Rules!$B$6-G37&lt;=Rules!$B$10,ISNUMBER(J37),J37=Rules!$B$6,DATEVALUE("1 "&amp;I37)&lt;=Rules!$B$6,Rules!$B$6-DATEVALUE("1 "&amp;I37)&lt;=Rules!$B$11,COUNT(H37,K37:L37,O37:P37,R37,T37)=7,MIN(H37,K37:L37,R37,T37)&gt;0,RIGHT(Q37,4)-RIGHT(S37,4)=3,IF(C37="Utilities",AND(ISNUMBER(N37),N37&gt;0),ISNUMBER(M37)),D37&lt;&gt;"",W37&lt;&gt;"",X37&lt;&gt;""),1,0),0)</f>
        <v>1</v>
      </c>
      <c r="AB37" s="128">
        <f t="shared" si="1"/>
        <v>0.005541161451</v>
      </c>
      <c r="AC37" s="128">
        <f t="shared" si="2"/>
        <v>0.1711842981</v>
      </c>
      <c r="AD37" s="111">
        <f t="shared" si="3"/>
        <v>3</v>
      </c>
      <c r="AE37" s="111">
        <f>IFERROR(__xludf.DUMMYFUNCTION("IFERROR(IF(AA37&lt;&gt;1,""Unranked"",LET(a,FILTER($F$15:$F$44,$D$15:$D$44=D37,$AA$15:$AA$44=1),cohort_size,ROWS(a),IF(cohort_size&lt;MAX(3,Rules!$B$12),""Unranked"",IF(MAX(a)=MIN(a),50,100*(SUMPRODUCT(N(a&lt;F37))+(SUMPRODUCT(N(a=F37))-1)/2)/(cohort_size-1))))),""Un"&amp;"ranked"")"),0.0)</f>
        <v>0</v>
      </c>
      <c r="AF37" s="111">
        <f>IFERROR(__xludf.DUMMYFUNCTION("IFERROR(IF(AA37&lt;&gt;1,""Unranked"",LET(a,FILTER($H$15:$H$44,$D$15:$D$44=D37,$AA$15:$AA$44=1),cohort_size,ROWS(a),IF(cohort_size&lt;MAX(3,Rules!$B$12),""Unranked"",IF(MAX(a)=MIN(a),50,100*(SUMPRODUCT(N(a&lt;H37))+(SUMPRODUCT(N(a=H37))-1)/2)/(cohort_size-1))))),""Un"&amp;"ranked"")"),0.0)</f>
        <v>0</v>
      </c>
      <c r="AG37" s="111">
        <f t="shared" si="4"/>
        <v>0</v>
      </c>
      <c r="AH37" s="111">
        <f>IFERROR(__xludf.DUMMYFUNCTION("IFERROR(IF(AA37&lt;&gt;1,""Unranked"",100-LET(a,FILTER($K$15:$K$44,$D$15:$D$44=D37,$AA$15:$AA$44=1),cohort_size,ROWS(a),IF(cohort_size&lt;MAX(3,Rules!$B$12),""Unranked"",IF(MAX(a)=MIN(a),50,100*(SUMPRODUCT(N(a&lt;K37))+(SUMPRODUCT(N(a=K37))-1)/2)/(cohort_size-1))))),"&amp;"""Unranked"")"),100.0)</f>
        <v>100</v>
      </c>
      <c r="AI37" s="111">
        <f>IFERROR(__xludf.DUMMYFUNCTION("IFERROR(IF(AA37&lt;&gt;1,""Unranked"",100-LET(a,FILTER($L$15:$L$44,$D$15:$D$44=D37,$AA$15:$AA$44=1),cohort_size,ROWS(a),IF(cohort_size&lt;MAX(3,Rules!$B$12),""Unranked"",IF(MAX(a)=MIN(a),50,100*(SUMPRODUCT(N(a&lt;L37))+(SUMPRODUCT(N(a=L37))-1)/2)/(cohort_size-1))))),"&amp;"""Unranked"")"),100.0)</f>
        <v>100</v>
      </c>
      <c r="AJ37" s="111">
        <f>IFERROR(__xludf.DUMMYFUNCTION("IFERROR(IF(AA37&lt;&gt;1,""Unranked"",LET(a,FILTER($M$15:$M$44,$D$15:$D$44=D37,$AA$15:$AA$44=1),cohort_size,ROWS(a),IF(cohort_size&lt;MAX(3,Rules!$B$12),""Unranked"",IF(MAX(a)=MIN(a),50,100*(SUMPRODUCT(N(a&lt;M37))+(SUMPRODUCT(N(a=M37))-1)/2)/(cohort_size-1))))),""Un"&amp;"ranked"")"),100.0)</f>
        <v>100</v>
      </c>
      <c r="AK37" s="139" t="str">
        <f t="shared" si="5"/>
        <v>Not used</v>
      </c>
      <c r="AL37" s="111">
        <f t="shared" si="6"/>
        <v>100</v>
      </c>
      <c r="AM37" s="111">
        <f>IFERROR(__xludf.DUMMYFUNCTION("IFERROR(IF(AA37&lt;&gt;1,""Unranked"",LET(a,FILTER($AB$15:$AB$44,$D$15:$D$44=D37,$AA$15:$AA$44=1),cohort_size,ROWS(a),IF(cohort_size&lt;MAX(3,Rules!$B$12),""Unranked"",IF(MAX(a)=MIN(a),50,100*(SUMPRODUCT(N(a&lt;AB37))+(SUMPRODUCT(N(a=AB37))-1)/2)/(cohort_size-1))))),"&amp;"""Unranked"")"),0.0)</f>
        <v>0</v>
      </c>
      <c r="AN37" s="111">
        <f>IFERROR(__xludf.DUMMYFUNCTION("IFERROR(IF(AA37&lt;&gt;1,""Unranked"",LET(a,FILTER($O$15:$O$44,$D$15:$D$44=D37,$AA$15:$AA$44=1),cohort_size,ROWS(a),IF(cohort_size&lt;MAX(3,Rules!$B$12),""Unranked"",IF(MAX(a)=MIN(a),50,100*(SUMPRODUCT(N(a&lt;O37))+(SUMPRODUCT(N(a=O37))-1)/2)/(cohort_size-1))))),""Un"&amp;"ranked"")"),0.0)</f>
        <v>0</v>
      </c>
      <c r="AO37" s="111">
        <f>IFERROR(__xludf.DUMMYFUNCTION("IFERROR(IF(AA37&lt;&gt;1,""Unranked"",LET(a,FILTER($P$15:$P$44,$D$15:$D$44=D37,$AA$15:$AA$44=1),cohort_size,ROWS(a),IF(cohort_size&lt;MAX(3,Rules!$B$12),""Unranked"",IF(MAX(a)=MIN(a),50,100*(SUMPRODUCT(N(a&lt;P37))+(SUMPRODUCT(N(a=P37))-1)/2)/(cohort_size-1))))),""Un"&amp;"ranked"")"),0.0)</f>
        <v>0</v>
      </c>
      <c r="AP37" s="111">
        <f t="shared" si="7"/>
        <v>0</v>
      </c>
      <c r="AQ37" s="111">
        <f>IF(AND(AA37=1,AD37&gt;=MAX(3,Rules!$B$12),COUNT(AG37,AL37,AM37,AP37)=4,MIN(AG37,AL37,AM37,AP37)&gt;=0,MAX(AG37,AL37,AM37,AP37)&lt;=100),1,0)</f>
        <v>1</v>
      </c>
      <c r="AR37" s="105" t="s">
        <v>1666</v>
      </c>
      <c r="AS37" s="105" t="s">
        <v>1274</v>
      </c>
    </row>
    <row r="38" ht="52.5" customHeight="1">
      <c r="A38" s="132" t="s">
        <v>1667</v>
      </c>
      <c r="B38" s="132" t="s">
        <v>1456</v>
      </c>
      <c r="C38" s="132" t="s">
        <v>336</v>
      </c>
      <c r="D38" s="132" t="s">
        <v>1658</v>
      </c>
      <c r="E38" s="133" t="s">
        <v>59</v>
      </c>
      <c r="F38" s="134">
        <v>76.73</v>
      </c>
      <c r="G38" s="135">
        <v>46297.0</v>
      </c>
      <c r="H38" s="134">
        <v>16.843</v>
      </c>
      <c r="I38" s="136" t="s">
        <v>1266</v>
      </c>
      <c r="J38" s="135">
        <v>46298.0</v>
      </c>
      <c r="K38" s="134">
        <v>36.72</v>
      </c>
      <c r="L38" s="134">
        <v>20.68</v>
      </c>
      <c r="M38" s="137">
        <v>0.024399999999999998</v>
      </c>
      <c r="N38" s="134">
        <v>7.63</v>
      </c>
      <c r="O38" s="137">
        <v>0.1338</v>
      </c>
      <c r="P38" s="137">
        <v>0.1844</v>
      </c>
      <c r="Q38" s="132" t="s">
        <v>1206</v>
      </c>
      <c r="R38" s="134">
        <v>16.081</v>
      </c>
      <c r="S38" s="132" t="s">
        <v>1267</v>
      </c>
      <c r="T38" s="134">
        <v>14.188</v>
      </c>
      <c r="U38" s="134">
        <v>7.28</v>
      </c>
      <c r="V38" s="134">
        <v>3.81</v>
      </c>
      <c r="W38" s="138" t="s">
        <v>1668</v>
      </c>
      <c r="X38" s="138" t="s">
        <v>1669</v>
      </c>
      <c r="Y38" s="138" t="s">
        <v>1670</v>
      </c>
      <c r="Z38" s="133" t="s">
        <v>249</v>
      </c>
      <c r="AA38" s="111">
        <f>IFERROR(IF(AND(COUNTIF($A$15:$A$44,A38)=1,Z38="Yes",ISNUMBER(F38),F38&gt;=MAX(10,Rules!$B$22),ISNUMBER(G38),G38&lt;=Rules!$B$6,Rules!$B$6-G38&lt;=Rules!$B$10,ISNUMBER(J38),J38=Rules!$B$6,DATEVALUE("1 "&amp;I38)&lt;=Rules!$B$6,Rules!$B$6-DATEVALUE("1 "&amp;I38)&lt;=Rules!$B$11,COUNT(H38,K38:L38,O38:P38,R38,T38)=7,MIN(H38,K38:L38,R38,T38)&gt;0,RIGHT(Q38,4)-RIGHT(S38,4)=3,IF(C38="Utilities",AND(ISNUMBER(N38),N38&gt;0),ISNUMBER(M38)),D38&lt;&gt;"",W38&lt;&gt;"",X38&lt;&gt;""),1,0),0)</f>
        <v>1</v>
      </c>
      <c r="AB38" s="128">
        <f t="shared" si="1"/>
        <v>0.04263097746</v>
      </c>
      <c r="AC38" s="128">
        <f t="shared" si="2"/>
        <v>0.2408962379</v>
      </c>
      <c r="AD38" s="111">
        <f t="shared" si="3"/>
        <v>3</v>
      </c>
      <c r="AE38" s="111">
        <f>IFERROR(__xludf.DUMMYFUNCTION("IFERROR(IF(AA38&lt;&gt;1,""Unranked"",LET(a,FILTER($F$15:$F$44,$D$15:$D$44=D38,$AA$15:$AA$44=1),cohort_size,ROWS(a),IF(cohort_size&lt;MAX(3,Rules!$B$12),""Unranked"",IF(MAX(a)=MIN(a),50,100*(SUMPRODUCT(N(a&lt;F38))+(SUMPRODUCT(N(a=F38))-1)/2)/(cohort_size-1))))),""Un"&amp;"ranked"")"),50.0)</f>
        <v>50</v>
      </c>
      <c r="AF38" s="111">
        <f>IFERROR(__xludf.DUMMYFUNCTION("IFERROR(IF(AA38&lt;&gt;1,""Unranked"",LET(a,FILTER($H$15:$H$44,$D$15:$D$44=D38,$AA$15:$AA$44=1),cohort_size,ROWS(a),IF(cohort_size&lt;MAX(3,Rules!$B$12),""Unranked"",IF(MAX(a)=MIN(a),50,100*(SUMPRODUCT(N(a&lt;H38))+(SUMPRODUCT(N(a=H38))-1)/2)/(cohort_size-1))))),""Un"&amp;"ranked"")"),50.0)</f>
        <v>50</v>
      </c>
      <c r="AG38" s="111">
        <f t="shared" si="4"/>
        <v>50</v>
      </c>
      <c r="AH38" s="111">
        <f>IFERROR(__xludf.DUMMYFUNCTION("IFERROR(IF(AA38&lt;&gt;1,""Unranked"",100-LET(a,FILTER($K$15:$K$44,$D$15:$D$44=D38,$AA$15:$AA$44=1),cohort_size,ROWS(a),IF(cohort_size&lt;MAX(3,Rules!$B$12),""Unranked"",IF(MAX(a)=MIN(a),50,100*(SUMPRODUCT(N(a&lt;K38))+(SUMPRODUCT(N(a=K38))-1)/2)/(cohort_size-1))))),"&amp;"""Unranked"")"),0.0)</f>
        <v>0</v>
      </c>
      <c r="AI38" s="111">
        <f>IFERROR(__xludf.DUMMYFUNCTION("IFERROR(IF(AA38&lt;&gt;1,""Unranked"",100-LET(a,FILTER($L$15:$L$44,$D$15:$D$44=D38,$AA$15:$AA$44=1),cohort_size,ROWS(a),IF(cohort_size&lt;MAX(3,Rules!$B$12),""Unranked"",IF(MAX(a)=MIN(a),50,100*(SUMPRODUCT(N(a&lt;L38))+(SUMPRODUCT(N(a=L38))-1)/2)/(cohort_size-1))))),"&amp;"""Unranked"")"),0.0)</f>
        <v>0</v>
      </c>
      <c r="AJ38" s="111">
        <f>IFERROR(__xludf.DUMMYFUNCTION("IFERROR(IF(AA38&lt;&gt;1,""Unranked"",LET(a,FILTER($M$15:$M$44,$D$15:$D$44=D38,$AA$15:$AA$44=1),cohort_size,ROWS(a),IF(cohort_size&lt;MAX(3,Rules!$B$12),""Unranked"",IF(MAX(a)=MIN(a),50,100*(SUMPRODUCT(N(a&lt;M38))+(SUMPRODUCT(N(a=M38))-1)/2)/(cohort_size-1))))),""Un"&amp;"ranked"")"),0.0)</f>
        <v>0</v>
      </c>
      <c r="AK38" s="139" t="str">
        <f t="shared" si="5"/>
        <v>Not used</v>
      </c>
      <c r="AL38" s="111">
        <f t="shared" si="6"/>
        <v>0</v>
      </c>
      <c r="AM38" s="111">
        <f>IFERROR(__xludf.DUMMYFUNCTION("IFERROR(IF(AA38&lt;&gt;1,""Unranked"",LET(a,FILTER($AB$15:$AB$44,$D$15:$D$44=D38,$AA$15:$AA$44=1),cohort_size,ROWS(a),IF(cohort_size&lt;MAX(3,Rules!$B$12),""Unranked"",IF(MAX(a)=MIN(a),50,100*(SUMPRODUCT(N(a&lt;AB38))+(SUMPRODUCT(N(a=AB38))-1)/2)/(cohort_size-1))))),"&amp;"""Unranked"")"),100.0)</f>
        <v>100</v>
      </c>
      <c r="AN38" s="111">
        <f>IFERROR(__xludf.DUMMYFUNCTION("IFERROR(IF(AA38&lt;&gt;1,""Unranked"",LET(a,FILTER($O$15:$O$44,$D$15:$D$44=D38,$AA$15:$AA$44=1),cohort_size,ROWS(a),IF(cohort_size&lt;MAX(3,Rules!$B$12),""Unranked"",IF(MAX(a)=MIN(a),50,100*(SUMPRODUCT(N(a&lt;O38))+(SUMPRODUCT(N(a=O38))-1)/2)/(cohort_size-1))))),""Un"&amp;"ranked"")"),50.0)</f>
        <v>50</v>
      </c>
      <c r="AO38" s="111">
        <f>IFERROR(__xludf.DUMMYFUNCTION("IFERROR(IF(AA38&lt;&gt;1,""Unranked"",LET(a,FILTER($P$15:$P$44,$D$15:$D$44=D38,$AA$15:$AA$44=1),cohort_size,ROWS(a),IF(cohort_size&lt;MAX(3,Rules!$B$12),""Unranked"",IF(MAX(a)=MIN(a),50,100*(SUMPRODUCT(N(a&lt;P38))+(SUMPRODUCT(N(a=P38))-1)/2)/(cohort_size-1))))),""Un"&amp;"ranked"")"),100.0)</f>
        <v>100</v>
      </c>
      <c r="AP38" s="111">
        <f t="shared" si="7"/>
        <v>75</v>
      </c>
      <c r="AQ38" s="111">
        <f>IF(AND(AA38=1,AD38&gt;=MAX(3,Rules!$B$12),COUNT(AG38,AL38,AM38,AP38)=4,MIN(AG38,AL38,AM38,AP38)&gt;=0,MAX(AG38,AL38,AM38,AP38)&lt;=100),1,0)</f>
        <v>1</v>
      </c>
      <c r="AR38" s="105" t="s">
        <v>1671</v>
      </c>
      <c r="AS38" s="105" t="s">
        <v>1274</v>
      </c>
    </row>
    <row r="39" ht="52.5" customHeight="1">
      <c r="A39" s="132" t="s">
        <v>339</v>
      </c>
      <c r="B39" s="132" t="s">
        <v>340</v>
      </c>
      <c r="C39" s="132" t="s">
        <v>30</v>
      </c>
      <c r="D39" s="132" t="s">
        <v>1672</v>
      </c>
      <c r="E39" s="133" t="s">
        <v>249</v>
      </c>
      <c r="F39" s="134">
        <v>65.09</v>
      </c>
      <c r="G39" s="135">
        <v>46297.0</v>
      </c>
      <c r="H39" s="134">
        <v>22.791</v>
      </c>
      <c r="I39" s="136" t="s">
        <v>1266</v>
      </c>
      <c r="J39" s="135">
        <v>46298.0</v>
      </c>
      <c r="K39" s="134">
        <v>20.71</v>
      </c>
      <c r="L39" s="134">
        <v>13.07</v>
      </c>
      <c r="M39" s="137">
        <v>-0.09050000000000001</v>
      </c>
      <c r="N39" s="134">
        <v>2.03</v>
      </c>
      <c r="O39" s="137">
        <v>0.0416</v>
      </c>
      <c r="P39" s="137">
        <v>0.2398</v>
      </c>
      <c r="Q39" s="132" t="s">
        <v>1206</v>
      </c>
      <c r="R39" s="134">
        <v>21.876</v>
      </c>
      <c r="S39" s="132" t="s">
        <v>1267</v>
      </c>
      <c r="T39" s="134">
        <v>19.64</v>
      </c>
      <c r="U39" s="134">
        <v>6.66</v>
      </c>
      <c r="V39" s="134">
        <v>4.49</v>
      </c>
      <c r="W39" s="138" t="s">
        <v>1673</v>
      </c>
      <c r="X39" s="138" t="s">
        <v>1674</v>
      </c>
      <c r="Y39" s="138" t="s">
        <v>1675</v>
      </c>
      <c r="Z39" s="133" t="s">
        <v>249</v>
      </c>
      <c r="AA39" s="111">
        <f>IFERROR(IF(AND(COUNTIF($A$15:$A$44,A39)=1,Z39="Yes",ISNUMBER(F39),F39&gt;=MAX(10,Rules!$B$22),ISNUMBER(G39),G39&lt;=Rules!$B$6,Rules!$B$6-G39&lt;=Rules!$B$10,ISNUMBER(J39),J39=Rules!$B$6,DATEVALUE("1 "&amp;I39)&lt;=Rules!$B$6,Rules!$B$6-DATEVALUE("1 "&amp;I39)&lt;=Rules!$B$11,COUNT(H39,K39:L39,O39:P39,R39,T39)=7,MIN(H39,K39:L39,R39,T39)&gt;0,RIGHT(Q39,4)-RIGHT(S39,4)=3,IF(C39="Utilities",AND(ISNUMBER(N39),N39&gt;0),ISNUMBER(M39)),D39&lt;&gt;"",W39&lt;&gt;"",X39&lt;&gt;""),1,0),0)</f>
        <v>1</v>
      </c>
      <c r="AB39" s="128">
        <f t="shared" si="1"/>
        <v>0.03659428567</v>
      </c>
      <c r="AC39" s="128">
        <f t="shared" si="2"/>
        <v>0.1404492468</v>
      </c>
      <c r="AD39" s="111">
        <f t="shared" si="3"/>
        <v>3</v>
      </c>
      <c r="AE39" s="111">
        <f>IFERROR(__xludf.DUMMYFUNCTION("IFERROR(IF(AA39&lt;&gt;1,""Unranked"",LET(a,FILTER($F$15:$F$44,$D$15:$D$44=D39,$AA$15:$AA$44=1),cohort_size,ROWS(a),IF(cohort_size&lt;MAX(3,Rules!$B$12),""Unranked"",IF(MAX(a)=MIN(a),50,100*(SUMPRODUCT(N(a&lt;F39))+(SUMPRODUCT(N(a=F39))-1)/2)/(cohort_size-1))))),""Un"&amp;"ranked"")"),50.0)</f>
        <v>50</v>
      </c>
      <c r="AF39" s="111">
        <f>IFERROR(__xludf.DUMMYFUNCTION("IFERROR(IF(AA39&lt;&gt;1,""Unranked"",LET(a,FILTER($H$15:$H$44,$D$15:$D$44=D39,$AA$15:$AA$44=1),cohort_size,ROWS(a),IF(cohort_size&lt;MAX(3,Rules!$B$12),""Unranked"",IF(MAX(a)=MIN(a),50,100*(SUMPRODUCT(N(a&lt;H39))+(SUMPRODUCT(N(a=H39))-1)/2)/(cohort_size-1))))),""Un"&amp;"ranked"")"),50.0)</f>
        <v>50</v>
      </c>
      <c r="AG39" s="111">
        <f t="shared" si="4"/>
        <v>50</v>
      </c>
      <c r="AH39" s="111">
        <f>IFERROR(__xludf.DUMMYFUNCTION("IFERROR(IF(AA39&lt;&gt;1,""Unranked"",100-LET(a,FILTER($K$15:$K$44,$D$15:$D$44=D39,$AA$15:$AA$44=1),cohort_size,ROWS(a),IF(cohort_size&lt;MAX(3,Rules!$B$12),""Unranked"",IF(MAX(a)=MIN(a),50,100*(SUMPRODUCT(N(a&lt;K39))+(SUMPRODUCT(N(a=K39))-1)/2)/(cohort_size-1))))),"&amp;"""Unranked"")"),0.0)</f>
        <v>0</v>
      </c>
      <c r="AI39" s="111">
        <f>IFERROR(__xludf.DUMMYFUNCTION("IFERROR(IF(AA39&lt;&gt;1,""Unranked"",100-LET(a,FILTER($L$15:$L$44,$D$15:$D$44=D39,$AA$15:$AA$44=1),cohort_size,ROWS(a),IF(cohort_size&lt;MAX(3,Rules!$B$12),""Unranked"",IF(MAX(a)=MIN(a),50,100*(SUMPRODUCT(N(a&lt;L39))+(SUMPRODUCT(N(a=L39))-1)/2)/(cohort_size-1))))),"&amp;"""Unranked"")"),50.0)</f>
        <v>50</v>
      </c>
      <c r="AJ39" s="111">
        <f>IFERROR(__xludf.DUMMYFUNCTION("IFERROR(IF(AA39&lt;&gt;1,""Unranked"",LET(a,FILTER($M$15:$M$44,$D$15:$D$44=D39,$AA$15:$AA$44=1),cohort_size,ROWS(a),IF(cohort_size&lt;MAX(3,Rules!$B$12),""Unranked"",IF(MAX(a)=MIN(a),50,100*(SUMPRODUCT(N(a&lt;M39))+(SUMPRODUCT(N(a=M39))-1)/2)/(cohort_size-1))))),""Un"&amp;"ranked"")"),50.0)</f>
        <v>50</v>
      </c>
      <c r="AK39" s="139">
        <f>IFERROR(__xludf.DUMMYFUNCTION("IFERROR(IF(AA39&lt;&gt;1,""Unranked"",100-LET(a,FILTER($N$15:$N$44,$D$15:$D$44=D39,$AA$15:$AA$44=1),cohort_size,ROWS(a),IF(cohort_size&lt;MAX(3,Rules!$B$12),""Unranked"",IF(MAX(a)=MIN(a),50,100*(SUMPRODUCT(N(a&lt;N39))+(SUMPRODUCT(N(a=N39))-1)/2)/(cohort_size-1))))),"&amp;"""Unranked"")"),0.0)</f>
        <v>0</v>
      </c>
      <c r="AL39" s="111">
        <f t="shared" si="6"/>
        <v>20</v>
      </c>
      <c r="AM39" s="111">
        <f>IFERROR(__xludf.DUMMYFUNCTION("IFERROR(IF(AA39&lt;&gt;1,""Unranked"",LET(a,FILTER($AB$15:$AB$44,$D$15:$D$44=D39,$AA$15:$AA$44=1),cohort_size,ROWS(a),IF(cohort_size&lt;MAX(3,Rules!$B$12),""Unranked"",IF(MAX(a)=MIN(a),50,100*(SUMPRODUCT(N(a&lt;AB39))+(SUMPRODUCT(N(a=AB39))-1)/2)/(cohort_size-1))))),"&amp;"""Unranked"")"),50.0)</f>
        <v>50</v>
      </c>
      <c r="AN39" s="111">
        <f>IFERROR(__xludf.DUMMYFUNCTION("IFERROR(IF(AA39&lt;&gt;1,""Unranked"",LET(a,FILTER($O$15:$O$44,$D$15:$D$44=D39,$AA$15:$AA$44=1),cohort_size,ROWS(a),IF(cohort_size&lt;MAX(3,Rules!$B$12),""Unranked"",IF(MAX(a)=MIN(a),50,100*(SUMPRODUCT(N(a&lt;O39))+(SUMPRODUCT(N(a=O39))-1)/2)/(cohort_size-1))))),""Un"&amp;"ranked"")"),100.0)</f>
        <v>100</v>
      </c>
      <c r="AO39" s="111">
        <f>IFERROR(__xludf.DUMMYFUNCTION("IFERROR(IF(AA39&lt;&gt;1,""Unranked"",LET(a,FILTER($P$15:$P$44,$D$15:$D$44=D39,$AA$15:$AA$44=1),cohort_size,ROWS(a),IF(cohort_size&lt;MAX(3,Rules!$B$12),""Unranked"",IF(MAX(a)=MIN(a),50,100*(SUMPRODUCT(N(a&lt;P39))+(SUMPRODUCT(N(a=P39))-1)/2)/(cohort_size-1))))),""Un"&amp;"ranked"")"),50.0)</f>
        <v>50</v>
      </c>
      <c r="AP39" s="111">
        <f t="shared" si="7"/>
        <v>75</v>
      </c>
      <c r="AQ39" s="111">
        <f>IF(AND(AA39=1,AD39&gt;=MAX(3,Rules!$B$12),COUNT(AG39,AL39,AM39,AP39)=4,MIN(AG39,AL39,AM39,AP39)&gt;=0,MAX(AG39,AL39,AM39,AP39)&lt;=100),1,0)</f>
        <v>1</v>
      </c>
      <c r="AR39" s="105" t="s">
        <v>341</v>
      </c>
      <c r="AS39" s="105" t="s">
        <v>1274</v>
      </c>
    </row>
    <row r="40" ht="52.5" customHeight="1">
      <c r="A40" s="132" t="s">
        <v>1676</v>
      </c>
      <c r="B40" s="132" t="s">
        <v>1347</v>
      </c>
      <c r="C40" s="132" t="s">
        <v>30</v>
      </c>
      <c r="D40" s="132" t="s">
        <v>1672</v>
      </c>
      <c r="E40" s="133" t="s">
        <v>59</v>
      </c>
      <c r="F40" s="134">
        <v>88.99</v>
      </c>
      <c r="G40" s="135">
        <v>46297.0</v>
      </c>
      <c r="H40" s="134">
        <v>32.803</v>
      </c>
      <c r="I40" s="136" t="s">
        <v>1266</v>
      </c>
      <c r="J40" s="135">
        <v>46298.0</v>
      </c>
      <c r="K40" s="134">
        <v>17.18</v>
      </c>
      <c r="L40" s="134">
        <v>10.86</v>
      </c>
      <c r="M40" s="137">
        <v>-0.048</v>
      </c>
      <c r="N40" s="134">
        <v>1.66</v>
      </c>
      <c r="O40" s="137">
        <v>0.0383</v>
      </c>
      <c r="P40" s="137">
        <v>0.2704</v>
      </c>
      <c r="Q40" s="132" t="s">
        <v>1206</v>
      </c>
      <c r="R40" s="134">
        <v>31.79</v>
      </c>
      <c r="S40" s="132" t="s">
        <v>1267</v>
      </c>
      <c r="T40" s="134">
        <v>28.319</v>
      </c>
      <c r="U40" s="134">
        <v>6.31</v>
      </c>
      <c r="V40" s="134">
        <v>3.17</v>
      </c>
      <c r="W40" s="138" t="s">
        <v>1677</v>
      </c>
      <c r="X40" s="138" t="s">
        <v>1678</v>
      </c>
      <c r="Y40" s="138" t="s">
        <v>1679</v>
      </c>
      <c r="Z40" s="133" t="s">
        <v>249</v>
      </c>
      <c r="AA40" s="111">
        <f>IFERROR(IF(AND(COUNTIF($A$15:$A$44,A40)=1,Z40="Yes",ISNUMBER(F40),F40&gt;=MAX(10,Rules!$B$22),ISNUMBER(G40),G40&lt;=Rules!$B$6,Rules!$B$6-G40&lt;=Rules!$B$10,ISNUMBER(J40),J40=Rules!$B$6,DATEVALUE("1 "&amp;I40)&lt;=Rules!$B$6,Rules!$B$6-DATEVALUE("1 "&amp;I40)&lt;=Rules!$B$11,COUNT(H40,K40:L40,O40:P40,R40,T40)=7,MIN(H40,K40:L40,R40,T40)&gt;0,RIGHT(Q40,4)-RIGHT(S40,4)=3,IF(C40="Utilities",AND(ISNUMBER(N40),N40&gt;0),ISNUMBER(M40)),D40&lt;&gt;"",W40&lt;&gt;"",X40&lt;&gt;""),1,0),0)</f>
        <v>1</v>
      </c>
      <c r="AB40" s="128">
        <f t="shared" si="1"/>
        <v>0.03929188955</v>
      </c>
      <c r="AC40" s="128">
        <f t="shared" si="2"/>
        <v>0.25793065</v>
      </c>
      <c r="AD40" s="111">
        <f t="shared" si="3"/>
        <v>3</v>
      </c>
      <c r="AE40" s="111">
        <f>IFERROR(__xludf.DUMMYFUNCTION("IFERROR(IF(AA40&lt;&gt;1,""Unranked"",LET(a,FILTER($F$15:$F$44,$D$15:$D$44=D40,$AA$15:$AA$44=1),cohort_size,ROWS(a),IF(cohort_size&lt;MAX(3,Rules!$B$12),""Unranked"",IF(MAX(a)=MIN(a),50,100*(SUMPRODUCT(N(a&lt;F40))+(SUMPRODUCT(N(a=F40))-1)/2)/(cohort_size-1))))),""Un"&amp;"ranked"")"),100.0)</f>
        <v>100</v>
      </c>
      <c r="AF40" s="111">
        <f>IFERROR(__xludf.DUMMYFUNCTION("IFERROR(IF(AA40&lt;&gt;1,""Unranked"",LET(a,FILTER($H$15:$H$44,$D$15:$D$44=D40,$AA$15:$AA$44=1),cohort_size,ROWS(a),IF(cohort_size&lt;MAX(3,Rules!$B$12),""Unranked"",IF(MAX(a)=MIN(a),50,100*(SUMPRODUCT(N(a&lt;H40))+(SUMPRODUCT(N(a=H40))-1)/2)/(cohort_size-1))))),""Un"&amp;"ranked"")"),100.0)</f>
        <v>100</v>
      </c>
      <c r="AG40" s="111">
        <f t="shared" si="4"/>
        <v>100</v>
      </c>
      <c r="AH40" s="111">
        <f>IFERROR(__xludf.DUMMYFUNCTION("IFERROR(IF(AA40&lt;&gt;1,""Unranked"",100-LET(a,FILTER($K$15:$K$44,$D$15:$D$44=D40,$AA$15:$AA$44=1),cohort_size,ROWS(a),IF(cohort_size&lt;MAX(3,Rules!$B$12),""Unranked"",IF(MAX(a)=MIN(a),50,100*(SUMPRODUCT(N(a&lt;K40))+(SUMPRODUCT(N(a=K40))-1)/2)/(cohort_size-1))))),"&amp;"""Unranked"")"),100.0)</f>
        <v>100</v>
      </c>
      <c r="AI40" s="111">
        <f>IFERROR(__xludf.DUMMYFUNCTION("IFERROR(IF(AA40&lt;&gt;1,""Unranked"",100-LET(a,FILTER($L$15:$L$44,$D$15:$D$44=D40,$AA$15:$AA$44=1),cohort_size,ROWS(a),IF(cohort_size&lt;MAX(3,Rules!$B$12),""Unranked"",IF(MAX(a)=MIN(a),50,100*(SUMPRODUCT(N(a&lt;L40))+(SUMPRODUCT(N(a=L40))-1)/2)/(cohort_size-1))))),"&amp;"""Unranked"")"),100.0)</f>
        <v>100</v>
      </c>
      <c r="AJ40" s="111">
        <f>IFERROR(__xludf.DUMMYFUNCTION("IFERROR(IF(AA40&lt;&gt;1,""Unranked"",LET(a,FILTER($M$15:$M$44,$D$15:$D$44=D40,$AA$15:$AA$44=1),cohort_size,ROWS(a),IF(cohort_size&lt;MAX(3,Rules!$B$12),""Unranked"",IF(MAX(a)=MIN(a),50,100*(SUMPRODUCT(N(a&lt;M40))+(SUMPRODUCT(N(a=M40))-1)/2)/(cohort_size-1))))),""Un"&amp;"ranked"")"),100.0)</f>
        <v>100</v>
      </c>
      <c r="AK40" s="139">
        <f>IFERROR(__xludf.DUMMYFUNCTION("IFERROR(IF(AA40&lt;&gt;1,""Unranked"",100-LET(a,FILTER($N$15:$N$44,$D$15:$D$44=D40,$AA$15:$AA$44=1),cohort_size,ROWS(a),IF(cohort_size&lt;MAX(3,Rules!$B$12),""Unranked"",IF(MAX(a)=MIN(a),50,100*(SUMPRODUCT(N(a&lt;N40))+(SUMPRODUCT(N(a=N40))-1)/2)/(cohort_size-1))))),"&amp;"""Unranked"")"),100.0)</f>
        <v>100</v>
      </c>
      <c r="AL40" s="111">
        <f t="shared" si="6"/>
        <v>100</v>
      </c>
      <c r="AM40" s="111">
        <f>IFERROR(__xludf.DUMMYFUNCTION("IFERROR(IF(AA40&lt;&gt;1,""Unranked"",LET(a,FILTER($AB$15:$AB$44,$D$15:$D$44=D40,$AA$15:$AA$44=1),cohort_size,ROWS(a),IF(cohort_size&lt;MAX(3,Rules!$B$12),""Unranked"",IF(MAX(a)=MIN(a),50,100*(SUMPRODUCT(N(a&lt;AB40))+(SUMPRODUCT(N(a=AB40))-1)/2)/(cohort_size-1))))),"&amp;"""Unranked"")"),100.0)</f>
        <v>100</v>
      </c>
      <c r="AN40" s="111">
        <f>IFERROR(__xludf.DUMMYFUNCTION("IFERROR(IF(AA40&lt;&gt;1,""Unranked"",LET(a,FILTER($O$15:$O$44,$D$15:$D$44=D40,$AA$15:$AA$44=1),cohort_size,ROWS(a),IF(cohort_size&lt;MAX(3,Rules!$B$12),""Unranked"",IF(MAX(a)=MIN(a),50,100*(SUMPRODUCT(N(a&lt;O40))+(SUMPRODUCT(N(a=O40))-1)/2)/(cohort_size-1))))),""Un"&amp;"ranked"")"),50.0)</f>
        <v>50</v>
      </c>
      <c r="AO40" s="111">
        <f>IFERROR(__xludf.DUMMYFUNCTION("IFERROR(IF(AA40&lt;&gt;1,""Unranked"",LET(a,FILTER($P$15:$P$44,$D$15:$D$44=D40,$AA$15:$AA$44=1),cohort_size,ROWS(a),IF(cohort_size&lt;MAX(3,Rules!$B$12),""Unranked"",IF(MAX(a)=MIN(a),50,100*(SUMPRODUCT(N(a&lt;P40))+(SUMPRODUCT(N(a=P40))-1)/2)/(cohort_size-1))))),""Un"&amp;"ranked"")"),100.0)</f>
        <v>100</v>
      </c>
      <c r="AP40" s="111">
        <f t="shared" si="7"/>
        <v>75</v>
      </c>
      <c r="AQ40" s="111">
        <f>IF(AND(AA40=1,AD40&gt;=MAX(3,Rules!$B$12),COUNT(AG40,AL40,AM40,AP40)=4,MIN(AG40,AL40,AM40,AP40)&gt;=0,MAX(AG40,AL40,AM40,AP40)&lt;=100),1,0)</f>
        <v>1</v>
      </c>
      <c r="AR40" s="105" t="s">
        <v>1680</v>
      </c>
      <c r="AS40" s="105" t="s">
        <v>1274</v>
      </c>
    </row>
    <row r="41" ht="52.5" customHeight="1">
      <c r="A41" s="132" t="s">
        <v>1681</v>
      </c>
      <c r="B41" s="132" t="s">
        <v>1348</v>
      </c>
      <c r="C41" s="132" t="s">
        <v>30</v>
      </c>
      <c r="D41" s="132" t="s">
        <v>1672</v>
      </c>
      <c r="E41" s="133" t="s">
        <v>59</v>
      </c>
      <c r="F41" s="134">
        <v>44.6</v>
      </c>
      <c r="G41" s="135">
        <v>46297.0</v>
      </c>
      <c r="H41" s="134">
        <v>14.616</v>
      </c>
      <c r="I41" s="136" t="s">
        <v>1266</v>
      </c>
      <c r="J41" s="135">
        <v>46298.0</v>
      </c>
      <c r="K41" s="134">
        <v>19.58</v>
      </c>
      <c r="L41" s="134">
        <v>13.76</v>
      </c>
      <c r="M41" s="137">
        <v>-0.1725</v>
      </c>
      <c r="N41" s="134">
        <v>1.85</v>
      </c>
      <c r="O41" s="137">
        <v>0.032</v>
      </c>
      <c r="P41" s="137">
        <v>0.2103</v>
      </c>
      <c r="Q41" s="132" t="s">
        <v>1206</v>
      </c>
      <c r="R41" s="134">
        <v>14.669</v>
      </c>
      <c r="S41" s="132" t="s">
        <v>1267</v>
      </c>
      <c r="T41" s="134">
        <v>15.31</v>
      </c>
      <c r="U41" s="134">
        <v>3.42</v>
      </c>
      <c r="V41" s="134">
        <v>3.17</v>
      </c>
      <c r="W41" s="138" t="s">
        <v>1682</v>
      </c>
      <c r="X41" s="138" t="s">
        <v>1683</v>
      </c>
      <c r="Y41" s="138" t="s">
        <v>1684</v>
      </c>
      <c r="Z41" s="133" t="s">
        <v>249</v>
      </c>
      <c r="AA41" s="111">
        <f>IFERROR(IF(AND(COUNTIF($A$15:$A$44,A41)=1,Z41="Yes",ISNUMBER(F41),F41&gt;=MAX(10,Rules!$B$22),ISNUMBER(G41),G41&lt;=Rules!$B$6,Rules!$B$6-G41&lt;=Rules!$B$10,ISNUMBER(J41),J41=Rules!$B$6,DATEVALUE("1 "&amp;I41)&lt;=Rules!$B$6,Rules!$B$6-DATEVALUE("1 "&amp;I41)&lt;=Rules!$B$11,COUNT(H41,K41:L41,O41:P41,R41,T41)=7,MIN(H41,K41:L41,R41,T41)&gt;0,RIGHT(Q41,4)-RIGHT(S41,4)=3,IF(C41="Utilities",AND(ISNUMBER(N41),N41&gt;0),ISNUMBER(M41)),D41&lt;&gt;"",W41&lt;&gt;"",X41&lt;&gt;""),1,0),0)</f>
        <v>1</v>
      </c>
      <c r="AB41" s="128">
        <f t="shared" si="1"/>
        <v>-0.01415545136</v>
      </c>
      <c r="AC41" s="128">
        <f t="shared" si="2"/>
        <v>0.02562582549</v>
      </c>
      <c r="AD41" s="111">
        <f t="shared" si="3"/>
        <v>3</v>
      </c>
      <c r="AE41" s="111">
        <f>IFERROR(__xludf.DUMMYFUNCTION("IFERROR(IF(AA41&lt;&gt;1,""Unranked"",LET(a,FILTER($F$15:$F$44,$D$15:$D$44=D41,$AA$15:$AA$44=1),cohort_size,ROWS(a),IF(cohort_size&lt;MAX(3,Rules!$B$12),""Unranked"",IF(MAX(a)=MIN(a),50,100*(SUMPRODUCT(N(a&lt;F41))+(SUMPRODUCT(N(a=F41))-1)/2)/(cohort_size-1))))),""Un"&amp;"ranked"")"),0.0)</f>
        <v>0</v>
      </c>
      <c r="AF41" s="111">
        <f>IFERROR(__xludf.DUMMYFUNCTION("IFERROR(IF(AA41&lt;&gt;1,""Unranked"",LET(a,FILTER($H$15:$H$44,$D$15:$D$44=D41,$AA$15:$AA$44=1),cohort_size,ROWS(a),IF(cohort_size&lt;MAX(3,Rules!$B$12),""Unranked"",IF(MAX(a)=MIN(a),50,100*(SUMPRODUCT(N(a&lt;H41))+(SUMPRODUCT(N(a=H41))-1)/2)/(cohort_size-1))))),""Un"&amp;"ranked"")"),0.0)</f>
        <v>0</v>
      </c>
      <c r="AG41" s="111">
        <f t="shared" si="4"/>
        <v>0</v>
      </c>
      <c r="AH41" s="111">
        <f>IFERROR(__xludf.DUMMYFUNCTION("IFERROR(IF(AA41&lt;&gt;1,""Unranked"",100-LET(a,FILTER($K$15:$K$44,$D$15:$D$44=D41,$AA$15:$AA$44=1),cohort_size,ROWS(a),IF(cohort_size&lt;MAX(3,Rules!$B$12),""Unranked"",IF(MAX(a)=MIN(a),50,100*(SUMPRODUCT(N(a&lt;K41))+(SUMPRODUCT(N(a=K41))-1)/2)/(cohort_size-1))))),"&amp;"""Unranked"")"),50.0)</f>
        <v>50</v>
      </c>
      <c r="AI41" s="111">
        <f>IFERROR(__xludf.DUMMYFUNCTION("IFERROR(IF(AA41&lt;&gt;1,""Unranked"",100-LET(a,FILTER($L$15:$L$44,$D$15:$D$44=D41,$AA$15:$AA$44=1),cohort_size,ROWS(a),IF(cohort_size&lt;MAX(3,Rules!$B$12),""Unranked"",IF(MAX(a)=MIN(a),50,100*(SUMPRODUCT(N(a&lt;L41))+(SUMPRODUCT(N(a=L41))-1)/2)/(cohort_size-1))))),"&amp;"""Unranked"")"),0.0)</f>
        <v>0</v>
      </c>
      <c r="AJ41" s="111">
        <f>IFERROR(__xludf.DUMMYFUNCTION("IFERROR(IF(AA41&lt;&gt;1,""Unranked"",LET(a,FILTER($M$15:$M$44,$D$15:$D$44=D41,$AA$15:$AA$44=1),cohort_size,ROWS(a),IF(cohort_size&lt;MAX(3,Rules!$B$12),""Unranked"",IF(MAX(a)=MIN(a),50,100*(SUMPRODUCT(N(a&lt;M41))+(SUMPRODUCT(N(a=M41))-1)/2)/(cohort_size-1))))),""Un"&amp;"ranked"")"),0.0)</f>
        <v>0</v>
      </c>
      <c r="AK41" s="139">
        <f>IFERROR(__xludf.DUMMYFUNCTION("IFERROR(IF(AA41&lt;&gt;1,""Unranked"",100-LET(a,FILTER($N$15:$N$44,$D$15:$D$44=D41,$AA$15:$AA$44=1),cohort_size,ROWS(a),IF(cohort_size&lt;MAX(3,Rules!$B$12),""Unranked"",IF(MAX(a)=MIN(a),50,100*(SUMPRODUCT(N(a&lt;N41))+(SUMPRODUCT(N(a=N41))-1)/2)/(cohort_size-1))))),"&amp;"""Unranked"")"),50.0)</f>
        <v>50</v>
      </c>
      <c r="AL41" s="111">
        <f t="shared" si="6"/>
        <v>30</v>
      </c>
      <c r="AM41" s="111">
        <f>IFERROR(__xludf.DUMMYFUNCTION("IFERROR(IF(AA41&lt;&gt;1,""Unranked"",LET(a,FILTER($AB$15:$AB$44,$D$15:$D$44=D41,$AA$15:$AA$44=1),cohort_size,ROWS(a),IF(cohort_size&lt;MAX(3,Rules!$B$12),""Unranked"",IF(MAX(a)=MIN(a),50,100*(SUMPRODUCT(N(a&lt;AB41))+(SUMPRODUCT(N(a=AB41))-1)/2)/(cohort_size-1))))),"&amp;"""Unranked"")"),0.0)</f>
        <v>0</v>
      </c>
      <c r="AN41" s="111">
        <f>IFERROR(__xludf.DUMMYFUNCTION("IFERROR(IF(AA41&lt;&gt;1,""Unranked"",LET(a,FILTER($O$15:$O$44,$D$15:$D$44=D41,$AA$15:$AA$44=1),cohort_size,ROWS(a),IF(cohort_size&lt;MAX(3,Rules!$B$12),""Unranked"",IF(MAX(a)=MIN(a),50,100*(SUMPRODUCT(N(a&lt;O41))+(SUMPRODUCT(N(a=O41))-1)/2)/(cohort_size-1))))),""Un"&amp;"ranked"")"),0.0)</f>
        <v>0</v>
      </c>
      <c r="AO41" s="111">
        <f>IFERROR(__xludf.DUMMYFUNCTION("IFERROR(IF(AA41&lt;&gt;1,""Unranked"",LET(a,FILTER($P$15:$P$44,$D$15:$D$44=D41,$AA$15:$AA$44=1),cohort_size,ROWS(a),IF(cohort_size&lt;MAX(3,Rules!$B$12),""Unranked"",IF(MAX(a)=MIN(a),50,100*(SUMPRODUCT(N(a&lt;P41))+(SUMPRODUCT(N(a=P41))-1)/2)/(cohort_size-1))))),""Un"&amp;"ranked"")"),0.0)</f>
        <v>0</v>
      </c>
      <c r="AP41" s="111">
        <f t="shared" si="7"/>
        <v>0</v>
      </c>
      <c r="AQ41" s="111">
        <f>IF(AND(AA41=1,AD41&gt;=MAX(3,Rules!$B$12),COUNT(AG41,AL41,AM41,AP41)=4,MIN(AG41,AL41,AM41,AP41)&gt;=0,MAX(AG41,AL41,AM41,AP41)&lt;=100),1,0)</f>
        <v>1</v>
      </c>
      <c r="AR41" s="105" t="s">
        <v>1685</v>
      </c>
      <c r="AS41" s="105" t="s">
        <v>1274</v>
      </c>
    </row>
    <row r="42" ht="52.5" customHeight="1">
      <c r="A42" s="132" t="s">
        <v>1686</v>
      </c>
      <c r="B42" s="132" t="s">
        <v>1406</v>
      </c>
      <c r="C42" s="132" t="s">
        <v>347</v>
      </c>
      <c r="D42" s="132" t="s">
        <v>1687</v>
      </c>
      <c r="E42" s="133" t="s">
        <v>249</v>
      </c>
      <c r="F42" s="134">
        <v>45.17</v>
      </c>
      <c r="G42" s="135">
        <v>46297.0</v>
      </c>
      <c r="H42" s="134">
        <v>34.128</v>
      </c>
      <c r="I42" s="136" t="s">
        <v>1266</v>
      </c>
      <c r="J42" s="135">
        <v>46298.0</v>
      </c>
      <c r="K42" s="134">
        <v>9.95</v>
      </c>
      <c r="L42" s="134">
        <v>7.46</v>
      </c>
      <c r="M42" s="137">
        <v>0.1458</v>
      </c>
      <c r="N42" s="134">
        <v>2.3</v>
      </c>
      <c r="O42" s="137">
        <v>0.2227</v>
      </c>
      <c r="P42" s="137">
        <v>0.1761</v>
      </c>
      <c r="Q42" s="132" t="s">
        <v>1206</v>
      </c>
      <c r="R42" s="134">
        <v>33.172</v>
      </c>
      <c r="S42" s="132" t="s">
        <v>1267</v>
      </c>
      <c r="T42" s="134">
        <v>27.518</v>
      </c>
      <c r="U42" s="134">
        <v>5.41</v>
      </c>
      <c r="V42" s="134">
        <v>2.09</v>
      </c>
      <c r="W42" s="138" t="s">
        <v>1688</v>
      </c>
      <c r="X42" s="138" t="s">
        <v>1689</v>
      </c>
      <c r="Y42" s="138" t="s">
        <v>1690</v>
      </c>
      <c r="Z42" s="133" t="s">
        <v>249</v>
      </c>
      <c r="AA42" s="111">
        <f>IFERROR(IF(AND(COUNTIF($A$15:$A$44,A42)=1,Z42="Yes",ISNUMBER(F42),F42&gt;=MAX(10,Rules!$B$22),ISNUMBER(G42),G42&lt;=Rules!$B$6,Rules!$B$6-G42&lt;=Rules!$B$10,ISNUMBER(J42),J42=Rules!$B$6,DATEVALUE("1 "&amp;I42)&lt;=Rules!$B$6,Rules!$B$6-DATEVALUE("1 "&amp;I42)&lt;=Rules!$B$11,COUNT(H42,K42:L42,O42:P42,R42,T42)=7,MIN(H42,K42:L42,R42,T42)&gt;0,RIGHT(Q42,4)-RIGHT(S42,4)=3,IF(C42="Utilities",AND(ISNUMBER(N42),N42&gt;0),ISNUMBER(M42)),D42&lt;&gt;"",W42&lt;&gt;"",X42&lt;&gt;""),1,0),0)</f>
        <v>1</v>
      </c>
      <c r="AB42" s="128">
        <f t="shared" si="1"/>
        <v>0.06426945233</v>
      </c>
      <c r="AC42" s="128">
        <f t="shared" si="2"/>
        <v>0.3730414865</v>
      </c>
      <c r="AD42" s="111">
        <f t="shared" si="3"/>
        <v>3</v>
      </c>
      <c r="AE42" s="111">
        <f>IFERROR(__xludf.DUMMYFUNCTION("IFERROR(IF(AA42&lt;&gt;1,""Unranked"",LET(a,FILTER($F$15:$F$44,$D$15:$D$44=D42,$AA$15:$AA$44=1),cohort_size,ROWS(a),IF(cohort_size&lt;MAX(3,Rules!$B$12),""Unranked"",IF(MAX(a)=MIN(a),50,100*(SUMPRODUCT(N(a&lt;F42))+(SUMPRODUCT(N(a=F42))-1)/2)/(cohort_size-1))))),""Un"&amp;"ranked"")"),0.0)</f>
        <v>0</v>
      </c>
      <c r="AF42" s="111">
        <f>IFERROR(__xludf.DUMMYFUNCTION("IFERROR(IF(AA42&lt;&gt;1,""Unranked"",LET(a,FILTER($H$15:$H$44,$D$15:$D$44=D42,$AA$15:$AA$44=1),cohort_size,ROWS(a),IF(cohort_size&lt;MAX(3,Rules!$B$12),""Unranked"",IF(MAX(a)=MIN(a),50,100*(SUMPRODUCT(N(a&lt;H42))+(SUMPRODUCT(N(a=H42))-1)/2)/(cohort_size-1))))),""Un"&amp;"ranked"")"),0.0)</f>
        <v>0</v>
      </c>
      <c r="AG42" s="111">
        <f t="shared" si="4"/>
        <v>0</v>
      </c>
      <c r="AH42" s="111">
        <f>IFERROR(__xludf.DUMMYFUNCTION("IFERROR(IF(AA42&lt;&gt;1,""Unranked"",100-LET(a,FILTER($K$15:$K$44,$D$15:$D$44=D42,$AA$15:$AA$44=1),cohort_size,ROWS(a),IF(cohort_size&lt;MAX(3,Rules!$B$12),""Unranked"",IF(MAX(a)=MIN(a),50,100*(SUMPRODUCT(N(a&lt;K42))+(SUMPRODUCT(N(a=K42))-1)/2)/(cohort_size-1))))),"&amp;"""Unranked"")"),100.0)</f>
        <v>100</v>
      </c>
      <c r="AI42" s="111">
        <f>IFERROR(__xludf.DUMMYFUNCTION("IFERROR(IF(AA42&lt;&gt;1,""Unranked"",100-LET(a,FILTER($L$15:$L$44,$D$15:$D$44=D42,$AA$15:$AA$44=1),cohort_size,ROWS(a),IF(cohort_size&lt;MAX(3,Rules!$B$12),""Unranked"",IF(MAX(a)=MIN(a),50,100*(SUMPRODUCT(N(a&lt;L42))+(SUMPRODUCT(N(a=L42))-1)/2)/(cohort_size-1))))),"&amp;"""Unranked"")"),100.0)</f>
        <v>100</v>
      </c>
      <c r="AJ42" s="111">
        <f>IFERROR(__xludf.DUMMYFUNCTION("IFERROR(IF(AA42&lt;&gt;1,""Unranked"",LET(a,FILTER($M$15:$M$44,$D$15:$D$44=D42,$AA$15:$AA$44=1),cohort_size,ROWS(a),IF(cohort_size&lt;MAX(3,Rules!$B$12),""Unranked"",IF(MAX(a)=MIN(a),50,100*(SUMPRODUCT(N(a&lt;M42))+(SUMPRODUCT(N(a=M42))-1)/2)/(cohort_size-1))))),""Un"&amp;"ranked"")"),100.0)</f>
        <v>100</v>
      </c>
      <c r="AK42" s="139" t="str">
        <f t="shared" ref="AK42:AK44" si="8">"Not used"</f>
        <v>Not used</v>
      </c>
      <c r="AL42" s="111">
        <f t="shared" si="6"/>
        <v>100</v>
      </c>
      <c r="AM42" s="111">
        <f>IFERROR(__xludf.DUMMYFUNCTION("IFERROR(IF(AA42&lt;&gt;1,""Unranked"",LET(a,FILTER($AB$15:$AB$44,$D$15:$D$44=D42,$AA$15:$AA$44=1),cohort_size,ROWS(a),IF(cohort_size&lt;MAX(3,Rules!$B$12),""Unranked"",IF(MAX(a)=MIN(a),50,100*(SUMPRODUCT(N(a&lt;AB42))+(SUMPRODUCT(N(a=AB42))-1)/2)/(cohort_size-1))))),"&amp;"""Unranked"")"),0.0)</f>
        <v>0</v>
      </c>
      <c r="AN42" s="111">
        <f>IFERROR(__xludf.DUMMYFUNCTION("IFERROR(IF(AA42&lt;&gt;1,""Unranked"",LET(a,FILTER($O$15:$O$44,$D$15:$D$44=D42,$AA$15:$AA$44=1),cohort_size,ROWS(a),IF(cohort_size&lt;MAX(3,Rules!$B$12),""Unranked"",IF(MAX(a)=MIN(a),50,100*(SUMPRODUCT(N(a&lt;O42))+(SUMPRODUCT(N(a=O42))-1)/2)/(cohort_size-1))))),""Un"&amp;"ranked"")"),0.0)</f>
        <v>0</v>
      </c>
      <c r="AO42" s="111">
        <f>IFERROR(__xludf.DUMMYFUNCTION("IFERROR(IF(AA42&lt;&gt;1,""Unranked"",LET(a,FILTER($P$15:$P$44,$D$15:$D$44=D42,$AA$15:$AA$44=1),cohort_size,ROWS(a),IF(cohort_size&lt;MAX(3,Rules!$B$12),""Unranked"",IF(MAX(a)=MIN(a),50,100*(SUMPRODUCT(N(a&lt;P42))+(SUMPRODUCT(N(a=P42))-1)/2)/(cohort_size-1))))),""Un"&amp;"ranked"")"),0.0)</f>
        <v>0</v>
      </c>
      <c r="AP42" s="111">
        <f t="shared" si="7"/>
        <v>0</v>
      </c>
      <c r="AQ42" s="111">
        <f>IF(AND(AA42=1,AD42&gt;=MAX(3,Rules!$B$12),COUNT(AG42,AL42,AM42,AP42)=4,MIN(AG42,AL42,AM42,AP42)&gt;=0,MAX(AG42,AL42,AM42,AP42)&lt;=100),1,0)</f>
        <v>1</v>
      </c>
      <c r="AR42" s="105" t="s">
        <v>1691</v>
      </c>
      <c r="AS42" s="105" t="s">
        <v>1274</v>
      </c>
    </row>
    <row r="43" ht="52.5" customHeight="1">
      <c r="A43" s="132" t="s">
        <v>1692</v>
      </c>
      <c r="B43" s="132" t="s">
        <v>1693</v>
      </c>
      <c r="C43" s="132" t="s">
        <v>347</v>
      </c>
      <c r="D43" s="132" t="s">
        <v>1687</v>
      </c>
      <c r="E43" s="133" t="s">
        <v>59</v>
      </c>
      <c r="F43" s="134">
        <v>483.79</v>
      </c>
      <c r="G43" s="135">
        <v>46297.0</v>
      </c>
      <c r="H43" s="134">
        <v>35.083</v>
      </c>
      <c r="I43" s="136" t="s">
        <v>1266</v>
      </c>
      <c r="J43" s="135">
        <v>46298.0</v>
      </c>
      <c r="K43" s="134">
        <v>30.37</v>
      </c>
      <c r="L43" s="134">
        <v>22.37</v>
      </c>
      <c r="M43" s="137">
        <v>0.0345</v>
      </c>
      <c r="N43" s="134">
        <v>86.34</v>
      </c>
      <c r="O43" s="137">
        <v>0.9378</v>
      </c>
      <c r="P43" s="137">
        <v>0.5988</v>
      </c>
      <c r="Q43" s="132" t="s">
        <v>1206</v>
      </c>
      <c r="R43" s="134">
        <v>32.791</v>
      </c>
      <c r="S43" s="132" t="s">
        <v>1267</v>
      </c>
      <c r="T43" s="134">
        <v>22.237</v>
      </c>
      <c r="U43" s="134">
        <v>16.52</v>
      </c>
      <c r="V43" s="134">
        <v>10.22</v>
      </c>
      <c r="W43" s="138" t="s">
        <v>1694</v>
      </c>
      <c r="X43" s="138" t="s">
        <v>1695</v>
      </c>
      <c r="Y43" s="138" t="s">
        <v>1696</v>
      </c>
      <c r="Z43" s="133" t="s">
        <v>249</v>
      </c>
      <c r="AA43" s="111">
        <f>IFERROR(IF(AND(COUNTIF($A$15:$A$44,A43)=1,Z43="Yes",ISNUMBER(F43),F43&gt;=MAX(10,Rules!$B$22),ISNUMBER(G43),G43&lt;=Rules!$B$6,Rules!$B$6-G43&lt;=Rules!$B$10,ISNUMBER(J43),J43=Rules!$B$6,DATEVALUE("1 "&amp;I43)&lt;=Rules!$B$6,Rules!$B$6-DATEVALUE("1 "&amp;I43)&lt;=Rules!$B$11,COUNT(H43,K43:L43,O43:P43,R43,T43)=7,MIN(H43,K43:L43,R43,T43)&gt;0,RIGHT(Q43,4)-RIGHT(S43,4)=3,IF(C43="Utilities",AND(ISNUMBER(N43),N43&gt;0),ISNUMBER(M43)),D43&lt;&gt;"",W43&lt;&gt;"",X43&lt;&gt;""),1,0),0)</f>
        <v>1</v>
      </c>
      <c r="AB43" s="128">
        <f t="shared" si="1"/>
        <v>0.1382198495</v>
      </c>
      <c r="AC43" s="128">
        <f t="shared" si="2"/>
        <v>0.1735989593</v>
      </c>
      <c r="AD43" s="111">
        <f t="shared" si="3"/>
        <v>3</v>
      </c>
      <c r="AE43" s="111">
        <f>IFERROR(__xludf.DUMMYFUNCTION("IFERROR(IF(AA43&lt;&gt;1,""Unranked"",LET(a,FILTER($F$15:$F$44,$D$15:$D$44=D43,$AA$15:$AA$44=1),cohort_size,ROWS(a),IF(cohort_size&lt;MAX(3,Rules!$B$12),""Unranked"",IF(MAX(a)=MIN(a),50,100*(SUMPRODUCT(N(a&lt;F43))+(SUMPRODUCT(N(a=F43))-1)/2)/(cohort_size-1))))),""Un"&amp;"ranked"")"),50.0)</f>
        <v>50</v>
      </c>
      <c r="AF43" s="111">
        <f>IFERROR(__xludf.DUMMYFUNCTION("IFERROR(IF(AA43&lt;&gt;1,""Unranked"",LET(a,FILTER($H$15:$H$44,$D$15:$D$44=D43,$AA$15:$AA$44=1),cohort_size,ROWS(a),IF(cohort_size&lt;MAX(3,Rules!$B$12),""Unranked"",IF(MAX(a)=MIN(a),50,100*(SUMPRODUCT(N(a&lt;H43))+(SUMPRODUCT(N(a=H43))-1)/2)/(cohort_size-1))))),""Un"&amp;"ranked"")"),50.0)</f>
        <v>50</v>
      </c>
      <c r="AG43" s="111">
        <f t="shared" si="4"/>
        <v>50</v>
      </c>
      <c r="AH43" s="111">
        <f>IFERROR(__xludf.DUMMYFUNCTION("IFERROR(IF(AA43&lt;&gt;1,""Unranked"",100-LET(a,FILTER($K$15:$K$44,$D$15:$D$44=D43,$AA$15:$AA$44=1),cohort_size,ROWS(a),IF(cohort_size&lt;MAX(3,Rules!$B$12),""Unranked"",IF(MAX(a)=MIN(a),50,100*(SUMPRODUCT(N(a&lt;K43))+(SUMPRODUCT(N(a=K43))-1)/2)/(cohort_size-1))))),"&amp;"""Unranked"")"),50.0)</f>
        <v>50</v>
      </c>
      <c r="AI43" s="111">
        <f>IFERROR(__xludf.DUMMYFUNCTION("IFERROR(IF(AA43&lt;&gt;1,""Unranked"",100-LET(a,FILTER($L$15:$L$44,$D$15:$D$44=D43,$AA$15:$AA$44=1),cohort_size,ROWS(a),IF(cohort_size&lt;MAX(3,Rules!$B$12),""Unranked"",IF(MAX(a)=MIN(a),50,100*(SUMPRODUCT(N(a&lt;L43))+(SUMPRODUCT(N(a=L43))-1)/2)/(cohort_size-1))))),"&amp;"""Unranked"")"),0.0)</f>
        <v>0</v>
      </c>
      <c r="AJ43" s="111">
        <f>IFERROR(__xludf.DUMMYFUNCTION("IFERROR(IF(AA43&lt;&gt;1,""Unranked"",LET(a,FILTER($M$15:$M$44,$D$15:$D$44=D43,$AA$15:$AA$44=1),cohort_size,ROWS(a),IF(cohort_size&lt;MAX(3,Rules!$B$12),""Unranked"",IF(MAX(a)=MIN(a),50,100*(SUMPRODUCT(N(a&lt;M43))+(SUMPRODUCT(N(a=M43))-1)/2)/(cohort_size-1))))),""Un"&amp;"ranked"")"),50.0)</f>
        <v>50</v>
      </c>
      <c r="AK43" s="139" t="str">
        <f t="shared" si="8"/>
        <v>Not used</v>
      </c>
      <c r="AL43" s="111">
        <f t="shared" si="6"/>
        <v>32.5</v>
      </c>
      <c r="AM43" s="111">
        <f>IFERROR(__xludf.DUMMYFUNCTION("IFERROR(IF(AA43&lt;&gt;1,""Unranked"",LET(a,FILTER($AB$15:$AB$44,$D$15:$D$44=D43,$AA$15:$AA$44=1),cohort_size,ROWS(a),IF(cohort_size&lt;MAX(3,Rules!$B$12),""Unranked"",IF(MAX(a)=MIN(a),50,100*(SUMPRODUCT(N(a&lt;AB43))+(SUMPRODUCT(N(a=AB43))-1)/2)/(cohort_size-1))))),"&amp;"""Unranked"")"),100.0)</f>
        <v>100</v>
      </c>
      <c r="AN43" s="111">
        <f>IFERROR(__xludf.DUMMYFUNCTION("IFERROR(IF(AA43&lt;&gt;1,""Unranked"",LET(a,FILTER($O$15:$O$44,$D$15:$D$44=D43,$AA$15:$AA$44=1),cohort_size,ROWS(a),IF(cohort_size&lt;MAX(3,Rules!$B$12),""Unranked"",IF(MAX(a)=MIN(a),50,100*(SUMPRODUCT(N(a&lt;O43))+(SUMPRODUCT(N(a=O43))-1)/2)/(cohort_size-1))))),""Un"&amp;"ranked"")"),100.0)</f>
        <v>100</v>
      </c>
      <c r="AO43" s="111">
        <f>IFERROR(__xludf.DUMMYFUNCTION("IFERROR(IF(AA43&lt;&gt;1,""Unranked"",LET(a,FILTER($P$15:$P$44,$D$15:$D$44=D43,$AA$15:$AA$44=1),cohort_size,ROWS(a),IF(cohort_size&lt;MAX(3,Rules!$B$12),""Unranked"",IF(MAX(a)=MIN(a),50,100*(SUMPRODUCT(N(a&lt;P43))+(SUMPRODUCT(N(a=P43))-1)/2)/(cohort_size-1))))),""Un"&amp;"ranked"")"),50.0)</f>
        <v>50</v>
      </c>
      <c r="AP43" s="111">
        <f t="shared" si="7"/>
        <v>75</v>
      </c>
      <c r="AQ43" s="111">
        <f>IF(AND(AA43=1,AD43&gt;=MAX(3,Rules!$B$12),COUNT(AG43,AL43,AM43,AP43)=4,MIN(AG43,AL43,AM43,AP43)&gt;=0,MAX(AG43,AL43,AM43,AP43)&lt;=100),1,0)</f>
        <v>1</v>
      </c>
      <c r="AR43" s="105" t="s">
        <v>1697</v>
      </c>
      <c r="AS43" s="105" t="s">
        <v>1274</v>
      </c>
    </row>
    <row r="44" ht="52.5" customHeight="1">
      <c r="A44" s="132" t="s">
        <v>1713</v>
      </c>
      <c r="B44" s="132" t="s">
        <v>1199</v>
      </c>
      <c r="C44" s="132" t="s">
        <v>347</v>
      </c>
      <c r="D44" s="132" t="s">
        <v>1687</v>
      </c>
      <c r="E44" s="133" t="s">
        <v>59</v>
      </c>
      <c r="F44" s="134">
        <v>662.03</v>
      </c>
      <c r="G44" s="135">
        <v>46297.0</v>
      </c>
      <c r="H44" s="134">
        <v>44.488</v>
      </c>
      <c r="I44" s="136" t="s">
        <v>1266</v>
      </c>
      <c r="J44" s="135">
        <v>46298.0</v>
      </c>
      <c r="K44" s="134">
        <v>30.7</v>
      </c>
      <c r="L44" s="134">
        <v>21.61</v>
      </c>
      <c r="M44" s="137">
        <v>0.0317</v>
      </c>
      <c r="N44" s="134">
        <v>19.11</v>
      </c>
      <c r="O44" s="137">
        <v>0.5482</v>
      </c>
      <c r="P44" s="137">
        <v>0.6688</v>
      </c>
      <c r="Q44" s="132" t="s">
        <v>1206</v>
      </c>
      <c r="R44" s="134">
        <v>40.0</v>
      </c>
      <c r="S44" s="132" t="s">
        <v>1267</v>
      </c>
      <c r="T44" s="134">
        <v>29.31</v>
      </c>
      <c r="U44" s="134">
        <v>10.2</v>
      </c>
      <c r="V44" s="134">
        <v>7.0</v>
      </c>
      <c r="W44" s="138" t="s">
        <v>1714</v>
      </c>
      <c r="X44" s="138" t="s">
        <v>1715</v>
      </c>
      <c r="Y44" s="138" t="s">
        <v>1716</v>
      </c>
      <c r="Z44" s="133" t="s">
        <v>249</v>
      </c>
      <c r="AA44" s="111">
        <f>IFERROR(IF(AND(COUNTIF($A$15:$A$44,A44)=1,Z44="Yes",ISNUMBER(F44),F44&gt;=MAX(10,Rules!$B$22),ISNUMBER(G44),G44&lt;=Rules!$B$6,Rules!$B$6-G44&lt;=Rules!$B$10,ISNUMBER(J44),J44=Rules!$B$6,DATEVALUE("1 "&amp;I44)&lt;=Rules!$B$6,Rules!$B$6-DATEVALUE("1 "&amp;I44)&lt;=Rules!$B$11,COUNT(H44,K44:L44,O44:P44,R44,T44)=7,MIN(H44,K44:L44,R44,T44)&gt;0,RIGHT(Q44,4)-RIGHT(S44,4)=3,IF(C44="Utilities",AND(ISNUMBER(N44),N44&gt;0),ISNUMBER(M44)),D44&lt;&gt;"",W44&lt;&gt;"",X44&lt;&gt;""),1,0),0)</f>
        <v>1</v>
      </c>
      <c r="AB44" s="128">
        <f t="shared" si="1"/>
        <v>0.1092124213</v>
      </c>
      <c r="AC44" s="128">
        <f t="shared" si="2"/>
        <v>0.133706693</v>
      </c>
      <c r="AD44" s="111">
        <f t="shared" si="3"/>
        <v>3</v>
      </c>
      <c r="AE44" s="111">
        <f>IFERROR(__xludf.DUMMYFUNCTION("IFERROR(IF(AA44&lt;&gt;1,""Unranked"",LET(a,FILTER($F$15:$F$44,$D$15:$D$44=D44,$AA$15:$AA$44=1),cohort_size,ROWS(a),IF(cohort_size&lt;MAX(3,Rules!$B$12),""Unranked"",IF(MAX(a)=MIN(a),50,100*(SUMPRODUCT(N(a&lt;F44))+(SUMPRODUCT(N(a=F44))-1)/2)/(cohort_size-1))))),""Un"&amp;"ranked"")"),100.0)</f>
        <v>100</v>
      </c>
      <c r="AF44" s="111">
        <f>IFERROR(__xludf.DUMMYFUNCTION("IFERROR(IF(AA44&lt;&gt;1,""Unranked"",LET(a,FILTER($H$15:$H$44,$D$15:$D$44=D44,$AA$15:$AA$44=1),cohort_size,ROWS(a),IF(cohort_size&lt;MAX(3,Rules!$B$12),""Unranked"",IF(MAX(a)=MIN(a),50,100*(SUMPRODUCT(N(a&lt;H44))+(SUMPRODUCT(N(a=H44))-1)/2)/(cohort_size-1))))),""Un"&amp;"ranked"")"),100.0)</f>
        <v>100</v>
      </c>
      <c r="AG44" s="111">
        <f t="shared" si="4"/>
        <v>100</v>
      </c>
      <c r="AH44" s="111">
        <f>IFERROR(__xludf.DUMMYFUNCTION("IFERROR(IF(AA44&lt;&gt;1,""Unranked"",100-LET(a,FILTER($K$15:$K$44,$D$15:$D$44=D44,$AA$15:$AA$44=1),cohort_size,ROWS(a),IF(cohort_size&lt;MAX(3,Rules!$B$12),""Unranked"",IF(MAX(a)=MIN(a),50,100*(SUMPRODUCT(N(a&lt;K44))+(SUMPRODUCT(N(a=K44))-1)/2)/(cohort_size-1))))),"&amp;"""Unranked"")"),0.0)</f>
        <v>0</v>
      </c>
      <c r="AI44" s="111">
        <f>IFERROR(__xludf.DUMMYFUNCTION("IFERROR(IF(AA44&lt;&gt;1,""Unranked"",100-LET(a,FILTER($L$15:$L$44,$D$15:$D$44=D44,$AA$15:$AA$44=1),cohort_size,ROWS(a),IF(cohort_size&lt;MAX(3,Rules!$B$12),""Unranked"",IF(MAX(a)=MIN(a),50,100*(SUMPRODUCT(N(a&lt;L44))+(SUMPRODUCT(N(a=L44))-1)/2)/(cohort_size-1))))),"&amp;"""Unranked"")"),50.0)</f>
        <v>50</v>
      </c>
      <c r="AJ44" s="111">
        <f>IFERROR(__xludf.DUMMYFUNCTION("IFERROR(IF(AA44&lt;&gt;1,""Unranked"",LET(a,FILTER($M$15:$M$44,$D$15:$D$44=D44,$AA$15:$AA$44=1),cohort_size,ROWS(a),IF(cohort_size&lt;MAX(3,Rules!$B$12),""Unranked"",IF(MAX(a)=MIN(a),50,100*(SUMPRODUCT(N(a&lt;M44))+(SUMPRODUCT(N(a=M44))-1)/2)/(cohort_size-1))))),""Un"&amp;"ranked"")"),0.0)</f>
        <v>0</v>
      </c>
      <c r="AK44" s="139" t="str">
        <f t="shared" si="8"/>
        <v>Not used</v>
      </c>
      <c r="AL44" s="111">
        <f t="shared" si="6"/>
        <v>17.5</v>
      </c>
      <c r="AM44" s="111">
        <f>IFERROR(__xludf.DUMMYFUNCTION("IFERROR(IF(AA44&lt;&gt;1,""Unranked"",LET(a,FILTER($AB$15:$AB$44,$D$15:$D$44=D44,$AA$15:$AA$44=1),cohort_size,ROWS(a),IF(cohort_size&lt;MAX(3,Rules!$B$12),""Unranked"",IF(MAX(a)=MIN(a),50,100*(SUMPRODUCT(N(a&lt;AB44))+(SUMPRODUCT(N(a=AB44))-1)/2)/(cohort_size-1))))),"&amp;"""Unranked"")"),50.0)</f>
        <v>50</v>
      </c>
      <c r="AN44" s="111">
        <f>IFERROR(__xludf.DUMMYFUNCTION("IFERROR(IF(AA44&lt;&gt;1,""Unranked"",LET(a,FILTER($O$15:$O$44,$D$15:$D$44=D44,$AA$15:$AA$44=1),cohort_size,ROWS(a),IF(cohort_size&lt;MAX(3,Rules!$B$12),""Unranked"",IF(MAX(a)=MIN(a),50,100*(SUMPRODUCT(N(a&lt;O44))+(SUMPRODUCT(N(a=O44))-1)/2)/(cohort_size-1))))),""Un"&amp;"ranked"")"),50.0)</f>
        <v>50</v>
      </c>
      <c r="AO44" s="111">
        <f>IFERROR(__xludf.DUMMYFUNCTION("IFERROR(IF(AA44&lt;&gt;1,""Unranked"",LET(a,FILTER($P$15:$P$44,$D$15:$D$44=D44,$AA$15:$AA$44=1),cohort_size,ROWS(a),IF(cohort_size&lt;MAX(3,Rules!$B$12),""Unranked"",IF(MAX(a)=MIN(a),50,100*(SUMPRODUCT(N(a&lt;P44))+(SUMPRODUCT(N(a=P44))-1)/2)/(cohort_size-1))))),""Un"&amp;"ranked"")"),100.0)</f>
        <v>100</v>
      </c>
      <c r="AP44" s="111">
        <f t="shared" si="7"/>
        <v>75</v>
      </c>
      <c r="AQ44" s="111">
        <f>IF(AND(AA44=1,AD44&gt;=MAX(3,Rules!$B$12),COUNT(AG44,AL44,AM44,AP44)=4,MIN(AG44,AL44,AM44,AP44)&gt;=0,MAX(AG44,AL44,AM44,AP44)&lt;=100),1,0)</f>
        <v>1</v>
      </c>
      <c r="AR44" s="105" t="s">
        <v>1719</v>
      </c>
      <c r="AS44" s="105" t="s">
        <v>1274</v>
      </c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</row>
    <row r="47" ht="58.5" customHeight="1">
      <c r="A47" s="93" t="s">
        <v>757</v>
      </c>
      <c r="B47" s="93"/>
      <c r="C47" s="95" t="s">
        <v>1721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</row>
    <row r="48" ht="58.5" customHeight="1">
      <c r="A48" s="93" t="s">
        <v>1722</v>
      </c>
      <c r="B48" s="93"/>
      <c r="C48" s="95" t="s">
        <v>1723</v>
      </c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</row>
    <row r="49" ht="58.5" customHeight="1">
      <c r="A49" s="93" t="s">
        <v>1724</v>
      </c>
      <c r="B49" s="93"/>
      <c r="C49" s="95" t="s">
        <v>1725</v>
      </c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</row>
    <row r="50" ht="58.5" customHeight="1">
      <c r="A50" s="93" t="s">
        <v>1083</v>
      </c>
      <c r="B50" s="93"/>
      <c r="C50" s="95" t="s">
        <v>1726</v>
      </c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</row>
    <row r="51" ht="58.5" customHeight="1">
      <c r="A51" s="93" t="s">
        <v>1727</v>
      </c>
      <c r="B51" s="93"/>
      <c r="C51" s="95" t="s">
        <v>1728</v>
      </c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</row>
    <row r="52" ht="58.5" customHeight="1">
      <c r="A52" s="93" t="s">
        <v>1729</v>
      </c>
      <c r="B52" s="93"/>
      <c r="C52" s="95" t="s">
        <v>1730</v>
      </c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</row>
    <row r="53" ht="58.5" customHeight="1">
      <c r="A53" s="93" t="s">
        <v>1086</v>
      </c>
      <c r="B53" s="93"/>
      <c r="C53" s="95" t="s">
        <v>1731</v>
      </c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</row>
    <row r="54" ht="58.5" customHeight="1">
      <c r="A54" s="93" t="s">
        <v>1732</v>
      </c>
      <c r="B54" s="93"/>
      <c r="C54" s="95" t="s">
        <v>1733</v>
      </c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</row>
    <row r="55" ht="58.5" customHeight="1">
      <c r="A55" s="93" t="s">
        <v>1734</v>
      </c>
      <c r="B55" s="93"/>
      <c r="C55" s="95" t="s">
        <v>1735</v>
      </c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</row>
    <row r="56" ht="58.5" customHeight="1">
      <c r="A56" s="93" t="s">
        <v>1736</v>
      </c>
      <c r="B56" s="93"/>
      <c r="C56" s="95" t="s">
        <v>1737</v>
      </c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</row>
    <row r="57" ht="58.5" customHeight="1">
      <c r="A57" s="93" t="s">
        <v>1738</v>
      </c>
      <c r="B57" s="93"/>
      <c r="C57" s="95" t="s">
        <v>1739</v>
      </c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</row>
    <row r="60">
      <c r="A60" s="27"/>
    </row>
  </sheetData>
  <mergeCells count="13">
    <mergeCell ref="C52:H52"/>
    <mergeCell ref="C53:H53"/>
    <mergeCell ref="C54:H54"/>
    <mergeCell ref="C55:H55"/>
    <mergeCell ref="C56:H56"/>
    <mergeCell ref="C57:H57"/>
    <mergeCell ref="A2:B2"/>
    <mergeCell ref="C3:H3"/>
    <mergeCell ref="C47:H47"/>
    <mergeCell ref="C48:H48"/>
    <mergeCell ref="C49:H49"/>
    <mergeCell ref="C50:H50"/>
    <mergeCell ref="C51:H51"/>
  </mergeCells>
  <dataValidations>
    <dataValidation type="list" allowBlank="1" showErrorMessage="1" sqref="E15:E44 Z15:Z44">
      <formula1>"Yes,No"</formula1>
    </dataValidation>
    <dataValidation type="custom" allowBlank="1" showDropDown="1" sqref="G15:G44 J15:J44">
      <formula1>OR(NOT(ISERROR(DATEVALUE(G15))), AND(ISNUMBER(G15), LEFT(CELL("format", G15))="D"))</formula1>
    </dataValidation>
    <dataValidation type="custom" allowBlank="1" showDropDown="1" sqref="F15:F44 H15:H44 K15:P44 R15:R44 T15:V44 AA15:AJ44 AL15:AQ44">
      <formula1>AND(ISNUMBER(F15),(NOT(OR(NOT(ISERROR(DATEVALUE(F15))), AND(ISNUMBER(F15), LEFT(CELL("format", F15))="D")))))</formula1>
    </dataValidation>
    <dataValidation allowBlank="1" showDropDown="1" sqref="A15:D44 I15:I44 Q15:Q44 S15:S44 W15:Y44 AR15:AS44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4.0" topLeftCell="C15" activePane="bottomRight" state="frozen"/>
      <selection activeCell="C1" sqref="C1" pane="topRight"/>
      <selection activeCell="A15" sqref="A15" pane="bottomLeft"/>
      <selection activeCell="C15" sqref="C15" pane="bottomRight"/>
    </sheetView>
  </sheetViews>
  <sheetFormatPr customHeight="1" defaultColWidth="12.63" defaultRowHeight="15.0"/>
  <cols>
    <col customWidth="1" min="1" max="1" width="21.38"/>
    <col customWidth="1" min="2" max="2" width="24.5"/>
    <col customWidth="1" min="3" max="6" width="19.5"/>
    <col customWidth="1" min="7" max="14" width="17.63"/>
    <col customWidth="1" min="15" max="18" width="20.13"/>
    <col customWidth="1" min="19" max="19" width="52.63"/>
    <col customWidth="1" min="20" max="24" width="30.75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>
      <c r="A2" s="129" t="s">
        <v>1553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ht="56.25" customHeight="1">
      <c r="A3" s="93"/>
      <c r="B3" s="93"/>
      <c r="C3" s="95" t="s">
        <v>1554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>
      <c r="A4" s="93" t="s">
        <v>892</v>
      </c>
      <c r="B4" s="130">
        <f>Rules!$B$6</f>
        <v>46298</v>
      </c>
      <c r="C4" s="93"/>
      <c r="D4" s="93"/>
      <c r="E4" s="93" t="s">
        <v>1555</v>
      </c>
      <c r="F4" s="93" t="s">
        <v>1556</v>
      </c>
      <c r="G4" s="93" t="s">
        <v>1557</v>
      </c>
      <c r="H4" s="93" t="s">
        <v>1558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>
      <c r="A5" s="93" t="s">
        <v>1559</v>
      </c>
      <c r="B5" s="93">
        <f>COUNTIF('Test sources'!AN6:AN15,1)</f>
        <v>0</v>
      </c>
      <c r="C5" s="93"/>
      <c r="D5" s="93"/>
      <c r="E5" s="93" t="s">
        <v>138</v>
      </c>
      <c r="F5" s="144">
        <v>0.25</v>
      </c>
      <c r="G5" s="144">
        <v>0.15</v>
      </c>
      <c r="H5" s="144">
        <v>0.15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>
      <c r="A6" s="93" t="s">
        <v>1560</v>
      </c>
      <c r="B6" s="93">
        <f>COUNT(G15:G24)</f>
        <v>10</v>
      </c>
      <c r="C6" s="93"/>
      <c r="D6" s="93"/>
      <c r="E6" s="93" t="s">
        <v>1561</v>
      </c>
      <c r="F6" s="144">
        <v>0.25</v>
      </c>
      <c r="G6" s="144">
        <v>0.2</v>
      </c>
      <c r="H6" s="144">
        <v>0.4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</row>
    <row r="7">
      <c r="A7" s="93" t="s">
        <v>1562</v>
      </c>
      <c r="B7" s="114">
        <f>SUM('Pilot inputs'!AA15:AA44)</f>
        <v>30</v>
      </c>
      <c r="C7" s="93"/>
      <c r="D7" s="93"/>
      <c r="E7" s="93" t="s">
        <v>1563</v>
      </c>
      <c r="F7" s="144">
        <v>0.25</v>
      </c>
      <c r="G7" s="144">
        <v>0.25</v>
      </c>
      <c r="H7" s="144">
        <v>0.2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>
      <c r="A8" s="93" t="s">
        <v>1564</v>
      </c>
      <c r="B8" s="93">
        <v>8.0</v>
      </c>
      <c r="C8" s="93"/>
      <c r="D8" s="93"/>
      <c r="E8" s="93" t="s">
        <v>1565</v>
      </c>
      <c r="F8" s="144">
        <v>0.25</v>
      </c>
      <c r="G8" s="144">
        <v>0.4</v>
      </c>
      <c r="H8" s="144">
        <v>0.25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</row>
    <row r="9">
      <c r="A9" s="93" t="s">
        <v>1566</v>
      </c>
      <c r="B9" s="93">
        <v>160.0</v>
      </c>
      <c r="C9" s="93"/>
      <c r="D9" s="93"/>
      <c r="E9" s="93" t="s">
        <v>1036</v>
      </c>
      <c r="F9" s="119">
        <f t="shared" ref="F9:H9" si="1">SUM(F5:F8)</f>
        <v>1</v>
      </c>
      <c r="G9" s="119">
        <f t="shared" si="1"/>
        <v>1</v>
      </c>
      <c r="H9" s="119">
        <f t="shared" si="1"/>
        <v>1</v>
      </c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</row>
    <row r="10">
      <c r="A10" s="93" t="s">
        <v>1567</v>
      </c>
      <c r="B10" s="93" t="s">
        <v>1568</v>
      </c>
      <c r="C10" s="93"/>
      <c r="D10" s="93"/>
      <c r="E10" s="93" t="s">
        <v>1037</v>
      </c>
      <c r="F10" s="93" t="str">
        <f t="shared" ref="F10:H10" si="2">IF(AND(COUNT(F5:F8)=4,MIN(F5:F8)&gt;0,ABS(SUM(F5:F8)-1)&lt;0.000001,ISNUMBER($F$11),$F$11&gt;=0,$F$11&lt;=MIN(F5:F8)),"Valid","Check")</f>
        <v>Valid</v>
      </c>
      <c r="G10" s="93" t="str">
        <f t="shared" si="2"/>
        <v>Valid</v>
      </c>
      <c r="H10" s="93" t="str">
        <f t="shared" si="2"/>
        <v>Valid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</row>
    <row r="11">
      <c r="A11" s="93" t="s">
        <v>1570</v>
      </c>
      <c r="B11" s="93" t="s">
        <v>1571</v>
      </c>
      <c r="C11" s="93"/>
      <c r="D11" s="93"/>
      <c r="E11" s="93" t="s">
        <v>1572</v>
      </c>
      <c r="F11" s="144">
        <v>0.1</v>
      </c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</row>
    <row r="12">
      <c r="A12" s="93" t="s">
        <v>1573</v>
      </c>
      <c r="B12" s="93" t="s">
        <v>1574</v>
      </c>
      <c r="C12" s="93"/>
      <c r="D12" s="93"/>
      <c r="E12" s="93" t="s">
        <v>1575</v>
      </c>
      <c r="F12" s="144">
        <v>0.05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</row>
    <row r="14" ht="48.75" customHeight="1">
      <c r="A14" s="117" t="s">
        <v>277</v>
      </c>
      <c r="B14" s="117" t="s">
        <v>33</v>
      </c>
      <c r="C14" s="117" t="s">
        <v>1083</v>
      </c>
      <c r="D14" s="117" t="s">
        <v>1084</v>
      </c>
      <c r="E14" s="117" t="s">
        <v>1085</v>
      </c>
      <c r="F14" s="117" t="s">
        <v>1086</v>
      </c>
      <c r="G14" s="117" t="s">
        <v>1576</v>
      </c>
      <c r="H14" s="117" t="s">
        <v>1577</v>
      </c>
      <c r="I14" s="117" t="s">
        <v>1578</v>
      </c>
      <c r="J14" s="117" t="s">
        <v>1579</v>
      </c>
      <c r="K14" s="117" t="s">
        <v>1580</v>
      </c>
      <c r="L14" s="117" t="s">
        <v>1581</v>
      </c>
      <c r="M14" s="117" t="s">
        <v>1582</v>
      </c>
      <c r="N14" s="117" t="s">
        <v>1583</v>
      </c>
      <c r="O14" s="117" t="s">
        <v>1584</v>
      </c>
      <c r="P14" s="117" t="s">
        <v>1586</v>
      </c>
      <c r="Q14" s="117" t="s">
        <v>1587</v>
      </c>
      <c r="R14" s="117" t="s">
        <v>757</v>
      </c>
      <c r="S14" s="117" t="s">
        <v>1588</v>
      </c>
      <c r="T14" s="117" t="s">
        <v>1087</v>
      </c>
      <c r="U14" s="93"/>
      <c r="V14" s="93"/>
      <c r="W14" s="93"/>
      <c r="X14" s="93"/>
    </row>
    <row r="15" ht="66.0" customHeight="1">
      <c r="A15" s="93" t="s">
        <v>1264</v>
      </c>
      <c r="B15" s="93" t="str">
        <f t="array" ref="B15">INDEX('Pilot inputs'!$C$15:$C$44,MATCH(A15,'Pilot inputs'!$B$15:$B$44,0))</f>
        <v>Energy</v>
      </c>
      <c r="C15" s="113">
        <f t="array" ref="C15">IFERROR(INDEX('Pilot inputs'!$AG$15:$AG$44,MATCH(A15,'Pilot inputs'!$B$15:$B$44,0)),"Unranked")</f>
        <v>50</v>
      </c>
      <c r="D15" s="113">
        <f t="array" ref="D15">IFERROR(INDEX('Pilot inputs'!$AL$15:$AL$44,MATCH(A15,'Pilot inputs'!$B$15:$B$44,0)),"Unranked")</f>
        <v>0</v>
      </c>
      <c r="E15" s="113">
        <f t="array" ref="E15">IFERROR(INDEX('Pilot inputs'!$AM$15:$AM$44,MATCH(A15,'Pilot inputs'!$B$15:$B$44,0)),"Unranked")</f>
        <v>50</v>
      </c>
      <c r="F15" s="113">
        <f t="array" ref="F15">IFERROR(INDEX('Pilot inputs'!$AP$15:$AP$44,MATCH(A15,'Pilot inputs'!$B$15:$B$44,0)),"Unranked")</f>
        <v>75</v>
      </c>
      <c r="G15" s="113">
        <f t="array" ref="G15">IF(AND(COUNT(C15:F15)=4,F$10="Valid",INDEX('Pilot inputs'!$AQ$15:$AQ$44,MATCH(A15,'Pilot inputs'!$B$15:$B$44,0))=1),ROUND(SUMPRODUCT(C15:F15,TRANSPOSE(F$5:F$8)),10),"Unranked")</f>
        <v>43.75</v>
      </c>
      <c r="H15" s="101">
        <f t="shared" ref="H15:H24" si="3">IF(ISNUMBER(G15),1+COUNTIF($G$15:$G$24,"&gt;"&amp;G15)+(COUNTIF($G$15:$G$24,G15)-1)/2,"Unranked")</f>
        <v>9</v>
      </c>
      <c r="I15" s="113">
        <f t="array" ref="I15">IF(AND(COUNT(C15:F15)=4,G$10="Valid",INDEX('Pilot inputs'!$AQ$15:$AQ$44,MATCH(A15,'Pilot inputs'!$B$15:$B$44,0))=1),ROUND(SUMPRODUCT(C15:F15,TRANSPOSE(G$5:G$8)),10),"Unranked")</f>
        <v>50</v>
      </c>
      <c r="J15" s="101">
        <f t="shared" ref="J15:J24" si="4">IF(ISNUMBER(I15),1+COUNTIF($I$15:$I$24,"&gt;"&amp;I15)+(COUNTIF($I$15:$I$24,I15)-1)/2,"Unranked")</f>
        <v>8</v>
      </c>
      <c r="K15" s="113">
        <f t="array" ref="K15">IF(AND(COUNT(C15:F15)=4,H$10="Valid",INDEX('Pilot inputs'!$AQ$15:$AQ$44,MATCH(A15,'Pilot inputs'!$B$15:$B$44,0))=1),ROUND(SUMPRODUCT(C15:F15,TRANSPOSE(H$5:H$8)),10),"Unranked")</f>
        <v>36.25</v>
      </c>
      <c r="L15" s="101">
        <f t="shared" ref="L15:L24" si="5">IF(ISNUMBER(K15),1+COUNTIF($K$15:$K$24,"&gt;"&amp;K15)+(COUNTIF($K$15:$K$24,K15)-1)/2,"Unranked")</f>
        <v>10</v>
      </c>
      <c r="M15" s="113">
        <f t="shared" ref="M15:M24" si="6">IF(COUNT(C15:F15)=4,PRODUCT(C15:F15)^(1/4),"Unranked")</f>
        <v>0</v>
      </c>
      <c r="N15" s="101">
        <f t="shared" ref="N15:N24" si="7">IF(ISNUMBER(M15),1+COUNTIF($M$15:$M$24,"&gt;"&amp;M15)+(COUNTIF($M$15:$M$24,M15)-1)/2,"Unranked")</f>
        <v>8</v>
      </c>
      <c r="O15" s="113">
        <f>IFERROR(__xludf.DUMMYFUNCTION("IFERROR(MAX(FILTER($L$45:$L$124,$B$45:$B$124=A15)),""Unranked"")"),0.0)</f>
        <v>0</v>
      </c>
      <c r="P15" s="113">
        <f>IFERROR(__xludf.DUMMYFUNCTION("IFERROR(MAX(FILTER($N$45:$N$124,$B$45:$B$124=A15)),""Unranked"")"),1.0)</f>
        <v>1</v>
      </c>
      <c r="Q15" s="113">
        <f>IFERROR(__xludf.DUMMYFUNCTION("IFERROR(MAX(FILTER($P$45:$P$124,$B$45:$B$124=A15)),""Unranked"")"),1.0)</f>
        <v>1</v>
      </c>
      <c r="R15" s="93" t="s">
        <v>622</v>
      </c>
      <c r="S15" s="95" t="str">
        <f t="array" ref="S15">INDEX('Pilot inputs'!$Y$15:$Y$44,MATCH(A15,'Pilot inputs'!$B$15:$B$44,0))</f>
        <v>Gas-processing and commodity mix; network inventory incomplete.</v>
      </c>
      <c r="T15" s="95" t="str">
        <f t="array" ref="T15">INDEX('Pilot inputs'!$AS$15:$AS$44,MATCH(A15,'Pilot inputs'!$B$15:$B$44,0))</f>
        <v>Incomplete: network / NTM / guidance / custom ROIC</v>
      </c>
      <c r="U15" s="93"/>
      <c r="V15" s="93"/>
      <c r="W15" s="93"/>
      <c r="X15" s="93"/>
    </row>
    <row r="16" ht="66.0" customHeight="1">
      <c r="A16" s="93" t="s">
        <v>299</v>
      </c>
      <c r="B16" s="93" t="str">
        <f t="array" ref="B16">INDEX('Pilot inputs'!$C$15:$C$44,MATCH(A16,'Pilot inputs'!$B$15:$B$44,0))</f>
        <v>Health Care</v>
      </c>
      <c r="C16" s="113">
        <f t="array" ref="C16">IFERROR(INDEX('Pilot inputs'!$AG$15:$AG$44,MATCH(A16,'Pilot inputs'!$B$15:$B$44,0)),"Unranked")</f>
        <v>100</v>
      </c>
      <c r="D16" s="113">
        <f t="array" ref="D16">IFERROR(INDEX('Pilot inputs'!$AL$15:$AL$44,MATCH(A16,'Pilot inputs'!$B$15:$B$44,0)),"Unranked")</f>
        <v>35</v>
      </c>
      <c r="E16" s="113">
        <f t="array" ref="E16">IFERROR(INDEX('Pilot inputs'!$AM$15:$AM$44,MATCH(A16,'Pilot inputs'!$B$15:$B$44,0)),"Unranked")</f>
        <v>100</v>
      </c>
      <c r="F16" s="113">
        <f t="array" ref="F16">IFERROR(INDEX('Pilot inputs'!$AP$15:$AP$44,MATCH(A16,'Pilot inputs'!$B$15:$B$44,0)),"Unranked")</f>
        <v>50</v>
      </c>
      <c r="G16" s="113">
        <f t="array" ref="G16">IF(AND(COUNT(C16:F16)=4,F$10="Valid",INDEX('Pilot inputs'!$AQ$15:$AQ$44,MATCH(A16,'Pilot inputs'!$B$15:$B$44,0))=1),ROUND(SUMPRODUCT(C16:F16,TRANSPOSE(F$5:F$8)),10),"Unranked")</f>
        <v>71.25</v>
      </c>
      <c r="H16" s="101">
        <f t="shared" si="3"/>
        <v>1</v>
      </c>
      <c r="I16" s="113">
        <f t="array" ref="I16">IF(AND(COUNT(C16:F16)=4,G$10="Valid",INDEX('Pilot inputs'!$AQ$15:$AQ$44,MATCH(A16,'Pilot inputs'!$B$15:$B$44,0))=1),ROUND(SUMPRODUCT(C16:F16,TRANSPOSE(G$5:G$8)),10),"Unranked")</f>
        <v>67</v>
      </c>
      <c r="J16" s="101">
        <f t="shared" si="4"/>
        <v>3</v>
      </c>
      <c r="K16" s="113">
        <f t="array" ref="K16">IF(AND(COUNT(C16:F16)=4,H$10="Valid",INDEX('Pilot inputs'!$AQ$15:$AQ$44,MATCH(A16,'Pilot inputs'!$B$15:$B$44,0))=1),ROUND(SUMPRODUCT(C16:F16,TRANSPOSE(H$5:H$8)),10),"Unranked")</f>
        <v>61.5</v>
      </c>
      <c r="L16" s="101">
        <f t="shared" si="5"/>
        <v>4</v>
      </c>
      <c r="M16" s="113">
        <f t="shared" si="6"/>
        <v>64.67843638</v>
      </c>
      <c r="N16" s="101">
        <f t="shared" si="7"/>
        <v>3</v>
      </c>
      <c r="O16" s="113">
        <f>IFERROR(__xludf.DUMMYFUNCTION("IFERROR(MAX(FILTER($L$45:$L$124,$B$45:$B$124=A16)),""Unranked"")"),3.0)</f>
        <v>3</v>
      </c>
      <c r="P16" s="113">
        <f>IFERROR(__xludf.DUMMYFUNCTION("IFERROR(MAX(FILTER($N$45:$N$124,$B$45:$B$124=A16)),""Unranked"")"),2.0)</f>
        <v>2</v>
      </c>
      <c r="Q16" s="113">
        <f>IFERROR(__xludf.DUMMYFUNCTION("IFERROR(MAX(FILTER($P$45:$P$124,$B$45:$B$124=A16)),""Unranked"")"),2.0)</f>
        <v>2</v>
      </c>
      <c r="R16" s="93" t="s">
        <v>622</v>
      </c>
      <c r="S16" s="95" t="str">
        <f t="array" ref="S16">INDEX('Pilot inputs'!$Y$15:$Y$44,MATCH(A16,'Pilot inputs'!$B$15:$B$44,0))</f>
        <v>Recast continuing revenue excludes Kenvue. Vendor EPS FY22 6.73 differs from primary continuing GAAP 6.14; EPS diagnostic is vendor-only.</v>
      </c>
      <c r="T16" s="95" t="str">
        <f t="array" ref="T16">INDEX('Pilot inputs'!$AS$15:$AS$44,MATCH(A16,'Pilot inputs'!$B$15:$B$44,0))</f>
        <v>Incomplete: network / NTM / guidance / custom ROIC</v>
      </c>
      <c r="U16" s="93"/>
      <c r="V16" s="93"/>
      <c r="W16" s="93"/>
      <c r="X16" s="93"/>
    </row>
    <row r="17" ht="66.0" customHeight="1">
      <c r="A17" s="93" t="s">
        <v>305</v>
      </c>
      <c r="B17" s="93" t="str">
        <f t="array" ref="B17">INDEX('Pilot inputs'!$C$15:$C$44,MATCH(A17,'Pilot inputs'!$B$15:$B$44,0))</f>
        <v>Consumer Staples</v>
      </c>
      <c r="C17" s="113">
        <f t="array" ref="C17">IFERROR(INDEX('Pilot inputs'!$AG$15:$AG$44,MATCH(A17,'Pilot inputs'!$B$15:$B$44,0)),"Unranked")</f>
        <v>100</v>
      </c>
      <c r="D17" s="113">
        <f t="array" ref="D17">IFERROR(INDEX('Pilot inputs'!$AL$15:$AL$44,MATCH(A17,'Pilot inputs'!$B$15:$B$44,0)),"Unranked")</f>
        <v>70</v>
      </c>
      <c r="E17" s="113">
        <f t="array" ref="E17">IFERROR(INDEX('Pilot inputs'!$AM$15:$AM$44,MATCH(A17,'Pilot inputs'!$B$15:$B$44,0)),"Unranked")</f>
        <v>0</v>
      </c>
      <c r="F17" s="113">
        <f t="array" ref="F17">IFERROR(INDEX('Pilot inputs'!$AP$15:$AP$44,MATCH(A17,'Pilot inputs'!$B$15:$B$44,0)),"Unranked")</f>
        <v>75</v>
      </c>
      <c r="G17" s="113">
        <f t="array" ref="G17">IF(AND(COUNT(C17:F17)=4,F$10="Valid",INDEX('Pilot inputs'!$AQ$15:$AQ$44,MATCH(A17,'Pilot inputs'!$B$15:$B$44,0))=1),ROUND(SUMPRODUCT(C17:F17,TRANSPOSE(F$5:F$8)),10),"Unranked")</f>
        <v>61.25</v>
      </c>
      <c r="H17" s="101">
        <f t="shared" si="3"/>
        <v>4</v>
      </c>
      <c r="I17" s="113">
        <f t="array" ref="I17">IF(AND(COUNT(C17:F17)=4,G$10="Valid",INDEX('Pilot inputs'!$AQ$15:$AQ$44,MATCH(A17,'Pilot inputs'!$B$15:$B$44,0))=1),ROUND(SUMPRODUCT(C17:F17,TRANSPOSE(G$5:G$8)),10),"Unranked")</f>
        <v>59</v>
      </c>
      <c r="J17" s="101">
        <f t="shared" si="4"/>
        <v>5</v>
      </c>
      <c r="K17" s="113">
        <f t="array" ref="K17">IF(AND(COUNT(C17:F17)=4,H$10="Valid",INDEX('Pilot inputs'!$AQ$15:$AQ$44,MATCH(A17,'Pilot inputs'!$B$15:$B$44,0))=1),ROUND(SUMPRODUCT(C17:F17,TRANSPOSE(H$5:H$8)),10),"Unranked")</f>
        <v>61.75</v>
      </c>
      <c r="L17" s="101">
        <f t="shared" si="5"/>
        <v>3</v>
      </c>
      <c r="M17" s="113">
        <f t="shared" si="6"/>
        <v>0</v>
      </c>
      <c r="N17" s="101">
        <f t="shared" si="7"/>
        <v>8</v>
      </c>
      <c r="O17" s="113">
        <f>IFERROR(__xludf.DUMMYFUNCTION("IFERROR(MAX(FILTER($L$45:$L$124,$B$45:$B$124=A17)),""Unranked"")"),1.0)</f>
        <v>1</v>
      </c>
      <c r="P17" s="113">
        <f>IFERROR(__xludf.DUMMYFUNCTION("IFERROR(MAX(FILTER($N$45:$N$124,$B$45:$B$124=A17)),""Unranked"")"),2.5)</f>
        <v>2.5</v>
      </c>
      <c r="Q17" s="113">
        <f>IFERROR(__xludf.DUMMYFUNCTION("IFERROR(MAX(FILTER($P$45:$P$124,$B$45:$B$124=A17)),""Unranked"")"),1.0)</f>
        <v>1</v>
      </c>
      <c r="R17" s="93" t="s">
        <v>622</v>
      </c>
      <c r="S17" s="95" t="str">
        <f t="array" ref="S17">INDEX('Pilot inputs'!$Y$15:$Y$44,MATCH(A17,'Pilot inputs'!$B$15:$B$44,0))</f>
        <v>Vendor margin 24.81% vs primary GAAP 22.6904%; vendor ROIC/margin are proxies. Fiscal June versus peers December.</v>
      </c>
      <c r="T17" s="95" t="str">
        <f t="array" ref="T17">INDEX('Pilot inputs'!$AS$15:$AS$44,MATCH(A17,'Pilot inputs'!$B$15:$B$44,0))</f>
        <v>Incomplete: network / NTM / guidance / custom ROIC</v>
      </c>
      <c r="U17" s="93"/>
      <c r="V17" s="93"/>
      <c r="W17" s="93"/>
      <c r="X17" s="93"/>
    </row>
    <row r="18" ht="66.0" customHeight="1">
      <c r="A18" s="93" t="s">
        <v>311</v>
      </c>
      <c r="B18" s="93" t="str">
        <f t="array" ref="B18">INDEX('Pilot inputs'!$C$15:$C$44,MATCH(A18,'Pilot inputs'!$B$15:$B$44,0))</f>
        <v>Consumer Discretionary</v>
      </c>
      <c r="C18" s="113">
        <f t="array" ref="C18">IFERROR(INDEX('Pilot inputs'!$AG$15:$AG$44,MATCH(A18,'Pilot inputs'!$B$15:$B$44,0)),"Unranked")</f>
        <v>100</v>
      </c>
      <c r="D18" s="113">
        <f t="array" ref="D18">IFERROR(INDEX('Pilot inputs'!$AL$15:$AL$44,MATCH(A18,'Pilot inputs'!$B$15:$B$44,0)),"Unranked")</f>
        <v>15</v>
      </c>
      <c r="E18" s="113">
        <f t="array" ref="E18">IFERROR(INDEX('Pilot inputs'!$AM$15:$AM$44,MATCH(A18,'Pilot inputs'!$B$15:$B$44,0)),"Unranked")</f>
        <v>50</v>
      </c>
      <c r="F18" s="113">
        <f t="array" ref="F18">IFERROR(INDEX('Pilot inputs'!$AP$15:$AP$44,MATCH(A18,'Pilot inputs'!$B$15:$B$44,0)),"Unranked")</f>
        <v>75</v>
      </c>
      <c r="G18" s="113">
        <f t="array" ref="G18">IF(AND(COUNT(C18:F18)=4,F$10="Valid",INDEX('Pilot inputs'!$AQ$15:$AQ$44,MATCH(A18,'Pilot inputs'!$B$15:$B$44,0))=1),ROUND(SUMPRODUCT(C18:F18,TRANSPOSE(F$5:F$8)),10),"Unranked")</f>
        <v>60</v>
      </c>
      <c r="H18" s="101">
        <f t="shared" si="3"/>
        <v>5</v>
      </c>
      <c r="I18" s="113">
        <f t="array" ref="I18">IF(AND(COUNT(C18:F18)=4,G$10="Valid",INDEX('Pilot inputs'!$AQ$15:$AQ$44,MATCH(A18,'Pilot inputs'!$B$15:$B$44,0))=1),ROUND(SUMPRODUCT(C18:F18,TRANSPOSE(G$5:G$8)),10),"Unranked")</f>
        <v>60.5</v>
      </c>
      <c r="J18" s="101">
        <f t="shared" si="4"/>
        <v>4</v>
      </c>
      <c r="K18" s="113">
        <f t="array" ref="K18">IF(AND(COUNT(C18:F18)=4,H$10="Valid",INDEX('Pilot inputs'!$AQ$15:$AQ$44,MATCH(A18,'Pilot inputs'!$B$15:$B$44,0))=1),ROUND(SUMPRODUCT(C18:F18,TRANSPOSE(H$5:H$8)),10),"Unranked")</f>
        <v>49.75</v>
      </c>
      <c r="L18" s="101">
        <f t="shared" si="5"/>
        <v>6</v>
      </c>
      <c r="M18" s="113">
        <f t="shared" si="6"/>
        <v>48.70018732</v>
      </c>
      <c r="N18" s="101">
        <f t="shared" si="7"/>
        <v>4</v>
      </c>
      <c r="O18" s="113">
        <f>IFERROR(__xludf.DUMMYFUNCTION("IFERROR(MAX(FILTER($L$45:$L$124,$B$45:$B$124=A18)),""Unranked"")"),2.0)</f>
        <v>2</v>
      </c>
      <c r="P18" s="113">
        <f>IFERROR(__xludf.DUMMYFUNCTION("IFERROR(MAX(FILTER($N$45:$N$124,$B$45:$B$124=A18)),""Unranked"")"),2.0)</f>
        <v>2</v>
      </c>
      <c r="Q18" s="113">
        <f>IFERROR(__xludf.DUMMYFUNCTION("IFERROR(MAX(FILTER($P$45:$P$124,$B$45:$B$124=A18)),""Unranked"")"),1.0)</f>
        <v>1</v>
      </c>
      <c r="R18" s="93" t="s">
        <v>622</v>
      </c>
      <c r="S18" s="95" t="str">
        <f t="array" ref="S18">INDEX('Pilot inputs'!$Y$15:$Y$44,MATCH(A18,'Pilot inputs'!$B$15:$B$44,0))</f>
        <v>SRS/GMS acquisitions affect total revenue; FY2022 53 weeks. Issuer fiscal labels corrected from shifted vendor labels.</v>
      </c>
      <c r="T18" s="95" t="str">
        <f t="array" ref="T18">INDEX('Pilot inputs'!$AS$15:$AS$44,MATCH(A18,'Pilot inputs'!$B$15:$B$44,0))</f>
        <v>Incomplete: network / NTM / guidance / custom ROIC</v>
      </c>
      <c r="U18" s="93"/>
      <c r="V18" s="93"/>
      <c r="W18" s="93"/>
      <c r="X18" s="93"/>
    </row>
    <row r="19" ht="66.0" customHeight="1">
      <c r="A19" s="93" t="s">
        <v>1391</v>
      </c>
      <c r="B19" s="93" t="str">
        <f t="array" ref="B19">INDEX('Pilot inputs'!$C$15:$C$44,MATCH(A19,'Pilot inputs'!$B$15:$B$44,0))</f>
        <v>Information Technology</v>
      </c>
      <c r="C19" s="113">
        <f t="array" ref="C19">IFERROR(INDEX('Pilot inputs'!$AG$15:$AG$44,MATCH(A19,'Pilot inputs'!$B$15:$B$44,0)),"Unranked")</f>
        <v>50</v>
      </c>
      <c r="D19" s="113">
        <f t="array" ref="D19">IFERROR(INDEX('Pilot inputs'!$AL$15:$AL$44,MATCH(A19,'Pilot inputs'!$B$15:$B$44,0)),"Unranked")</f>
        <v>100</v>
      </c>
      <c r="E19" s="113">
        <f t="array" ref="E19">IFERROR(INDEX('Pilot inputs'!$AM$15:$AM$44,MATCH(A19,'Pilot inputs'!$B$15:$B$44,0)),"Unranked")</f>
        <v>50</v>
      </c>
      <c r="F19" s="113">
        <f t="array" ref="F19">IFERROR(INDEX('Pilot inputs'!$AP$15:$AP$44,MATCH(A19,'Pilot inputs'!$B$15:$B$44,0)),"Unranked")</f>
        <v>75</v>
      </c>
      <c r="G19" s="113">
        <f t="array" ref="G19">IF(AND(COUNT(C19:F19)=4,F$10="Valid",INDEX('Pilot inputs'!$AQ$15:$AQ$44,MATCH(A19,'Pilot inputs'!$B$15:$B$44,0))=1),ROUND(SUMPRODUCT(C19:F19,TRANSPOSE(F$5:F$8)),10),"Unranked")</f>
        <v>68.75</v>
      </c>
      <c r="H19" s="101">
        <f t="shared" si="3"/>
        <v>2.5</v>
      </c>
      <c r="I19" s="113">
        <f t="array" ref="I19">IF(AND(COUNT(C19:F19)=4,G$10="Valid",INDEX('Pilot inputs'!$AQ$15:$AQ$44,MATCH(A19,'Pilot inputs'!$B$15:$B$44,0))=1),ROUND(SUMPRODUCT(C19:F19,TRANSPOSE(G$5:G$8)),10),"Unranked")</f>
        <v>70</v>
      </c>
      <c r="J19" s="101">
        <f t="shared" si="4"/>
        <v>1</v>
      </c>
      <c r="K19" s="113">
        <f t="array" ref="K19">IF(AND(COUNT(C19:F19)=4,H$10="Valid",INDEX('Pilot inputs'!$AQ$15:$AQ$44,MATCH(A19,'Pilot inputs'!$B$15:$B$44,0))=1),ROUND(SUMPRODUCT(C19:F19,TRANSPOSE(H$5:H$8)),10),"Unranked")</f>
        <v>76.25</v>
      </c>
      <c r="L19" s="101">
        <f t="shared" si="5"/>
        <v>1</v>
      </c>
      <c r="M19" s="113">
        <f t="shared" si="6"/>
        <v>65.80370065</v>
      </c>
      <c r="N19" s="101">
        <f t="shared" si="7"/>
        <v>1.5</v>
      </c>
      <c r="O19" s="113">
        <f>IFERROR(__xludf.DUMMYFUNCTION("IFERROR(MAX(FILTER($L$45:$L$124,$B$45:$B$124=A19)),""Unranked"")"),1.5)</f>
        <v>1.5</v>
      </c>
      <c r="P19" s="113">
        <f>IFERROR(__xludf.DUMMYFUNCTION("IFERROR(MAX(FILTER($N$45:$N$124,$B$45:$B$124=A19)),""Unranked"")"),3.0)</f>
        <v>3</v>
      </c>
      <c r="Q19" s="113">
        <f>IFERROR(__xludf.DUMMYFUNCTION("IFERROR(MAX(FILTER($P$45:$P$124,$B$45:$B$124=A19)),""Unranked"")"),0.0)</f>
        <v>0</v>
      </c>
      <c r="R19" s="93" t="s">
        <v>622</v>
      </c>
      <c r="S19" s="95" t="str">
        <f t="array" ref="S19">INDEX('Pilot inputs'!$Y$15:$Y$44,MATCH(A19,'Pilot inputs'!$B$15:$B$44,0))</f>
        <v>November versus January peer fiscal years; creative/design/CRM product mixes differ.</v>
      </c>
      <c r="T19" s="95" t="str">
        <f t="array" ref="T19">INDEX('Pilot inputs'!$AS$15:$AS$44,MATCH(A19,'Pilot inputs'!$B$15:$B$44,0))</f>
        <v>Incomplete: network / NTM / guidance / custom ROIC</v>
      </c>
      <c r="U19" s="93"/>
      <c r="V19" s="93"/>
      <c r="W19" s="93"/>
      <c r="X19" s="93"/>
    </row>
    <row r="20" ht="66.0" customHeight="1">
      <c r="A20" s="93" t="s">
        <v>322</v>
      </c>
      <c r="B20" s="93" t="str">
        <f t="array" ref="B20">INDEX('Pilot inputs'!$C$15:$C$44,MATCH(A20,'Pilot inputs'!$B$15:$B$44,0))</f>
        <v>Communication Services</v>
      </c>
      <c r="C20" s="113">
        <f t="array" ref="C20">IFERROR(INDEX('Pilot inputs'!$AG$15:$AG$44,MATCH(A20,'Pilot inputs'!$B$15:$B$44,0)),"Unranked")</f>
        <v>100</v>
      </c>
      <c r="D20" s="113">
        <f t="array" ref="D20">IFERROR(INDEX('Pilot inputs'!$AL$15:$AL$44,MATCH(A20,'Pilot inputs'!$B$15:$B$44,0)),"Unranked")</f>
        <v>65</v>
      </c>
      <c r="E20" s="113">
        <f t="array" ref="E20">IFERROR(INDEX('Pilot inputs'!$AM$15:$AM$44,MATCH(A20,'Pilot inputs'!$B$15:$B$44,0)),"Unranked")</f>
        <v>0</v>
      </c>
      <c r="F20" s="113">
        <f t="array" ref="F20">IFERROR(INDEX('Pilot inputs'!$AP$15:$AP$44,MATCH(A20,'Pilot inputs'!$B$15:$B$44,0)),"Unranked")</f>
        <v>50</v>
      </c>
      <c r="G20" s="113">
        <f t="array" ref="G20">IF(AND(COUNT(C20:F20)=4,F$10="Valid",INDEX('Pilot inputs'!$AQ$15:$AQ$44,MATCH(A20,'Pilot inputs'!$B$15:$B$44,0))=1),ROUND(SUMPRODUCT(C20:F20,TRANSPOSE(F$5:F$8)),10),"Unranked")</f>
        <v>53.75</v>
      </c>
      <c r="H20" s="101">
        <f t="shared" si="3"/>
        <v>7</v>
      </c>
      <c r="I20" s="113">
        <f t="array" ref="I20">IF(AND(COUNT(C20:F20)=4,G$10="Valid",INDEX('Pilot inputs'!$AQ$15:$AQ$44,MATCH(A20,'Pilot inputs'!$B$15:$B$44,0))=1),ROUND(SUMPRODUCT(C20:F20,TRANSPOSE(G$5:G$8)),10),"Unranked")</f>
        <v>48</v>
      </c>
      <c r="J20" s="101">
        <f t="shared" si="4"/>
        <v>9</v>
      </c>
      <c r="K20" s="113">
        <f t="array" ref="K20">IF(AND(COUNT(C20:F20)=4,H$10="Valid",INDEX('Pilot inputs'!$AQ$15:$AQ$44,MATCH(A20,'Pilot inputs'!$B$15:$B$44,0))=1),ROUND(SUMPRODUCT(C20:F20,TRANSPOSE(H$5:H$8)),10),"Unranked")</f>
        <v>53.5</v>
      </c>
      <c r="L20" s="101">
        <f t="shared" si="5"/>
        <v>5</v>
      </c>
      <c r="M20" s="113">
        <f t="shared" si="6"/>
        <v>0</v>
      </c>
      <c r="N20" s="101">
        <f t="shared" si="7"/>
        <v>8</v>
      </c>
      <c r="O20" s="113">
        <f>IFERROR(__xludf.DUMMYFUNCTION("IFERROR(MAX(FILTER($L$45:$L$124,$B$45:$B$124=A20)),""Unranked"")"),2.0)</f>
        <v>2</v>
      </c>
      <c r="P20" s="113">
        <f>IFERROR(__xludf.DUMMYFUNCTION("IFERROR(MAX(FILTER($N$45:$N$124,$B$45:$B$124=A20)),""Unranked"")"),2.0)</f>
        <v>2</v>
      </c>
      <c r="Q20" s="113">
        <f>IFERROR(__xludf.DUMMYFUNCTION("IFERROR(MAX(FILTER($P$45:$P$124,$B$45:$B$124=A20)),""Unranked"")"),1.0)</f>
        <v>1</v>
      </c>
      <c r="R20" s="93" t="s">
        <v>622</v>
      </c>
      <c r="S20" s="95" t="str">
        <f t="array" ref="S20">INDEX('Pilot inputs'!$Y$15:$Y$44,MATCH(A20,'Pilot inputs'!$B$15:$B$44,0))</f>
        <v>Frontier acquisition affects comparability; service-revenue guidance is not total-revenue guidance.</v>
      </c>
      <c r="T20" s="95" t="str">
        <f t="array" ref="T20">INDEX('Pilot inputs'!$AS$15:$AS$44,MATCH(A20,'Pilot inputs'!$B$15:$B$44,0))</f>
        <v>Incomplete: network / NTM / guidance / custom ROIC</v>
      </c>
      <c r="U20" s="93"/>
      <c r="V20" s="93"/>
      <c r="W20" s="93"/>
      <c r="X20" s="93"/>
    </row>
    <row r="21" ht="66.0" customHeight="1">
      <c r="A21" s="93" t="s">
        <v>1437</v>
      </c>
      <c r="B21" s="93" t="str">
        <f t="array" ref="B21">INDEX('Pilot inputs'!$C$15:$C$44,MATCH(A21,'Pilot inputs'!$B$15:$B$44,0))</f>
        <v>Industrials</v>
      </c>
      <c r="C21" s="113">
        <f t="array" ref="C21">IFERROR(INDEX('Pilot inputs'!$AG$15:$AG$44,MATCH(A21,'Pilot inputs'!$B$15:$B$44,0)),"Unranked")</f>
        <v>100</v>
      </c>
      <c r="D21" s="113">
        <f t="array" ref="D21">IFERROR(INDEX('Pilot inputs'!$AL$15:$AL$44,MATCH(A21,'Pilot inputs'!$B$15:$B$44,0)),"Unranked")</f>
        <v>17.5</v>
      </c>
      <c r="E21" s="113">
        <f t="array" ref="E21">IFERROR(INDEX('Pilot inputs'!$AM$15:$AM$44,MATCH(A21,'Pilot inputs'!$B$15:$B$44,0)),"Unranked")</f>
        <v>0</v>
      </c>
      <c r="F21" s="113">
        <f t="array" ref="F21">IFERROR(INDEX('Pilot inputs'!$AP$15:$AP$44,MATCH(A21,'Pilot inputs'!$B$15:$B$44,0)),"Unranked")</f>
        <v>100</v>
      </c>
      <c r="G21" s="113">
        <f t="array" ref="G21">IF(AND(COUNT(C21:F21)=4,F$10="Valid",INDEX('Pilot inputs'!$AQ$15:$AQ$44,MATCH(A21,'Pilot inputs'!$B$15:$B$44,0))=1),ROUND(SUMPRODUCT(C21:F21,TRANSPOSE(F$5:F$8)),10),"Unranked")</f>
        <v>54.375</v>
      </c>
      <c r="H21" s="101">
        <f t="shared" si="3"/>
        <v>6</v>
      </c>
      <c r="I21" s="113">
        <f t="array" ref="I21">IF(AND(COUNT(C21:F21)=4,G$10="Valid",INDEX('Pilot inputs'!$AQ$15:$AQ$44,MATCH(A21,'Pilot inputs'!$B$15:$B$44,0))=1),ROUND(SUMPRODUCT(C21:F21,TRANSPOSE(G$5:G$8)),10),"Unranked")</f>
        <v>58.5</v>
      </c>
      <c r="J21" s="101">
        <f t="shared" si="4"/>
        <v>6</v>
      </c>
      <c r="K21" s="113">
        <f t="array" ref="K21">IF(AND(COUNT(C21:F21)=4,H$10="Valid",INDEX('Pilot inputs'!$AQ$15:$AQ$44,MATCH(A21,'Pilot inputs'!$B$15:$B$44,0))=1),ROUND(SUMPRODUCT(C21:F21,TRANSPOSE(H$5:H$8)),10),"Unranked")</f>
        <v>47</v>
      </c>
      <c r="L21" s="101">
        <f t="shared" si="5"/>
        <v>7</v>
      </c>
      <c r="M21" s="113">
        <f t="shared" si="6"/>
        <v>0</v>
      </c>
      <c r="N21" s="101">
        <f t="shared" si="7"/>
        <v>8</v>
      </c>
      <c r="O21" s="113">
        <f>IFERROR(__xludf.DUMMYFUNCTION("IFERROR(MAX(FILTER($L$45:$L$124,$B$45:$B$124=A21)),""Unranked"")"),1.0)</f>
        <v>1</v>
      </c>
      <c r="P21" s="113">
        <f>IFERROR(__xludf.DUMMYFUNCTION("IFERROR(MAX(FILTER($N$45:$N$124,$B$45:$B$124=A21)),""Unranked"")"),3.0)</f>
        <v>3</v>
      </c>
      <c r="Q21" s="113">
        <f>IFERROR(__xludf.DUMMYFUNCTION("IFERROR(MAX(FILTER($P$45:$P$124,$B$45:$B$124=A21)),""Unranked"")"),2.0)</f>
        <v>2</v>
      </c>
      <c r="R21" s="93" t="s">
        <v>622</v>
      </c>
      <c r="S21" s="95" t="str">
        <f t="array" ref="S21">INDEX('Pilot inputs'!$Y$15:$Y$44,MATCH(A21,'Pilot inputs'!$B$15:$B$44,0))</f>
        <v>Small diversified-machinery cohort; end-market and divestiture mix differ.</v>
      </c>
      <c r="T21" s="95" t="str">
        <f t="array" ref="T21">INDEX('Pilot inputs'!$AS$15:$AS$44,MATCH(A21,'Pilot inputs'!$B$15:$B$44,0))</f>
        <v>Incomplete: network / NTM / guidance / custom ROIC</v>
      </c>
      <c r="U21" s="93"/>
      <c r="V21" s="93"/>
      <c r="W21" s="93"/>
      <c r="X21" s="93"/>
    </row>
    <row r="22" ht="66.0" customHeight="1">
      <c r="A22" s="93" t="s">
        <v>334</v>
      </c>
      <c r="B22" s="93" t="str">
        <f t="array" ref="B22">INDEX('Pilot inputs'!$C$15:$C$44,MATCH(A22,'Pilot inputs'!$B$15:$B$44,0))</f>
        <v>Materials</v>
      </c>
      <c r="C22" s="113">
        <f t="array" ref="C22">IFERROR(INDEX('Pilot inputs'!$AG$15:$AG$44,MATCH(A22,'Pilot inputs'!$B$15:$B$44,0)),"Unranked")</f>
        <v>100</v>
      </c>
      <c r="D22" s="113">
        <f t="array" ref="D22">IFERROR(INDEX('Pilot inputs'!$AL$15:$AL$44,MATCH(A22,'Pilot inputs'!$B$15:$B$44,0)),"Unranked")</f>
        <v>50</v>
      </c>
      <c r="E22" s="113">
        <f t="array" ref="E22">IFERROR(INDEX('Pilot inputs'!$AM$15:$AM$44,MATCH(A22,'Pilot inputs'!$B$15:$B$44,0)),"Unranked")</f>
        <v>50</v>
      </c>
      <c r="F22" s="113">
        <f t="array" ref="F22">IFERROR(INDEX('Pilot inputs'!$AP$15:$AP$44,MATCH(A22,'Pilot inputs'!$B$15:$B$44,0)),"Unranked")</f>
        <v>75</v>
      </c>
      <c r="G22" s="113">
        <f t="array" ref="G22">IF(AND(COUNT(C22:F22)=4,F$10="Valid",INDEX('Pilot inputs'!$AQ$15:$AQ$44,MATCH(A22,'Pilot inputs'!$B$15:$B$44,0))=1),ROUND(SUMPRODUCT(C22:F22,TRANSPOSE(F$5:F$8)),10),"Unranked")</f>
        <v>68.75</v>
      </c>
      <c r="H22" s="101">
        <f t="shared" si="3"/>
        <v>2.5</v>
      </c>
      <c r="I22" s="113">
        <f t="array" ref="I22">IF(AND(COUNT(C22:F22)=4,G$10="Valid",INDEX('Pilot inputs'!$AQ$15:$AQ$44,MATCH(A22,'Pilot inputs'!$B$15:$B$44,0))=1),ROUND(SUMPRODUCT(C22:F22,TRANSPOSE(G$5:G$8)),10),"Unranked")</f>
        <v>67.5</v>
      </c>
      <c r="J22" s="101">
        <f t="shared" si="4"/>
        <v>2</v>
      </c>
      <c r="K22" s="113">
        <f t="array" ref="K22">IF(AND(COUNT(C22:F22)=4,H$10="Valid",INDEX('Pilot inputs'!$AQ$15:$AQ$44,MATCH(A22,'Pilot inputs'!$B$15:$B$44,0))=1),ROUND(SUMPRODUCT(C22:F22,TRANSPOSE(H$5:H$8)),10),"Unranked")</f>
        <v>63.75</v>
      </c>
      <c r="L22" s="101">
        <f t="shared" si="5"/>
        <v>2</v>
      </c>
      <c r="M22" s="113">
        <f t="shared" si="6"/>
        <v>65.80370065</v>
      </c>
      <c r="N22" s="101">
        <f t="shared" si="7"/>
        <v>1.5</v>
      </c>
      <c r="O22" s="113">
        <f>IFERROR(__xludf.DUMMYFUNCTION("IFERROR(MAX(FILTER($L$45:$L$124,$B$45:$B$124=A22)),""Unranked"")"),1.0)</f>
        <v>1</v>
      </c>
      <c r="P22" s="113">
        <f>IFERROR(__xludf.DUMMYFUNCTION("IFERROR(MAX(FILTER($N$45:$N$124,$B$45:$B$124=A22)),""Unranked"")"),1.0)</f>
        <v>1</v>
      </c>
      <c r="Q22" s="113">
        <f>IFERROR(__xludf.DUMMYFUNCTION("IFERROR(MAX(FILTER($P$45:$P$124,$B$45:$B$124=A22)),""Unranked"")"),1.0)</f>
        <v>1</v>
      </c>
      <c r="R22" s="93" t="s">
        <v>622</v>
      </c>
      <c r="S22" s="95" t="str">
        <f t="array" ref="S22">INDEX('Pilot inputs'!$Y$15:$Y$44,MATCH(A22,'Pilot inputs'!$B$15:$B$44,0))</f>
        <v>Broad specialty-chemicals cohort with coatings/water/hygiene differences; vendor margin 16.32% versus financials 16.31% rounding.</v>
      </c>
      <c r="T22" s="95" t="str">
        <f t="array" ref="T22">INDEX('Pilot inputs'!$AS$15:$AS$44,MATCH(A22,'Pilot inputs'!$B$15:$B$44,0))</f>
        <v>Incomplete: network / NTM / guidance / custom ROIC</v>
      </c>
      <c r="U22" s="93"/>
      <c r="V22" s="93"/>
      <c r="W22" s="93"/>
      <c r="X22" s="93"/>
    </row>
    <row r="23" ht="66.0" customHeight="1">
      <c r="A23" s="93" t="s">
        <v>340</v>
      </c>
      <c r="B23" s="93" t="str">
        <f t="array" ref="B23">INDEX('Pilot inputs'!$C$15:$C$44,MATCH(A23,'Pilot inputs'!$B$15:$B$44,0))</f>
        <v>Utilities</v>
      </c>
      <c r="C23" s="113">
        <f t="array" ref="C23">IFERROR(INDEX('Pilot inputs'!$AG$15:$AG$44,MATCH(A23,'Pilot inputs'!$B$15:$B$44,0)),"Unranked")</f>
        <v>50</v>
      </c>
      <c r="D23" s="113">
        <f t="array" ref="D23">IFERROR(INDEX('Pilot inputs'!$AL$15:$AL$44,MATCH(A23,'Pilot inputs'!$B$15:$B$44,0)),"Unranked")</f>
        <v>20</v>
      </c>
      <c r="E23" s="113">
        <f t="array" ref="E23">IFERROR(INDEX('Pilot inputs'!$AM$15:$AM$44,MATCH(A23,'Pilot inputs'!$B$15:$B$44,0)),"Unranked")</f>
        <v>50</v>
      </c>
      <c r="F23" s="113">
        <f t="array" ref="F23">IFERROR(INDEX('Pilot inputs'!$AP$15:$AP$44,MATCH(A23,'Pilot inputs'!$B$15:$B$44,0)),"Unranked")</f>
        <v>75</v>
      </c>
      <c r="G23" s="113">
        <f t="array" ref="G23">IF(AND(COUNT(C23:F23)=4,F$10="Valid",INDEX('Pilot inputs'!$AQ$15:$AQ$44,MATCH(A23,'Pilot inputs'!$B$15:$B$44,0))=1),ROUND(SUMPRODUCT(C23:F23,TRANSPOSE(F$5:F$8)),10),"Unranked")</f>
        <v>48.75</v>
      </c>
      <c r="H23" s="101">
        <f t="shared" si="3"/>
        <v>8</v>
      </c>
      <c r="I23" s="113">
        <f t="array" ref="I23">IF(AND(COUNT(C23:F23)=4,G$10="Valid",INDEX('Pilot inputs'!$AQ$15:$AQ$44,MATCH(A23,'Pilot inputs'!$B$15:$B$44,0))=1),ROUND(SUMPRODUCT(C23:F23,TRANSPOSE(G$5:G$8)),10),"Unranked")</f>
        <v>54</v>
      </c>
      <c r="J23" s="101">
        <f t="shared" si="4"/>
        <v>7</v>
      </c>
      <c r="K23" s="113">
        <f t="array" ref="K23">IF(AND(COUNT(C23:F23)=4,H$10="Valid",INDEX('Pilot inputs'!$AQ$15:$AQ$44,MATCH(A23,'Pilot inputs'!$B$15:$B$44,0))=1),ROUND(SUMPRODUCT(C23:F23,TRANSPOSE(H$5:H$8)),10),"Unranked")</f>
        <v>44.25</v>
      </c>
      <c r="L23" s="101">
        <f t="shared" si="5"/>
        <v>8</v>
      </c>
      <c r="M23" s="113">
        <f t="shared" si="6"/>
        <v>44.00558684</v>
      </c>
      <c r="N23" s="101">
        <f t="shared" si="7"/>
        <v>5</v>
      </c>
      <c r="O23" s="113">
        <f>IFERROR(__xludf.DUMMYFUNCTION("IFERROR(MAX(FILTER($L$45:$L$124,$B$45:$B$124=A23)),""Unranked"")"),2.0)</f>
        <v>2</v>
      </c>
      <c r="P23" s="113">
        <f>IFERROR(__xludf.DUMMYFUNCTION("IFERROR(MAX(FILTER($N$45:$N$124,$B$45:$B$124=A23)),""Unranked"")"),2.0)</f>
        <v>2</v>
      </c>
      <c r="Q23" s="113">
        <f>IFERROR(__xludf.DUMMYFUNCTION("IFERROR(MAX(FILTER($P$45:$P$124,$B$45:$B$124=A23)),""Unranked"")"),1.0)</f>
        <v>1</v>
      </c>
      <c r="R23" s="93" t="s">
        <v>622</v>
      </c>
      <c r="S23" s="95" t="str">
        <f t="array" ref="S23">INDEX('Pilot inputs'!$Y$15:$Y$44,MATCH(A23,'Pilot inputs'!$B$15:$B$44,0))</f>
        <v>Vendor ROIC and margin do not reproduce the approved operating-tax/average-capital equation. Negative FCF retained but not weighted in utility value.</v>
      </c>
      <c r="T23" s="95" t="str">
        <f t="array" ref="T23">INDEX('Pilot inputs'!$AS$15:$AS$44,MATCH(A23,'Pilot inputs'!$B$15:$B$44,0))</f>
        <v>Incomplete: network / NTM / guidance / custom ROIC</v>
      </c>
      <c r="U23" s="93"/>
      <c r="V23" s="93"/>
      <c r="W23" s="93"/>
      <c r="X23" s="93"/>
    </row>
    <row r="24" ht="66.0" customHeight="1">
      <c r="A24" s="93" t="s">
        <v>1406</v>
      </c>
      <c r="B24" s="93" t="str">
        <f t="array" ref="B24">INDEX('Pilot inputs'!$C$15:$C$44,MATCH(A24,'Pilot inputs'!$B$15:$B$44,0))</f>
        <v>Financials</v>
      </c>
      <c r="C24" s="113">
        <f t="array" ref="C24">IFERROR(INDEX('Pilot inputs'!$AG$15:$AG$44,MATCH(A24,'Pilot inputs'!$B$15:$B$44,0)),"Unranked")</f>
        <v>0</v>
      </c>
      <c r="D24" s="113">
        <f t="array" ref="D24">IFERROR(INDEX('Pilot inputs'!$AL$15:$AL$44,MATCH(A24,'Pilot inputs'!$B$15:$B$44,0)),"Unranked")</f>
        <v>100</v>
      </c>
      <c r="E24" s="113">
        <f t="array" ref="E24">IFERROR(INDEX('Pilot inputs'!$AM$15:$AM$44,MATCH(A24,'Pilot inputs'!$B$15:$B$44,0)),"Unranked")</f>
        <v>0</v>
      </c>
      <c r="F24" s="113">
        <f t="array" ref="F24">IFERROR(INDEX('Pilot inputs'!$AP$15:$AP$44,MATCH(A24,'Pilot inputs'!$B$15:$B$44,0)),"Unranked")</f>
        <v>0</v>
      </c>
      <c r="G24" s="113">
        <f t="array" ref="G24">IF(AND(COUNT(C24:F24)=4,F$10="Valid",INDEX('Pilot inputs'!$AQ$15:$AQ$44,MATCH(A24,'Pilot inputs'!$B$15:$B$44,0))=1),ROUND(SUMPRODUCT(C24:F24,TRANSPOSE(F$5:F$8)),10),"Unranked")</f>
        <v>25</v>
      </c>
      <c r="H24" s="101">
        <f t="shared" si="3"/>
        <v>10</v>
      </c>
      <c r="I24" s="113">
        <f t="array" ref="I24">IF(AND(COUNT(C24:F24)=4,G$10="Valid",INDEX('Pilot inputs'!$AQ$15:$AQ$44,MATCH(A24,'Pilot inputs'!$B$15:$B$44,0))=1),ROUND(SUMPRODUCT(C24:F24,TRANSPOSE(G$5:G$8)),10),"Unranked")</f>
        <v>20</v>
      </c>
      <c r="J24" s="101">
        <f t="shared" si="4"/>
        <v>10</v>
      </c>
      <c r="K24" s="113">
        <f t="array" ref="K24">IF(AND(COUNT(C24:F24)=4,H$10="Valid",INDEX('Pilot inputs'!$AQ$15:$AQ$44,MATCH(A24,'Pilot inputs'!$B$15:$B$44,0))=1),ROUND(SUMPRODUCT(C24:F24,TRANSPOSE(H$5:H$8)),10),"Unranked")</f>
        <v>40</v>
      </c>
      <c r="L24" s="101">
        <f t="shared" si="5"/>
        <v>9</v>
      </c>
      <c r="M24" s="113">
        <f t="shared" si="6"/>
        <v>0</v>
      </c>
      <c r="N24" s="101">
        <f t="shared" si="7"/>
        <v>8</v>
      </c>
      <c r="O24" s="113">
        <f>IFERROR(__xludf.DUMMYFUNCTION("IFERROR(MAX(FILTER($L$45:$L$124,$B$45:$B$124=A24)),""Unranked"")"),0.0)</f>
        <v>0</v>
      </c>
      <c r="P24" s="113">
        <f>IFERROR(__xludf.DUMMYFUNCTION("IFERROR(MAX(FILTER($N$45:$N$124,$B$45:$B$124=A24)),""Unranked"")"),0.0)</f>
        <v>0</v>
      </c>
      <c r="Q24" s="113">
        <f>IFERROR(__xludf.DUMMYFUNCTION("IFERROR(MAX(FILTER($P$45:$P$124,$B$45:$B$124=A24)),""Unranked"")"),3.0)</f>
        <v>3</v>
      </c>
      <c r="R24" s="93" t="s">
        <v>622</v>
      </c>
      <c r="S24" s="95" t="str">
        <f t="array" ref="S24">INDEX('Pilot inputs'!$Y$15:$Y$44,MATCH(A24,'Pilot inputs'!$B$15:$B$44,0))</f>
        <v>Processor/merchant mix versus Visa/Mastercard payment networks; margin differences are structural.</v>
      </c>
      <c r="T24" s="95" t="str">
        <f t="array" ref="T24">INDEX('Pilot inputs'!$AS$15:$AS$44,MATCH(A24,'Pilot inputs'!$B$15:$B$44,0))</f>
        <v>Incomplete: network / NTM / guidance / custom ROIC</v>
      </c>
      <c r="U24" s="93"/>
      <c r="V24" s="93"/>
      <c r="W24" s="93"/>
      <c r="X24" s="93"/>
    </row>
    <row r="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 ht="48.75" customHeight="1">
      <c r="A27" s="117" t="s">
        <v>673</v>
      </c>
      <c r="B27" s="117" t="s">
        <v>1608</v>
      </c>
      <c r="C27" s="117" t="s">
        <v>1609</v>
      </c>
      <c r="D27" s="117" t="s">
        <v>243</v>
      </c>
      <c r="E27" s="117" t="s">
        <v>1610</v>
      </c>
      <c r="F27" s="117" t="s">
        <v>1611</v>
      </c>
      <c r="G27" s="117" t="s">
        <v>1612</v>
      </c>
      <c r="H27" s="117" t="s">
        <v>1613</v>
      </c>
      <c r="I27" s="117" t="s">
        <v>1614</v>
      </c>
      <c r="J27" s="117" t="s">
        <v>1615</v>
      </c>
      <c r="K27" s="117" t="s">
        <v>1616</v>
      </c>
      <c r="L27" s="117" t="s">
        <v>1617</v>
      </c>
      <c r="M27" s="117" t="s">
        <v>1618</v>
      </c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</row>
    <row r="28">
      <c r="A28" s="93" t="s">
        <v>1556</v>
      </c>
      <c r="B28" s="119">
        <f>F$5</f>
        <v>0.25</v>
      </c>
      <c r="C28" s="119">
        <f>F$6</f>
        <v>0.25</v>
      </c>
      <c r="D28" s="119">
        <f>F$7</f>
        <v>0.25</v>
      </c>
      <c r="E28" s="119">
        <f>F$8</f>
        <v>0.25</v>
      </c>
      <c r="F28" s="145">
        <f>IFERROR(AVERAGE(D35:D42),"Unranked")</f>
        <v>0.9528202343</v>
      </c>
      <c r="G28" s="145">
        <f>IFERROR(MIN(D35:D42),"Unranked")</f>
        <v>0.9146341463</v>
      </c>
      <c r="H28" s="145">
        <f>IFERROR(MAX(L45:L124),"Unranked")</f>
        <v>3</v>
      </c>
      <c r="I28" s="145">
        <f>IFERROR(AVERAGE(L45:L124),"Unranked")</f>
        <v>0.55</v>
      </c>
      <c r="J28" s="145">
        <f t="array" ref="J28">IFERROR(MAX(ABS(K45:K124)),"Unranked")</f>
        <v>10</v>
      </c>
      <c r="K28" s="145">
        <f>IFERROR(__xludf.DUMMYFUNCTION("10-COUNTUNIQUE(G15:G24)"),1.0)</f>
        <v>1</v>
      </c>
      <c r="L28" s="145">
        <f>IFERROR(AVERAGE(R145:R304),"Unranked")</f>
        <v>0.134375</v>
      </c>
      <c r="M28" s="145">
        <f>IFERROR(MAX(R145:R304),"Unranked")</f>
        <v>4</v>
      </c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>
      <c r="A29" s="93" t="s">
        <v>1621</v>
      </c>
      <c r="B29" s="119">
        <f>G$5</f>
        <v>0.15</v>
      </c>
      <c r="C29" s="119">
        <f>G$6</f>
        <v>0.2</v>
      </c>
      <c r="D29" s="119">
        <f>G$7</f>
        <v>0.25</v>
      </c>
      <c r="E29" s="119">
        <f>G$8</f>
        <v>0.4</v>
      </c>
      <c r="F29" s="145">
        <f>IFERROR(AVERAGE(E35:E42),"Unranked")</f>
        <v>0.9279196103</v>
      </c>
      <c r="G29" s="145">
        <f>IFERROR(MIN(E35:E42),"Unranked")</f>
        <v>0.8666666667</v>
      </c>
      <c r="H29" s="145">
        <f>IFERROR(MAX(N45:N124),"Unranked")</f>
        <v>3</v>
      </c>
      <c r="I29" s="145">
        <f>IFERROR(AVERAGE(N45:N124),"Unranked")</f>
        <v>0.725</v>
      </c>
      <c r="J29" s="145">
        <f t="array" ref="J29">IFERROR(MAX(ABS(M45:M124)),"Unranked")</f>
        <v>10</v>
      </c>
      <c r="K29" s="145">
        <f>IFERROR(__xludf.DUMMYFUNCTION("10-COUNTUNIQUE(I15:I24)"),0.0)</f>
        <v>0</v>
      </c>
      <c r="L29" s="145">
        <f>IFERROR(AVERAGE(S145:S304),"Unranked")</f>
        <v>0.178125</v>
      </c>
      <c r="M29" s="145">
        <f>IFERROR(MAX(S145:S304),"Unranked")</f>
        <v>5</v>
      </c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>
      <c r="A30" s="93" t="s">
        <v>1625</v>
      </c>
      <c r="B30" s="119">
        <f>H$5</f>
        <v>0.15</v>
      </c>
      <c r="C30" s="119">
        <f>H$6</f>
        <v>0.4</v>
      </c>
      <c r="D30" s="119">
        <f>H$7</f>
        <v>0.2</v>
      </c>
      <c r="E30" s="119">
        <f>H$8</f>
        <v>0.25</v>
      </c>
      <c r="F30" s="145">
        <f>IFERROR(AVERAGE(F35:F42),"Unranked")</f>
        <v>0.9454545455</v>
      </c>
      <c r="G30" s="145">
        <f>IFERROR(MIN(F35:F42),"Unranked")</f>
        <v>0.9151515152</v>
      </c>
      <c r="H30" s="145">
        <f>IFERROR(MAX(P45:P124),"Unranked")</f>
        <v>3</v>
      </c>
      <c r="I30" s="145">
        <f>IFERROR(AVERAGE(P45:P124),"Unranked")</f>
        <v>0.675</v>
      </c>
      <c r="J30" s="145">
        <f t="array" ref="J30">IFERROR(MAX(ABS(O45:O124)),"Unranked")</f>
        <v>10</v>
      </c>
      <c r="K30" s="145">
        <f>IFERROR(__xludf.DUMMYFUNCTION("10-COUNTUNIQUE(K15:K24)"),0.0)</f>
        <v>0</v>
      </c>
      <c r="L30" s="145">
        <f>IFERROR(AVERAGE(T145:T304),"Unranked")</f>
        <v>0.1</v>
      </c>
      <c r="M30" s="145">
        <f>IFERROR(MAX(T145:T304),"Unranked")</f>
        <v>3</v>
      </c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</row>
    <row r="34" ht="48.75" customHeight="1">
      <c r="A34" s="117" t="s">
        <v>1626</v>
      </c>
      <c r="B34" s="117" t="s">
        <v>1627</v>
      </c>
      <c r="C34" s="117" t="s">
        <v>1628</v>
      </c>
      <c r="D34" s="117" t="s">
        <v>1629</v>
      </c>
      <c r="E34" s="117" t="s">
        <v>1630</v>
      </c>
      <c r="F34" s="117" t="s">
        <v>1631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>
      <c r="A35" s="93">
        <v>1.0</v>
      </c>
      <c r="B35" s="93" t="s">
        <v>138</v>
      </c>
      <c r="C35" s="119">
        <f>-1*$F$11</f>
        <v>-0.1</v>
      </c>
      <c r="D35" s="145">
        <f>IFERROR(CORREL($H$15:$H$24,F45:F54),"Unranked")</f>
        <v>0.9422535927</v>
      </c>
      <c r="E35" s="145">
        <f>IFERROR(CORREL($J$15:$J$24,H45:H54),"Unranked")</f>
        <v>0.9787279253</v>
      </c>
      <c r="F35" s="145">
        <f>IFERROR(CORREL($L$15:$L$24,J45:J54),"Unranked")</f>
        <v>0.9515151515</v>
      </c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</row>
    <row r="36">
      <c r="A36" s="93">
        <v>2.0</v>
      </c>
      <c r="B36" s="93" t="s">
        <v>138</v>
      </c>
      <c r="C36" s="119">
        <f>1*$F$11</f>
        <v>0.1</v>
      </c>
      <c r="D36" s="145">
        <f>IFERROR(CORREL($H$15:$H$24,F55:F64),"Unranked")</f>
        <v>0.9787279253</v>
      </c>
      <c r="E36" s="145">
        <f>IFERROR(CORREL($J$15:$J$24,H55:H64),"Unranked")</f>
        <v>0.9300954818</v>
      </c>
      <c r="F36" s="145">
        <f>IFERROR(CORREL($L$15:$L$24,J55:J64),"Unranked")</f>
        <v>0.9878787879</v>
      </c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>
      <c r="A37" s="93">
        <v>3.0</v>
      </c>
      <c r="B37" s="93" t="s">
        <v>1561</v>
      </c>
      <c r="C37" s="119">
        <f>-1*$F$11</f>
        <v>-0.1</v>
      </c>
      <c r="D37" s="145">
        <f>IFERROR(CORREL($H$15:$H$24,F65:F74),"Unranked")</f>
        <v>0.9422535927</v>
      </c>
      <c r="E37" s="145">
        <f>IFERROR(CORREL($J$15:$J$24,H65:H74),"Unranked")</f>
        <v>0.8936211492</v>
      </c>
      <c r="F37" s="145">
        <f>IFERROR(CORREL($L$15:$L$24,J65:J74),"Unranked")</f>
        <v>0.9393939394</v>
      </c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</row>
    <row r="38">
      <c r="A38" s="93">
        <v>4.0</v>
      </c>
      <c r="B38" s="93" t="s">
        <v>1561</v>
      </c>
      <c r="C38" s="119">
        <f>1*$F$11</f>
        <v>0.1</v>
      </c>
      <c r="D38" s="145">
        <f>IFERROR(CORREL($H$15:$H$24,F75:F84),"Unranked")</f>
        <v>0.9422535927</v>
      </c>
      <c r="E38" s="145">
        <f>IFERROR(CORREL($J$15:$J$24,H75:H84),"Unranked")</f>
        <v>0.9757575758</v>
      </c>
      <c r="F38" s="145">
        <f>IFERROR(CORREL($L$15:$L$24,J75:J84),"Unranked")</f>
        <v>0.9151515152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</row>
    <row r="39">
      <c r="A39" s="93">
        <v>5.0</v>
      </c>
      <c r="B39" s="93" t="s">
        <v>1563</v>
      </c>
      <c r="C39" s="119">
        <f>-1*$F$11</f>
        <v>-0.1</v>
      </c>
      <c r="D39" s="145">
        <f>IFERROR(CORREL($H$15:$H$24,F85:F94),"Unranked")</f>
        <v>0.9146341463</v>
      </c>
      <c r="E39" s="145">
        <f>IFERROR(CORREL($J$15:$J$24,H85:H94),"Unranked")</f>
        <v>0.8666666667</v>
      </c>
      <c r="F39" s="145">
        <f>IFERROR(CORREL($L$15:$L$24,J85:J94),"Unranked")</f>
        <v>0.9636363636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</row>
    <row r="40">
      <c r="A40" s="93">
        <v>6.0</v>
      </c>
      <c r="B40" s="93" t="s">
        <v>1563</v>
      </c>
      <c r="C40" s="119">
        <f>1*$F$11</f>
        <v>0.1</v>
      </c>
      <c r="D40" s="145">
        <f>IFERROR(CORREL($H$15:$H$24,F95:F104),"Unranked")</f>
        <v>0.9512195122</v>
      </c>
      <c r="E40" s="145">
        <f>IFERROR(CORREL($J$15:$J$24,H95:H104),"Unranked")</f>
        <v>0.8997002046</v>
      </c>
      <c r="F40" s="145">
        <f>IFERROR(CORREL($L$15:$L$24,J95:J104),"Unranked")</f>
        <v>0.9272727273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>
      <c r="A41" s="93">
        <v>7.0</v>
      </c>
      <c r="B41" s="93" t="s">
        <v>1565</v>
      </c>
      <c r="C41" s="119">
        <f>-1*$F$11</f>
        <v>-0.1</v>
      </c>
      <c r="D41" s="145">
        <f>IFERROR(CORREL($H$15:$H$24,F105:F114),"Unranked")</f>
        <v>0.987804878</v>
      </c>
      <c r="E41" s="145">
        <f>IFERROR(CORREL($J$15:$J$24,H105:H114),"Unranked")</f>
        <v>0.9515151515</v>
      </c>
      <c r="F41" s="145">
        <f>IFERROR(CORREL($L$15:$L$24,J105:J114),"Unranked")</f>
        <v>0.9272727273</v>
      </c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</row>
    <row r="42">
      <c r="A42" s="93">
        <v>8.0</v>
      </c>
      <c r="B42" s="93" t="s">
        <v>1565</v>
      </c>
      <c r="C42" s="119">
        <f>1*$F$11</f>
        <v>0.1</v>
      </c>
      <c r="D42" s="145">
        <f>IFERROR(CORREL($H$15:$H$24,F115:F124),"Unranked")</f>
        <v>0.9634146341</v>
      </c>
      <c r="E42" s="145">
        <f>IFERROR(CORREL($J$15:$J$24,H115:H124),"Unranked")</f>
        <v>0.9272727273</v>
      </c>
      <c r="F42" s="145">
        <f>IFERROR(CORREL($L$15:$L$24,J115:J124),"Unranked")</f>
        <v>0.9515151515</v>
      </c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</row>
    <row r="4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 ht="48.75" customHeight="1">
      <c r="A44" s="117" t="s">
        <v>1626</v>
      </c>
      <c r="B44" s="117" t="s">
        <v>277</v>
      </c>
      <c r="C44" s="117" t="s">
        <v>1637</v>
      </c>
      <c r="D44" s="117" t="s">
        <v>1638</v>
      </c>
      <c r="E44" s="117" t="s">
        <v>1639</v>
      </c>
      <c r="F44" s="117" t="s">
        <v>1640</v>
      </c>
      <c r="G44" s="117" t="s">
        <v>1578</v>
      </c>
      <c r="H44" s="117" t="s">
        <v>1579</v>
      </c>
      <c r="I44" s="117" t="s">
        <v>1580</v>
      </c>
      <c r="J44" s="117" t="s">
        <v>1581</v>
      </c>
      <c r="K44" s="117" t="s">
        <v>1641</v>
      </c>
      <c r="L44" s="117" t="s">
        <v>1642</v>
      </c>
      <c r="M44" s="117" t="s">
        <v>1643</v>
      </c>
      <c r="N44" s="117" t="s">
        <v>1644</v>
      </c>
      <c r="O44" s="117" t="s">
        <v>1645</v>
      </c>
      <c r="P44" s="117" t="s">
        <v>1646</v>
      </c>
      <c r="Q44" s="117" t="s">
        <v>1647</v>
      </c>
      <c r="R44" s="117" t="s">
        <v>1648</v>
      </c>
      <c r="S44" s="117" t="s">
        <v>1649</v>
      </c>
      <c r="T44" s="117" t="s">
        <v>1650</v>
      </c>
      <c r="U44" s="93"/>
      <c r="V44" s="93"/>
      <c r="W44" s="93"/>
      <c r="X44" s="93"/>
    </row>
    <row r="45" ht="22.5" customHeight="1">
      <c r="A45" s="93">
        <v>1.0</v>
      </c>
      <c r="B45" s="93" t="s">
        <v>1264</v>
      </c>
      <c r="C45" s="93" t="s">
        <v>138</v>
      </c>
      <c r="D45" s="145">
        <v>-1.0</v>
      </c>
      <c r="E45" s="145">
        <f t="shared" ref="E45:E54" si="8">IF(AND(ISNUMBER(G15),F$10="Valid"),ROUND(G15+D45*$F$11*(C15-(SUM(C15:F15)-C15)/3),10),"Unranked")</f>
        <v>42.91666667</v>
      </c>
      <c r="F45" s="145">
        <f t="shared" ref="F45:F54" si="9">IF(ISNUMBER(E45),1+COUNTIF($E$45:$E$54,"&gt;"&amp;E45)+(COUNTIF($E$45:$E$54,E45)-1)/2,"Unranked")</f>
        <v>9</v>
      </c>
      <c r="G45" s="145">
        <f t="shared" ref="G45:G54" si="10">IF(AND(ISNUMBER(I15),G$10="Valid"),ROUND(I15+D45*$F$11*(C15-(SUM(C15:F15)-C15)/3),10),"Unranked")</f>
        <v>49.16666667</v>
      </c>
      <c r="H45" s="145">
        <f t="shared" ref="H45:H54" si="11">IF(ISNUMBER(G45),1+COUNTIF($G$45:$G$54,"&gt;"&amp;G45)+(COUNTIF($G$45:$G$54,G45)-1)/2,"Unranked")</f>
        <v>8</v>
      </c>
      <c r="I45" s="145">
        <f t="shared" ref="I45:I54" si="12">IF(AND(ISNUMBER(K15),H$10="Valid"),ROUND(K15+D45*$F$11*(C15-(SUM(C15:F15)-C15)/3),10),"Unranked")</f>
        <v>35.41666667</v>
      </c>
      <c r="J45" s="145">
        <f t="shared" ref="J45:J54" si="13">IF(ISNUMBER(I45),1+COUNTIF($I$45:$I$54,"&gt;"&amp;I45)+(COUNTIF($I$45:$I$54,I45)-1)/2,"Unranked")</f>
        <v>10</v>
      </c>
      <c r="K45" s="145">
        <f t="shared" ref="K45:K54" si="14">IF(ISNUMBER(E45),E45-G15,"Unranked")</f>
        <v>-0.8333333333</v>
      </c>
      <c r="L45" s="145">
        <f t="shared" ref="L45:L54" si="15">IF(ISNUMBER(F45),ABS(F45-H15),"Unranked")</f>
        <v>0</v>
      </c>
      <c r="M45" s="145">
        <f t="shared" ref="M45:M54" si="16">IF(ISNUMBER(G45),G45-I15,"Unranked")</f>
        <v>-0.8333333333</v>
      </c>
      <c r="N45" s="145">
        <f t="shared" ref="N45:N54" si="17">IF(ISNUMBER(H45),ABS(H45-J15),"Unranked")</f>
        <v>0</v>
      </c>
      <c r="O45" s="145">
        <f t="shared" ref="O45:O54" si="18">IF(ISNUMBER(I45),I45-K15,"Unranked")</f>
        <v>-0.8333333333</v>
      </c>
      <c r="P45" s="145">
        <f t="shared" ref="P45:P54" si="19">IF(ISNUMBER(J45),ABS(J45-L15),"Unranked")</f>
        <v>0</v>
      </c>
      <c r="Q45" s="145">
        <f t="shared" ref="Q45:Q54" si="20">H15</f>
        <v>9</v>
      </c>
      <c r="R45" s="145">
        <f t="shared" ref="R45:R54" si="21">J15</f>
        <v>8</v>
      </c>
      <c r="S45" s="145">
        <f t="shared" ref="S45:S54" si="22">L15</f>
        <v>10</v>
      </c>
      <c r="T45" s="93" t="s">
        <v>1651</v>
      </c>
      <c r="U45" s="93"/>
      <c r="V45" s="93"/>
      <c r="W45" s="93"/>
      <c r="X45" s="93"/>
    </row>
    <row r="46" ht="22.5" customHeight="1">
      <c r="A46" s="93">
        <v>1.0</v>
      </c>
      <c r="B46" s="93" t="s">
        <v>299</v>
      </c>
      <c r="C46" s="93" t="s">
        <v>138</v>
      </c>
      <c r="D46" s="145">
        <v>-1.0</v>
      </c>
      <c r="E46" s="145">
        <f t="shared" si="8"/>
        <v>67.41666667</v>
      </c>
      <c r="F46" s="145">
        <f t="shared" si="9"/>
        <v>2</v>
      </c>
      <c r="G46" s="145">
        <f t="shared" si="10"/>
        <v>63.16666667</v>
      </c>
      <c r="H46" s="145">
        <f t="shared" si="11"/>
        <v>3</v>
      </c>
      <c r="I46" s="145">
        <f t="shared" si="12"/>
        <v>57.66666667</v>
      </c>
      <c r="J46" s="145">
        <f t="shared" si="13"/>
        <v>3</v>
      </c>
      <c r="K46" s="145">
        <f t="shared" si="14"/>
        <v>-3.833333333</v>
      </c>
      <c r="L46" s="145">
        <f t="shared" si="15"/>
        <v>1</v>
      </c>
      <c r="M46" s="145">
        <f t="shared" si="16"/>
        <v>-3.833333333</v>
      </c>
      <c r="N46" s="145">
        <f t="shared" si="17"/>
        <v>0</v>
      </c>
      <c r="O46" s="145">
        <f t="shared" si="18"/>
        <v>-3.833333333</v>
      </c>
      <c r="P46" s="145">
        <f t="shared" si="19"/>
        <v>1</v>
      </c>
      <c r="Q46" s="145">
        <f t="shared" si="20"/>
        <v>1</v>
      </c>
      <c r="R46" s="145">
        <f t="shared" si="21"/>
        <v>3</v>
      </c>
      <c r="S46" s="145">
        <f t="shared" si="22"/>
        <v>4</v>
      </c>
      <c r="T46" s="93" t="s">
        <v>1651</v>
      </c>
      <c r="U46" s="93"/>
      <c r="V46" s="93"/>
      <c r="W46" s="93"/>
      <c r="X46" s="93"/>
    </row>
    <row r="47" ht="22.5" customHeight="1">
      <c r="A47" s="93">
        <v>1.0</v>
      </c>
      <c r="B47" s="93" t="s">
        <v>305</v>
      </c>
      <c r="C47" s="93" t="s">
        <v>138</v>
      </c>
      <c r="D47" s="145">
        <v>-1.0</v>
      </c>
      <c r="E47" s="145">
        <f t="shared" si="8"/>
        <v>56.08333333</v>
      </c>
      <c r="F47" s="145">
        <f t="shared" si="9"/>
        <v>4</v>
      </c>
      <c r="G47" s="145">
        <f t="shared" si="10"/>
        <v>53.83333333</v>
      </c>
      <c r="H47" s="145">
        <f t="shared" si="11"/>
        <v>5.5</v>
      </c>
      <c r="I47" s="145">
        <f t="shared" si="12"/>
        <v>56.58333333</v>
      </c>
      <c r="J47" s="145">
        <f t="shared" si="13"/>
        <v>4</v>
      </c>
      <c r="K47" s="145">
        <f t="shared" si="14"/>
        <v>-5.166666667</v>
      </c>
      <c r="L47" s="145">
        <f t="shared" si="15"/>
        <v>0</v>
      </c>
      <c r="M47" s="145">
        <f t="shared" si="16"/>
        <v>-5.166666667</v>
      </c>
      <c r="N47" s="145">
        <f t="shared" si="17"/>
        <v>0.5</v>
      </c>
      <c r="O47" s="145">
        <f t="shared" si="18"/>
        <v>-5.166666667</v>
      </c>
      <c r="P47" s="145">
        <f t="shared" si="19"/>
        <v>1</v>
      </c>
      <c r="Q47" s="145">
        <f t="shared" si="20"/>
        <v>4</v>
      </c>
      <c r="R47" s="145">
        <f t="shared" si="21"/>
        <v>5</v>
      </c>
      <c r="S47" s="145">
        <f t="shared" si="22"/>
        <v>3</v>
      </c>
      <c r="T47" s="93" t="s">
        <v>1651</v>
      </c>
      <c r="U47" s="93"/>
      <c r="V47" s="93"/>
      <c r="W47" s="93"/>
      <c r="X47" s="93"/>
    </row>
    <row r="48" ht="22.5" customHeight="1">
      <c r="A48" s="93">
        <v>1.0</v>
      </c>
      <c r="B48" s="93" t="s">
        <v>311</v>
      </c>
      <c r="C48" s="93" t="s">
        <v>138</v>
      </c>
      <c r="D48" s="145">
        <v>-1.0</v>
      </c>
      <c r="E48" s="145">
        <f t="shared" si="8"/>
        <v>54.66666667</v>
      </c>
      <c r="F48" s="145">
        <f t="shared" si="9"/>
        <v>5</v>
      </c>
      <c r="G48" s="145">
        <f t="shared" si="10"/>
        <v>55.16666667</v>
      </c>
      <c r="H48" s="145">
        <f t="shared" si="11"/>
        <v>4</v>
      </c>
      <c r="I48" s="145">
        <f t="shared" si="12"/>
        <v>44.41666667</v>
      </c>
      <c r="J48" s="145">
        <f t="shared" si="13"/>
        <v>6</v>
      </c>
      <c r="K48" s="145">
        <f t="shared" si="14"/>
        <v>-5.333333333</v>
      </c>
      <c r="L48" s="145">
        <f t="shared" si="15"/>
        <v>0</v>
      </c>
      <c r="M48" s="145">
        <f t="shared" si="16"/>
        <v>-5.333333333</v>
      </c>
      <c r="N48" s="145">
        <f t="shared" si="17"/>
        <v>0</v>
      </c>
      <c r="O48" s="145">
        <f t="shared" si="18"/>
        <v>-5.333333333</v>
      </c>
      <c r="P48" s="145">
        <f t="shared" si="19"/>
        <v>0</v>
      </c>
      <c r="Q48" s="145">
        <f t="shared" si="20"/>
        <v>5</v>
      </c>
      <c r="R48" s="145">
        <f t="shared" si="21"/>
        <v>4</v>
      </c>
      <c r="S48" s="145">
        <f t="shared" si="22"/>
        <v>6</v>
      </c>
      <c r="T48" s="93" t="s">
        <v>1651</v>
      </c>
      <c r="U48" s="93"/>
      <c r="V48" s="93"/>
      <c r="W48" s="93"/>
      <c r="X48" s="93"/>
    </row>
    <row r="49" ht="22.5" customHeight="1">
      <c r="A49" s="93">
        <v>1.0</v>
      </c>
      <c r="B49" s="93" t="s">
        <v>1391</v>
      </c>
      <c r="C49" s="93" t="s">
        <v>138</v>
      </c>
      <c r="D49" s="145">
        <v>-1.0</v>
      </c>
      <c r="E49" s="145">
        <f t="shared" si="8"/>
        <v>71.25</v>
      </c>
      <c r="F49" s="145">
        <f t="shared" si="9"/>
        <v>1</v>
      </c>
      <c r="G49" s="145">
        <f t="shared" si="10"/>
        <v>72.5</v>
      </c>
      <c r="H49" s="145">
        <f t="shared" si="11"/>
        <v>1</v>
      </c>
      <c r="I49" s="145">
        <f t="shared" si="12"/>
        <v>78.75</v>
      </c>
      <c r="J49" s="145">
        <f t="shared" si="13"/>
        <v>1</v>
      </c>
      <c r="K49" s="145">
        <f t="shared" si="14"/>
        <v>2.5</v>
      </c>
      <c r="L49" s="145">
        <f t="shared" si="15"/>
        <v>1.5</v>
      </c>
      <c r="M49" s="145">
        <f t="shared" si="16"/>
        <v>2.5</v>
      </c>
      <c r="N49" s="145">
        <f t="shared" si="17"/>
        <v>0</v>
      </c>
      <c r="O49" s="145">
        <f t="shared" si="18"/>
        <v>2.5</v>
      </c>
      <c r="P49" s="145">
        <f t="shared" si="19"/>
        <v>0</v>
      </c>
      <c r="Q49" s="145">
        <f t="shared" si="20"/>
        <v>2.5</v>
      </c>
      <c r="R49" s="145">
        <f t="shared" si="21"/>
        <v>1</v>
      </c>
      <c r="S49" s="145">
        <f t="shared" si="22"/>
        <v>1</v>
      </c>
      <c r="T49" s="93" t="s">
        <v>1651</v>
      </c>
      <c r="U49" s="93"/>
      <c r="V49" s="93"/>
      <c r="W49" s="93"/>
      <c r="X49" s="93"/>
    </row>
    <row r="50" ht="22.5" customHeight="1">
      <c r="A50" s="93">
        <v>1.0</v>
      </c>
      <c r="B50" s="93" t="s">
        <v>322</v>
      </c>
      <c r="C50" s="93" t="s">
        <v>138</v>
      </c>
      <c r="D50" s="145">
        <v>-1.0</v>
      </c>
      <c r="E50" s="145">
        <f t="shared" si="8"/>
        <v>47.58333333</v>
      </c>
      <c r="F50" s="145">
        <f t="shared" si="9"/>
        <v>8</v>
      </c>
      <c r="G50" s="145">
        <f t="shared" si="10"/>
        <v>41.83333333</v>
      </c>
      <c r="H50" s="145">
        <f t="shared" si="11"/>
        <v>9</v>
      </c>
      <c r="I50" s="145">
        <f t="shared" si="12"/>
        <v>47.33333333</v>
      </c>
      <c r="J50" s="145">
        <f t="shared" si="13"/>
        <v>5</v>
      </c>
      <c r="K50" s="145">
        <f t="shared" si="14"/>
        <v>-6.166666667</v>
      </c>
      <c r="L50" s="145">
        <f t="shared" si="15"/>
        <v>1</v>
      </c>
      <c r="M50" s="145">
        <f t="shared" si="16"/>
        <v>-6.166666667</v>
      </c>
      <c r="N50" s="145">
        <f t="shared" si="17"/>
        <v>0</v>
      </c>
      <c r="O50" s="145">
        <f t="shared" si="18"/>
        <v>-6.166666667</v>
      </c>
      <c r="P50" s="145">
        <f t="shared" si="19"/>
        <v>0</v>
      </c>
      <c r="Q50" s="145">
        <f t="shared" si="20"/>
        <v>7</v>
      </c>
      <c r="R50" s="145">
        <f t="shared" si="21"/>
        <v>9</v>
      </c>
      <c r="S50" s="145">
        <f t="shared" si="22"/>
        <v>5</v>
      </c>
      <c r="T50" s="93" t="s">
        <v>1651</v>
      </c>
      <c r="U50" s="93"/>
      <c r="V50" s="93"/>
      <c r="W50" s="93"/>
      <c r="X50" s="93"/>
    </row>
    <row r="51" ht="22.5" customHeight="1">
      <c r="A51" s="93">
        <v>1.0</v>
      </c>
      <c r="B51" s="93" t="s">
        <v>1437</v>
      </c>
      <c r="C51" s="93" t="s">
        <v>138</v>
      </c>
      <c r="D51" s="145">
        <v>-1.0</v>
      </c>
      <c r="E51" s="145">
        <f t="shared" si="8"/>
        <v>48.29166667</v>
      </c>
      <c r="F51" s="145">
        <f t="shared" si="9"/>
        <v>7</v>
      </c>
      <c r="G51" s="145">
        <f t="shared" si="10"/>
        <v>52.41666667</v>
      </c>
      <c r="H51" s="145">
        <f t="shared" si="11"/>
        <v>7</v>
      </c>
      <c r="I51" s="145">
        <f t="shared" si="12"/>
        <v>40.91666667</v>
      </c>
      <c r="J51" s="145">
        <f t="shared" si="13"/>
        <v>9</v>
      </c>
      <c r="K51" s="145">
        <f t="shared" si="14"/>
        <v>-6.083333333</v>
      </c>
      <c r="L51" s="145">
        <f t="shared" si="15"/>
        <v>1</v>
      </c>
      <c r="M51" s="145">
        <f t="shared" si="16"/>
        <v>-6.083333333</v>
      </c>
      <c r="N51" s="145">
        <f t="shared" si="17"/>
        <v>1</v>
      </c>
      <c r="O51" s="145">
        <f t="shared" si="18"/>
        <v>-6.083333333</v>
      </c>
      <c r="P51" s="145">
        <f t="shared" si="19"/>
        <v>2</v>
      </c>
      <c r="Q51" s="145">
        <f t="shared" si="20"/>
        <v>6</v>
      </c>
      <c r="R51" s="145">
        <f t="shared" si="21"/>
        <v>6</v>
      </c>
      <c r="S51" s="145">
        <f t="shared" si="22"/>
        <v>7</v>
      </c>
      <c r="T51" s="93" t="s">
        <v>1651</v>
      </c>
      <c r="U51" s="93"/>
      <c r="V51" s="93"/>
      <c r="W51" s="93"/>
      <c r="X51" s="93"/>
    </row>
    <row r="52" ht="22.5" customHeight="1">
      <c r="A52" s="93">
        <v>1.0</v>
      </c>
      <c r="B52" s="93" t="s">
        <v>334</v>
      </c>
      <c r="C52" s="93" t="s">
        <v>138</v>
      </c>
      <c r="D52" s="145">
        <v>-1.0</v>
      </c>
      <c r="E52" s="145">
        <f t="shared" si="8"/>
        <v>64.58333333</v>
      </c>
      <c r="F52" s="145">
        <f t="shared" si="9"/>
        <v>3</v>
      </c>
      <c r="G52" s="145">
        <f t="shared" si="10"/>
        <v>63.33333333</v>
      </c>
      <c r="H52" s="145">
        <f t="shared" si="11"/>
        <v>2</v>
      </c>
      <c r="I52" s="145">
        <f t="shared" si="12"/>
        <v>59.58333333</v>
      </c>
      <c r="J52" s="145">
        <f t="shared" si="13"/>
        <v>2</v>
      </c>
      <c r="K52" s="145">
        <f t="shared" si="14"/>
        <v>-4.166666667</v>
      </c>
      <c r="L52" s="145">
        <f t="shared" si="15"/>
        <v>0.5</v>
      </c>
      <c r="M52" s="145">
        <f t="shared" si="16"/>
        <v>-4.166666667</v>
      </c>
      <c r="N52" s="145">
        <f t="shared" si="17"/>
        <v>0</v>
      </c>
      <c r="O52" s="145">
        <f t="shared" si="18"/>
        <v>-4.166666667</v>
      </c>
      <c r="P52" s="145">
        <f t="shared" si="19"/>
        <v>0</v>
      </c>
      <c r="Q52" s="145">
        <f t="shared" si="20"/>
        <v>2.5</v>
      </c>
      <c r="R52" s="145">
        <f t="shared" si="21"/>
        <v>2</v>
      </c>
      <c r="S52" s="145">
        <f t="shared" si="22"/>
        <v>2</v>
      </c>
      <c r="T52" s="93" t="s">
        <v>1651</v>
      </c>
      <c r="U52" s="93"/>
      <c r="V52" s="93"/>
      <c r="W52" s="93"/>
      <c r="X52" s="93"/>
    </row>
    <row r="53" ht="22.5" customHeight="1">
      <c r="A53" s="93">
        <v>1.0</v>
      </c>
      <c r="B53" s="93" t="s">
        <v>340</v>
      </c>
      <c r="C53" s="93" t="s">
        <v>138</v>
      </c>
      <c r="D53" s="145">
        <v>-1.0</v>
      </c>
      <c r="E53" s="145">
        <f t="shared" si="8"/>
        <v>48.58333333</v>
      </c>
      <c r="F53" s="145">
        <f t="shared" si="9"/>
        <v>6</v>
      </c>
      <c r="G53" s="145">
        <f t="shared" si="10"/>
        <v>53.83333333</v>
      </c>
      <c r="H53" s="145">
        <f t="shared" si="11"/>
        <v>5.5</v>
      </c>
      <c r="I53" s="145">
        <f t="shared" si="12"/>
        <v>44.08333333</v>
      </c>
      <c r="J53" s="145">
        <f t="shared" si="13"/>
        <v>7</v>
      </c>
      <c r="K53" s="145">
        <f t="shared" si="14"/>
        <v>-0.1666666667</v>
      </c>
      <c r="L53" s="145">
        <f t="shared" si="15"/>
        <v>2</v>
      </c>
      <c r="M53" s="145">
        <f t="shared" si="16"/>
        <v>-0.1666666667</v>
      </c>
      <c r="N53" s="145">
        <f t="shared" si="17"/>
        <v>1.5</v>
      </c>
      <c r="O53" s="145">
        <f t="shared" si="18"/>
        <v>-0.1666666667</v>
      </c>
      <c r="P53" s="145">
        <f t="shared" si="19"/>
        <v>1</v>
      </c>
      <c r="Q53" s="145">
        <f t="shared" si="20"/>
        <v>8</v>
      </c>
      <c r="R53" s="145">
        <f t="shared" si="21"/>
        <v>7</v>
      </c>
      <c r="S53" s="145">
        <f t="shared" si="22"/>
        <v>8</v>
      </c>
      <c r="T53" s="93" t="s">
        <v>1651</v>
      </c>
      <c r="U53" s="93"/>
      <c r="V53" s="93"/>
      <c r="W53" s="93"/>
      <c r="X53" s="93"/>
    </row>
    <row r="54" ht="22.5" customHeight="1">
      <c r="A54" s="93">
        <v>1.0</v>
      </c>
      <c r="B54" s="93" t="s">
        <v>1406</v>
      </c>
      <c r="C54" s="93" t="s">
        <v>138</v>
      </c>
      <c r="D54" s="145">
        <v>-1.0</v>
      </c>
      <c r="E54" s="145">
        <f t="shared" si="8"/>
        <v>28.33333333</v>
      </c>
      <c r="F54" s="145">
        <f t="shared" si="9"/>
        <v>10</v>
      </c>
      <c r="G54" s="145">
        <f t="shared" si="10"/>
        <v>23.33333333</v>
      </c>
      <c r="H54" s="145">
        <f t="shared" si="11"/>
        <v>10</v>
      </c>
      <c r="I54" s="145">
        <f t="shared" si="12"/>
        <v>43.33333333</v>
      </c>
      <c r="J54" s="145">
        <f t="shared" si="13"/>
        <v>8</v>
      </c>
      <c r="K54" s="145">
        <f t="shared" si="14"/>
        <v>3.333333333</v>
      </c>
      <c r="L54" s="145">
        <f t="shared" si="15"/>
        <v>0</v>
      </c>
      <c r="M54" s="145">
        <f t="shared" si="16"/>
        <v>3.333333333</v>
      </c>
      <c r="N54" s="145">
        <f t="shared" si="17"/>
        <v>0</v>
      </c>
      <c r="O54" s="145">
        <f t="shared" si="18"/>
        <v>3.333333333</v>
      </c>
      <c r="P54" s="145">
        <f t="shared" si="19"/>
        <v>1</v>
      </c>
      <c r="Q54" s="145">
        <f t="shared" si="20"/>
        <v>10</v>
      </c>
      <c r="R54" s="145">
        <f t="shared" si="21"/>
        <v>10</v>
      </c>
      <c r="S54" s="145">
        <f t="shared" si="22"/>
        <v>9</v>
      </c>
      <c r="T54" s="93" t="s">
        <v>1651</v>
      </c>
      <c r="U54" s="93"/>
      <c r="V54" s="93"/>
      <c r="W54" s="93"/>
      <c r="X54" s="93"/>
    </row>
    <row r="55" ht="22.5" customHeight="1">
      <c r="A55" s="93">
        <v>2.0</v>
      </c>
      <c r="B55" s="93" t="s">
        <v>1264</v>
      </c>
      <c r="C55" s="93" t="s">
        <v>138</v>
      </c>
      <c r="D55" s="145">
        <v>1.0</v>
      </c>
      <c r="E55" s="145">
        <f t="shared" ref="E55:E64" si="23">IF(AND(ISNUMBER(G15),F$10="Valid"),ROUND(G15+D55*$F$11*(C15-(SUM(C15:F15)-C15)/3),10),"Unranked")</f>
        <v>44.58333333</v>
      </c>
      <c r="F55" s="145">
        <f t="shared" ref="F55:F64" si="24">IF(ISNUMBER(E55),1+COUNTIF($E$55:$E$64,"&gt;"&amp;E55)+(COUNTIF($E$55:$E$64,E55)-1)/2,"Unranked")</f>
        <v>9</v>
      </c>
      <c r="G55" s="145">
        <f t="shared" ref="G55:G64" si="25">IF(AND(ISNUMBER(I15),G$10="Valid"),ROUND(I15+D55*$F$11*(C15-(SUM(C15:F15)-C15)/3),10),"Unranked")</f>
        <v>50.83333333</v>
      </c>
      <c r="H55" s="145">
        <f t="shared" ref="H55:H64" si="26">IF(ISNUMBER(G55),1+COUNTIF($G$55:$G$64,"&gt;"&amp;G55)+(COUNTIF($G$55:$G$64,G55)-1)/2,"Unranked")</f>
        <v>9</v>
      </c>
      <c r="I55" s="145">
        <f t="shared" ref="I55:I64" si="27">IF(AND(ISNUMBER(K15),H$10="Valid"),ROUND(K15+D55*$F$11*(C15-(SUM(C15:F15)-C15)/3),10),"Unranked")</f>
        <v>37.08333333</v>
      </c>
      <c r="J55" s="145">
        <f t="shared" ref="J55:J64" si="28">IF(ISNUMBER(I55),1+COUNTIF($I$55:$I$64,"&gt;"&amp;I55)+(COUNTIF($I$55:$I$64,I55)-1)/2,"Unranked")</f>
        <v>9</v>
      </c>
      <c r="K55" s="145">
        <f t="shared" ref="K55:K64" si="29">IF(ISNUMBER(E55),E55-G15,"Unranked")</f>
        <v>0.8333333333</v>
      </c>
      <c r="L55" s="145">
        <f t="shared" ref="L55:L64" si="30">IF(ISNUMBER(F55),ABS(F55-H15),"Unranked")</f>
        <v>0</v>
      </c>
      <c r="M55" s="145">
        <f t="shared" ref="M55:M64" si="31">IF(ISNUMBER(G55),G55-I15,"Unranked")</f>
        <v>0.8333333333</v>
      </c>
      <c r="N55" s="145">
        <f t="shared" ref="N55:N64" si="32">IF(ISNUMBER(H55),ABS(H55-J15),"Unranked")</f>
        <v>1</v>
      </c>
      <c r="O55" s="145">
        <f t="shared" ref="O55:O64" si="33">IF(ISNUMBER(I55),I55-K15,"Unranked")</f>
        <v>0.8333333333</v>
      </c>
      <c r="P55" s="145">
        <f t="shared" ref="P55:P64" si="34">IF(ISNUMBER(J55),ABS(J55-L15),"Unranked")</f>
        <v>1</v>
      </c>
      <c r="Q55" s="145">
        <f t="shared" ref="Q55:Q64" si="35">H15</f>
        <v>9</v>
      </c>
      <c r="R55" s="145">
        <f t="shared" ref="R55:R64" si="36">J15</f>
        <v>8</v>
      </c>
      <c r="S55" s="145">
        <f t="shared" ref="S55:S64" si="37">L15</f>
        <v>10</v>
      </c>
      <c r="T55" s="93" t="s">
        <v>1651</v>
      </c>
      <c r="U55" s="93"/>
      <c r="V55" s="93"/>
      <c r="W55" s="93"/>
      <c r="X55" s="93"/>
    </row>
    <row r="56" ht="22.5" customHeight="1">
      <c r="A56" s="93">
        <v>2.0</v>
      </c>
      <c r="B56" s="93" t="s">
        <v>299</v>
      </c>
      <c r="C56" s="93" t="s">
        <v>138</v>
      </c>
      <c r="D56" s="145">
        <v>1.0</v>
      </c>
      <c r="E56" s="145">
        <f t="shared" si="23"/>
        <v>75.08333333</v>
      </c>
      <c r="F56" s="145">
        <f t="shared" si="24"/>
        <v>1</v>
      </c>
      <c r="G56" s="145">
        <f t="shared" si="25"/>
        <v>70.83333333</v>
      </c>
      <c r="H56" s="145">
        <f t="shared" si="26"/>
        <v>2</v>
      </c>
      <c r="I56" s="145">
        <f t="shared" si="27"/>
        <v>65.33333333</v>
      </c>
      <c r="J56" s="145">
        <f t="shared" si="28"/>
        <v>4</v>
      </c>
      <c r="K56" s="145">
        <f t="shared" si="29"/>
        <v>3.833333333</v>
      </c>
      <c r="L56" s="145">
        <f t="shared" si="30"/>
        <v>0</v>
      </c>
      <c r="M56" s="145">
        <f t="shared" si="31"/>
        <v>3.833333333</v>
      </c>
      <c r="N56" s="145">
        <f t="shared" si="32"/>
        <v>1</v>
      </c>
      <c r="O56" s="145">
        <f t="shared" si="33"/>
        <v>3.833333333</v>
      </c>
      <c r="P56" s="145">
        <f t="shared" si="34"/>
        <v>0</v>
      </c>
      <c r="Q56" s="145">
        <f t="shared" si="35"/>
        <v>1</v>
      </c>
      <c r="R56" s="145">
        <f t="shared" si="36"/>
        <v>3</v>
      </c>
      <c r="S56" s="145">
        <f t="shared" si="37"/>
        <v>4</v>
      </c>
      <c r="T56" s="93" t="s">
        <v>1651</v>
      </c>
      <c r="U56" s="93"/>
      <c r="V56" s="93"/>
      <c r="W56" s="93"/>
      <c r="X56" s="93"/>
    </row>
    <row r="57" ht="22.5" customHeight="1">
      <c r="A57" s="93">
        <v>2.0</v>
      </c>
      <c r="B57" s="93" t="s">
        <v>305</v>
      </c>
      <c r="C57" s="93" t="s">
        <v>138</v>
      </c>
      <c r="D57" s="145">
        <v>1.0</v>
      </c>
      <c r="E57" s="145">
        <f t="shared" si="23"/>
        <v>66.41666667</v>
      </c>
      <c r="F57" s="145">
        <f t="shared" si="24"/>
        <v>3</v>
      </c>
      <c r="G57" s="145">
        <f t="shared" si="25"/>
        <v>64.16666667</v>
      </c>
      <c r="H57" s="145">
        <f t="shared" si="26"/>
        <v>6</v>
      </c>
      <c r="I57" s="145">
        <f t="shared" si="27"/>
        <v>66.91666667</v>
      </c>
      <c r="J57" s="145">
        <f t="shared" si="28"/>
        <v>3</v>
      </c>
      <c r="K57" s="145">
        <f t="shared" si="29"/>
        <v>5.166666667</v>
      </c>
      <c r="L57" s="145">
        <f t="shared" si="30"/>
        <v>1</v>
      </c>
      <c r="M57" s="145">
        <f t="shared" si="31"/>
        <v>5.166666667</v>
      </c>
      <c r="N57" s="145">
        <f t="shared" si="32"/>
        <v>1</v>
      </c>
      <c r="O57" s="145">
        <f t="shared" si="33"/>
        <v>5.166666667</v>
      </c>
      <c r="P57" s="145">
        <f t="shared" si="34"/>
        <v>0</v>
      </c>
      <c r="Q57" s="145">
        <f t="shared" si="35"/>
        <v>4</v>
      </c>
      <c r="R57" s="145">
        <f t="shared" si="36"/>
        <v>5</v>
      </c>
      <c r="S57" s="145">
        <f t="shared" si="37"/>
        <v>3</v>
      </c>
      <c r="T57" s="93" t="s">
        <v>1651</v>
      </c>
      <c r="U57" s="93"/>
      <c r="V57" s="93"/>
      <c r="W57" s="93"/>
      <c r="X57" s="93"/>
    </row>
    <row r="58" ht="22.5" customHeight="1">
      <c r="A58" s="93">
        <v>2.0</v>
      </c>
      <c r="B58" s="93" t="s">
        <v>311</v>
      </c>
      <c r="C58" s="93" t="s">
        <v>138</v>
      </c>
      <c r="D58" s="145">
        <v>1.0</v>
      </c>
      <c r="E58" s="145">
        <f t="shared" si="23"/>
        <v>65.33333333</v>
      </c>
      <c r="F58" s="145">
        <f t="shared" si="24"/>
        <v>5</v>
      </c>
      <c r="G58" s="145">
        <f t="shared" si="25"/>
        <v>65.83333333</v>
      </c>
      <c r="H58" s="145">
        <f t="shared" si="26"/>
        <v>4</v>
      </c>
      <c r="I58" s="145">
        <f t="shared" si="27"/>
        <v>55.08333333</v>
      </c>
      <c r="J58" s="145">
        <f t="shared" si="28"/>
        <v>6</v>
      </c>
      <c r="K58" s="145">
        <f t="shared" si="29"/>
        <v>5.333333333</v>
      </c>
      <c r="L58" s="145">
        <f t="shared" si="30"/>
        <v>0</v>
      </c>
      <c r="M58" s="145">
        <f t="shared" si="31"/>
        <v>5.333333333</v>
      </c>
      <c r="N58" s="145">
        <f t="shared" si="32"/>
        <v>0</v>
      </c>
      <c r="O58" s="145">
        <f t="shared" si="33"/>
        <v>5.333333333</v>
      </c>
      <c r="P58" s="145">
        <f t="shared" si="34"/>
        <v>0</v>
      </c>
      <c r="Q58" s="145">
        <f t="shared" si="35"/>
        <v>5</v>
      </c>
      <c r="R58" s="145">
        <f t="shared" si="36"/>
        <v>4</v>
      </c>
      <c r="S58" s="145">
        <f t="shared" si="37"/>
        <v>6</v>
      </c>
      <c r="T58" s="93" t="s">
        <v>1651</v>
      </c>
      <c r="U58" s="93"/>
      <c r="V58" s="93"/>
      <c r="W58" s="93"/>
      <c r="X58" s="93"/>
    </row>
    <row r="59" ht="22.5" customHeight="1">
      <c r="A59" s="93">
        <v>2.0</v>
      </c>
      <c r="B59" s="93" t="s">
        <v>1391</v>
      </c>
      <c r="C59" s="93" t="s">
        <v>138</v>
      </c>
      <c r="D59" s="145">
        <v>1.0</v>
      </c>
      <c r="E59" s="145">
        <f t="shared" si="23"/>
        <v>66.25</v>
      </c>
      <c r="F59" s="145">
        <f t="shared" si="24"/>
        <v>4</v>
      </c>
      <c r="G59" s="145">
        <f t="shared" si="25"/>
        <v>67.5</v>
      </c>
      <c r="H59" s="145">
        <f t="shared" si="26"/>
        <v>3</v>
      </c>
      <c r="I59" s="145">
        <f t="shared" si="27"/>
        <v>73.75</v>
      </c>
      <c r="J59" s="145">
        <f t="shared" si="28"/>
        <v>1</v>
      </c>
      <c r="K59" s="145">
        <f t="shared" si="29"/>
        <v>-2.5</v>
      </c>
      <c r="L59" s="145">
        <f t="shared" si="30"/>
        <v>1.5</v>
      </c>
      <c r="M59" s="145">
        <f t="shared" si="31"/>
        <v>-2.5</v>
      </c>
      <c r="N59" s="145">
        <f t="shared" si="32"/>
        <v>2</v>
      </c>
      <c r="O59" s="145">
        <f t="shared" si="33"/>
        <v>-2.5</v>
      </c>
      <c r="P59" s="145">
        <f t="shared" si="34"/>
        <v>0</v>
      </c>
      <c r="Q59" s="145">
        <f t="shared" si="35"/>
        <v>2.5</v>
      </c>
      <c r="R59" s="145">
        <f t="shared" si="36"/>
        <v>1</v>
      </c>
      <c r="S59" s="145">
        <f t="shared" si="37"/>
        <v>1</v>
      </c>
      <c r="T59" s="93" t="s">
        <v>1651</v>
      </c>
      <c r="U59" s="93"/>
      <c r="V59" s="93"/>
      <c r="W59" s="93"/>
      <c r="X59" s="93"/>
    </row>
    <row r="60" ht="22.5" customHeight="1">
      <c r="A60" s="93">
        <v>2.0</v>
      </c>
      <c r="B60" s="93" t="s">
        <v>322</v>
      </c>
      <c r="C60" s="93" t="s">
        <v>138</v>
      </c>
      <c r="D60" s="145">
        <v>1.0</v>
      </c>
      <c r="E60" s="145">
        <f t="shared" si="23"/>
        <v>59.91666667</v>
      </c>
      <c r="F60" s="145">
        <f t="shared" si="24"/>
        <v>7</v>
      </c>
      <c r="G60" s="145">
        <f t="shared" si="25"/>
        <v>54.16666667</v>
      </c>
      <c r="H60" s="145">
        <f t="shared" si="26"/>
        <v>7.5</v>
      </c>
      <c r="I60" s="145">
        <f t="shared" si="27"/>
        <v>59.66666667</v>
      </c>
      <c r="J60" s="145">
        <f t="shared" si="28"/>
        <v>5</v>
      </c>
      <c r="K60" s="145">
        <f t="shared" si="29"/>
        <v>6.166666667</v>
      </c>
      <c r="L60" s="145">
        <f t="shared" si="30"/>
        <v>0</v>
      </c>
      <c r="M60" s="145">
        <f t="shared" si="31"/>
        <v>6.166666667</v>
      </c>
      <c r="N60" s="145">
        <f t="shared" si="32"/>
        <v>1.5</v>
      </c>
      <c r="O60" s="145">
        <f t="shared" si="33"/>
        <v>6.166666667</v>
      </c>
      <c r="P60" s="145">
        <f t="shared" si="34"/>
        <v>0</v>
      </c>
      <c r="Q60" s="145">
        <f t="shared" si="35"/>
        <v>7</v>
      </c>
      <c r="R60" s="145">
        <f t="shared" si="36"/>
        <v>9</v>
      </c>
      <c r="S60" s="145">
        <f t="shared" si="37"/>
        <v>5</v>
      </c>
      <c r="T60" s="93" t="s">
        <v>1651</v>
      </c>
      <c r="U60" s="93"/>
      <c r="V60" s="93"/>
      <c r="W60" s="93"/>
      <c r="X60" s="93"/>
    </row>
    <row r="61" ht="22.5" customHeight="1">
      <c r="A61" s="93">
        <v>2.0</v>
      </c>
      <c r="B61" s="93" t="s">
        <v>1437</v>
      </c>
      <c r="C61" s="93" t="s">
        <v>138</v>
      </c>
      <c r="D61" s="145">
        <v>1.0</v>
      </c>
      <c r="E61" s="145">
        <f t="shared" si="23"/>
        <v>60.45833333</v>
      </c>
      <c r="F61" s="145">
        <f t="shared" si="24"/>
        <v>6</v>
      </c>
      <c r="G61" s="145">
        <f t="shared" si="25"/>
        <v>64.58333333</v>
      </c>
      <c r="H61" s="145">
        <f t="shared" si="26"/>
        <v>5</v>
      </c>
      <c r="I61" s="145">
        <f t="shared" si="27"/>
        <v>53.08333333</v>
      </c>
      <c r="J61" s="145">
        <f t="shared" si="28"/>
        <v>7</v>
      </c>
      <c r="K61" s="145">
        <f t="shared" si="29"/>
        <v>6.083333333</v>
      </c>
      <c r="L61" s="145">
        <f t="shared" si="30"/>
        <v>0</v>
      </c>
      <c r="M61" s="145">
        <f t="shared" si="31"/>
        <v>6.083333333</v>
      </c>
      <c r="N61" s="145">
        <f t="shared" si="32"/>
        <v>1</v>
      </c>
      <c r="O61" s="145">
        <f t="shared" si="33"/>
        <v>6.083333333</v>
      </c>
      <c r="P61" s="145">
        <f t="shared" si="34"/>
        <v>0</v>
      </c>
      <c r="Q61" s="145">
        <f t="shared" si="35"/>
        <v>6</v>
      </c>
      <c r="R61" s="145">
        <f t="shared" si="36"/>
        <v>6</v>
      </c>
      <c r="S61" s="145">
        <f t="shared" si="37"/>
        <v>7</v>
      </c>
      <c r="T61" s="93" t="s">
        <v>1651</v>
      </c>
      <c r="U61" s="93"/>
      <c r="V61" s="93"/>
      <c r="W61" s="93"/>
      <c r="X61" s="93"/>
    </row>
    <row r="62" ht="22.5" customHeight="1">
      <c r="A62" s="93">
        <v>2.0</v>
      </c>
      <c r="B62" s="93" t="s">
        <v>334</v>
      </c>
      <c r="C62" s="93" t="s">
        <v>138</v>
      </c>
      <c r="D62" s="145">
        <v>1.0</v>
      </c>
      <c r="E62" s="145">
        <f t="shared" si="23"/>
        <v>72.91666667</v>
      </c>
      <c r="F62" s="145">
        <f t="shared" si="24"/>
        <v>2</v>
      </c>
      <c r="G62" s="145">
        <f t="shared" si="25"/>
        <v>71.66666667</v>
      </c>
      <c r="H62" s="145">
        <f t="shared" si="26"/>
        <v>1</v>
      </c>
      <c r="I62" s="145">
        <f t="shared" si="27"/>
        <v>67.91666667</v>
      </c>
      <c r="J62" s="145">
        <f t="shared" si="28"/>
        <v>2</v>
      </c>
      <c r="K62" s="145">
        <f t="shared" si="29"/>
        <v>4.166666667</v>
      </c>
      <c r="L62" s="145">
        <f t="shared" si="30"/>
        <v>0.5</v>
      </c>
      <c r="M62" s="145">
        <f t="shared" si="31"/>
        <v>4.166666667</v>
      </c>
      <c r="N62" s="145">
        <f t="shared" si="32"/>
        <v>1</v>
      </c>
      <c r="O62" s="145">
        <f t="shared" si="33"/>
        <v>4.166666667</v>
      </c>
      <c r="P62" s="145">
        <f t="shared" si="34"/>
        <v>0</v>
      </c>
      <c r="Q62" s="145">
        <f t="shared" si="35"/>
        <v>2.5</v>
      </c>
      <c r="R62" s="145">
        <f t="shared" si="36"/>
        <v>2</v>
      </c>
      <c r="S62" s="145">
        <f t="shared" si="37"/>
        <v>2</v>
      </c>
      <c r="T62" s="93" t="s">
        <v>1651</v>
      </c>
      <c r="U62" s="93"/>
      <c r="V62" s="93"/>
      <c r="W62" s="93"/>
      <c r="X62" s="93"/>
    </row>
    <row r="63" ht="22.5" customHeight="1">
      <c r="A63" s="93">
        <v>2.0</v>
      </c>
      <c r="B63" s="93" t="s">
        <v>340</v>
      </c>
      <c r="C63" s="93" t="s">
        <v>138</v>
      </c>
      <c r="D63" s="145">
        <v>1.0</v>
      </c>
      <c r="E63" s="145">
        <f t="shared" si="23"/>
        <v>48.91666667</v>
      </c>
      <c r="F63" s="145">
        <f t="shared" si="24"/>
        <v>8</v>
      </c>
      <c r="G63" s="145">
        <f t="shared" si="25"/>
        <v>54.16666667</v>
      </c>
      <c r="H63" s="145">
        <f t="shared" si="26"/>
        <v>7.5</v>
      </c>
      <c r="I63" s="145">
        <f t="shared" si="27"/>
        <v>44.41666667</v>
      </c>
      <c r="J63" s="145">
        <f t="shared" si="28"/>
        <v>8</v>
      </c>
      <c r="K63" s="145">
        <f t="shared" si="29"/>
        <v>0.1666666667</v>
      </c>
      <c r="L63" s="145">
        <f t="shared" si="30"/>
        <v>0</v>
      </c>
      <c r="M63" s="145">
        <f t="shared" si="31"/>
        <v>0.1666666667</v>
      </c>
      <c r="N63" s="145">
        <f t="shared" si="32"/>
        <v>0.5</v>
      </c>
      <c r="O63" s="145">
        <f t="shared" si="33"/>
        <v>0.1666666667</v>
      </c>
      <c r="P63" s="145">
        <f t="shared" si="34"/>
        <v>0</v>
      </c>
      <c r="Q63" s="145">
        <f t="shared" si="35"/>
        <v>8</v>
      </c>
      <c r="R63" s="145">
        <f t="shared" si="36"/>
        <v>7</v>
      </c>
      <c r="S63" s="145">
        <f t="shared" si="37"/>
        <v>8</v>
      </c>
      <c r="T63" s="93" t="s">
        <v>1651</v>
      </c>
      <c r="U63" s="93"/>
      <c r="V63" s="93"/>
      <c r="W63" s="93"/>
      <c r="X63" s="93"/>
    </row>
    <row r="64" ht="22.5" customHeight="1">
      <c r="A64" s="93">
        <v>2.0</v>
      </c>
      <c r="B64" s="93" t="s">
        <v>1406</v>
      </c>
      <c r="C64" s="93" t="s">
        <v>138</v>
      </c>
      <c r="D64" s="145">
        <v>1.0</v>
      </c>
      <c r="E64" s="145">
        <f t="shared" si="23"/>
        <v>21.66666667</v>
      </c>
      <c r="F64" s="145">
        <f t="shared" si="24"/>
        <v>10</v>
      </c>
      <c r="G64" s="145">
        <f t="shared" si="25"/>
        <v>16.66666667</v>
      </c>
      <c r="H64" s="145">
        <f t="shared" si="26"/>
        <v>10</v>
      </c>
      <c r="I64" s="145">
        <f t="shared" si="27"/>
        <v>36.66666667</v>
      </c>
      <c r="J64" s="145">
        <f t="shared" si="28"/>
        <v>10</v>
      </c>
      <c r="K64" s="145">
        <f t="shared" si="29"/>
        <v>-3.333333333</v>
      </c>
      <c r="L64" s="145">
        <f t="shared" si="30"/>
        <v>0</v>
      </c>
      <c r="M64" s="145">
        <f t="shared" si="31"/>
        <v>-3.333333333</v>
      </c>
      <c r="N64" s="145">
        <f t="shared" si="32"/>
        <v>0</v>
      </c>
      <c r="O64" s="145">
        <f t="shared" si="33"/>
        <v>-3.333333333</v>
      </c>
      <c r="P64" s="145">
        <f t="shared" si="34"/>
        <v>1</v>
      </c>
      <c r="Q64" s="145">
        <f t="shared" si="35"/>
        <v>10</v>
      </c>
      <c r="R64" s="145">
        <f t="shared" si="36"/>
        <v>10</v>
      </c>
      <c r="S64" s="145">
        <f t="shared" si="37"/>
        <v>9</v>
      </c>
      <c r="T64" s="93" t="s">
        <v>1651</v>
      </c>
      <c r="U64" s="93"/>
      <c r="V64" s="93"/>
      <c r="W64" s="93"/>
      <c r="X64" s="93"/>
    </row>
    <row r="65" ht="22.5" customHeight="1">
      <c r="A65" s="93">
        <v>3.0</v>
      </c>
      <c r="B65" s="93" t="s">
        <v>1264</v>
      </c>
      <c r="C65" s="93" t="s">
        <v>1561</v>
      </c>
      <c r="D65" s="145">
        <v>-1.0</v>
      </c>
      <c r="E65" s="145">
        <f t="shared" ref="E65:E74" si="38">IF(AND(ISNUMBER(G15),F$10="Valid"),ROUND(G15+D65*$F$11*(D15-(SUM(C15:F15)-D15)/3),10),"Unranked")</f>
        <v>49.58333333</v>
      </c>
      <c r="F65" s="145">
        <f t="shared" ref="F65:F74" si="39">IF(ISNUMBER(E65),1+COUNTIF($E$65:$E$74,"&gt;"&amp;E65)+(COUNTIF($E$65:$E$74,E65)-1)/2,"Unranked")</f>
        <v>9</v>
      </c>
      <c r="G65" s="145">
        <f t="shared" ref="G65:G74" si="40">IF(AND(ISNUMBER(I15),G$10="Valid"),ROUND(I15+D65*$F$11*(D15-(SUM(C15:F15)-D15)/3),10),"Unranked")</f>
        <v>55.83333333</v>
      </c>
      <c r="H65" s="145">
        <f t="shared" ref="H65:H74" si="41">IF(ISNUMBER(G65),1+COUNTIF($G$65:$G$74,"&gt;"&amp;G65)+(COUNTIF($G$65:$G$74,G65)-1)/2,"Unranked")</f>
        <v>8</v>
      </c>
      <c r="I65" s="145">
        <f t="shared" ref="I65:I74" si="42">IF(AND(ISNUMBER(K15),H$10="Valid"),ROUND(K15+D65*$F$11*(D15-(SUM(C15:F15)-D15)/3),10),"Unranked")</f>
        <v>42.08333333</v>
      </c>
      <c r="J65" s="145">
        <f t="shared" ref="J65:J74" si="43">IF(ISNUMBER(I65),1+COUNTIF($I$65:$I$74,"&gt;"&amp;I65)+(COUNTIF($I$65:$I$74,I65)-1)/2,"Unranked")</f>
        <v>9</v>
      </c>
      <c r="K65" s="145">
        <f t="shared" ref="K65:K74" si="44">IF(ISNUMBER(E65),E65-G15,"Unranked")</f>
        <v>5.833333333</v>
      </c>
      <c r="L65" s="145">
        <f t="shared" ref="L65:L74" si="45">IF(ISNUMBER(F65),ABS(F65-H15),"Unranked")</f>
        <v>0</v>
      </c>
      <c r="M65" s="145">
        <f t="shared" ref="M65:M74" si="46">IF(ISNUMBER(G65),G65-I15,"Unranked")</f>
        <v>5.833333333</v>
      </c>
      <c r="N65" s="145">
        <f t="shared" ref="N65:N74" si="47">IF(ISNUMBER(H65),ABS(H65-J15),"Unranked")</f>
        <v>0</v>
      </c>
      <c r="O65" s="145">
        <f t="shared" ref="O65:O74" si="48">IF(ISNUMBER(I65),I65-K15,"Unranked")</f>
        <v>5.833333333</v>
      </c>
      <c r="P65" s="145">
        <f t="shared" ref="P65:P74" si="49">IF(ISNUMBER(J65),ABS(J65-L15),"Unranked")</f>
        <v>1</v>
      </c>
      <c r="Q65" s="145">
        <f t="shared" ref="Q65:Q74" si="50">H15</f>
        <v>9</v>
      </c>
      <c r="R65" s="145">
        <f t="shared" ref="R65:R74" si="51">J15</f>
        <v>8</v>
      </c>
      <c r="S65" s="145">
        <f t="shared" ref="S65:S74" si="52">L15</f>
        <v>10</v>
      </c>
      <c r="T65" s="93" t="s">
        <v>1651</v>
      </c>
      <c r="U65" s="93"/>
      <c r="V65" s="93"/>
      <c r="W65" s="93"/>
      <c r="X65" s="93"/>
    </row>
    <row r="66" ht="22.5" customHeight="1">
      <c r="A66" s="93">
        <v>3.0</v>
      </c>
      <c r="B66" s="93" t="s">
        <v>299</v>
      </c>
      <c r="C66" s="93" t="s">
        <v>1561</v>
      </c>
      <c r="D66" s="145">
        <v>-1.0</v>
      </c>
      <c r="E66" s="145">
        <f t="shared" si="38"/>
        <v>76.08333333</v>
      </c>
      <c r="F66" s="145">
        <f t="shared" si="39"/>
        <v>1</v>
      </c>
      <c r="G66" s="145">
        <f t="shared" si="40"/>
        <v>71.83333333</v>
      </c>
      <c r="H66" s="145">
        <f t="shared" si="41"/>
        <v>1</v>
      </c>
      <c r="I66" s="145">
        <f t="shared" si="42"/>
        <v>66.33333333</v>
      </c>
      <c r="J66" s="145">
        <f t="shared" si="43"/>
        <v>2</v>
      </c>
      <c r="K66" s="145">
        <f t="shared" si="44"/>
        <v>4.833333333</v>
      </c>
      <c r="L66" s="145">
        <f t="shared" si="45"/>
        <v>0</v>
      </c>
      <c r="M66" s="145">
        <f t="shared" si="46"/>
        <v>4.833333333</v>
      </c>
      <c r="N66" s="145">
        <f t="shared" si="47"/>
        <v>2</v>
      </c>
      <c r="O66" s="145">
        <f t="shared" si="48"/>
        <v>4.833333333</v>
      </c>
      <c r="P66" s="145">
        <f t="shared" si="49"/>
        <v>2</v>
      </c>
      <c r="Q66" s="145">
        <f t="shared" si="50"/>
        <v>1</v>
      </c>
      <c r="R66" s="145">
        <f t="shared" si="51"/>
        <v>3</v>
      </c>
      <c r="S66" s="145">
        <f t="shared" si="52"/>
        <v>4</v>
      </c>
      <c r="T66" s="93" t="s">
        <v>1651</v>
      </c>
      <c r="U66" s="93"/>
      <c r="V66" s="93"/>
      <c r="W66" s="93"/>
      <c r="X66" s="93"/>
    </row>
    <row r="67" ht="22.5" customHeight="1">
      <c r="A67" s="93">
        <v>3.0</v>
      </c>
      <c r="B67" s="93" t="s">
        <v>305</v>
      </c>
      <c r="C67" s="93" t="s">
        <v>1561</v>
      </c>
      <c r="D67" s="145">
        <v>-1.0</v>
      </c>
      <c r="E67" s="145">
        <f t="shared" si="38"/>
        <v>60.08333333</v>
      </c>
      <c r="F67" s="145">
        <f t="shared" si="39"/>
        <v>5</v>
      </c>
      <c r="G67" s="145">
        <f t="shared" si="40"/>
        <v>57.83333333</v>
      </c>
      <c r="H67" s="145">
        <f t="shared" si="41"/>
        <v>6.5</v>
      </c>
      <c r="I67" s="145">
        <f t="shared" si="42"/>
        <v>60.58333333</v>
      </c>
      <c r="J67" s="145">
        <f t="shared" si="43"/>
        <v>4</v>
      </c>
      <c r="K67" s="145">
        <f t="shared" si="44"/>
        <v>-1.166666667</v>
      </c>
      <c r="L67" s="145">
        <f t="shared" si="45"/>
        <v>1</v>
      </c>
      <c r="M67" s="145">
        <f t="shared" si="46"/>
        <v>-1.166666667</v>
      </c>
      <c r="N67" s="145">
        <f t="shared" si="47"/>
        <v>1.5</v>
      </c>
      <c r="O67" s="145">
        <f t="shared" si="48"/>
        <v>-1.166666667</v>
      </c>
      <c r="P67" s="145">
        <f t="shared" si="49"/>
        <v>1</v>
      </c>
      <c r="Q67" s="145">
        <f t="shared" si="50"/>
        <v>4</v>
      </c>
      <c r="R67" s="145">
        <f t="shared" si="51"/>
        <v>5</v>
      </c>
      <c r="S67" s="145">
        <f t="shared" si="52"/>
        <v>3</v>
      </c>
      <c r="T67" s="93" t="s">
        <v>1651</v>
      </c>
      <c r="U67" s="93"/>
      <c r="V67" s="93"/>
      <c r="W67" s="93"/>
      <c r="X67" s="93"/>
    </row>
    <row r="68" ht="22.5" customHeight="1">
      <c r="A68" s="93">
        <v>3.0</v>
      </c>
      <c r="B68" s="93" t="s">
        <v>311</v>
      </c>
      <c r="C68" s="93" t="s">
        <v>1561</v>
      </c>
      <c r="D68" s="145">
        <v>-1.0</v>
      </c>
      <c r="E68" s="145">
        <f t="shared" si="38"/>
        <v>66</v>
      </c>
      <c r="F68" s="145">
        <f t="shared" si="39"/>
        <v>3</v>
      </c>
      <c r="G68" s="145">
        <f t="shared" si="40"/>
        <v>66.5</v>
      </c>
      <c r="H68" s="145">
        <f t="shared" si="41"/>
        <v>3</v>
      </c>
      <c r="I68" s="145">
        <f t="shared" si="42"/>
        <v>55.75</v>
      </c>
      <c r="J68" s="145">
        <f t="shared" si="43"/>
        <v>5</v>
      </c>
      <c r="K68" s="145">
        <f t="shared" si="44"/>
        <v>6</v>
      </c>
      <c r="L68" s="145">
        <f t="shared" si="45"/>
        <v>2</v>
      </c>
      <c r="M68" s="145">
        <f t="shared" si="46"/>
        <v>6</v>
      </c>
      <c r="N68" s="145">
        <f t="shared" si="47"/>
        <v>1</v>
      </c>
      <c r="O68" s="145">
        <f t="shared" si="48"/>
        <v>6</v>
      </c>
      <c r="P68" s="145">
        <f t="shared" si="49"/>
        <v>1</v>
      </c>
      <c r="Q68" s="145">
        <f t="shared" si="50"/>
        <v>5</v>
      </c>
      <c r="R68" s="145">
        <f t="shared" si="51"/>
        <v>4</v>
      </c>
      <c r="S68" s="145">
        <f t="shared" si="52"/>
        <v>6</v>
      </c>
      <c r="T68" s="93" t="s">
        <v>1651</v>
      </c>
      <c r="U68" s="93"/>
      <c r="V68" s="93"/>
      <c r="W68" s="93"/>
      <c r="X68" s="93"/>
    </row>
    <row r="69" ht="22.5" customHeight="1">
      <c r="A69" s="93">
        <v>3.0</v>
      </c>
      <c r="B69" s="93" t="s">
        <v>1391</v>
      </c>
      <c r="C69" s="93" t="s">
        <v>1561</v>
      </c>
      <c r="D69" s="145">
        <v>-1.0</v>
      </c>
      <c r="E69" s="145">
        <f t="shared" si="38"/>
        <v>64.58333333</v>
      </c>
      <c r="F69" s="145">
        <f t="shared" si="39"/>
        <v>4</v>
      </c>
      <c r="G69" s="145">
        <f t="shared" si="40"/>
        <v>65.83333333</v>
      </c>
      <c r="H69" s="145">
        <f t="shared" si="41"/>
        <v>4</v>
      </c>
      <c r="I69" s="145">
        <f t="shared" si="42"/>
        <v>72.08333333</v>
      </c>
      <c r="J69" s="145">
        <f t="shared" si="43"/>
        <v>1</v>
      </c>
      <c r="K69" s="145">
        <f t="shared" si="44"/>
        <v>-4.166666667</v>
      </c>
      <c r="L69" s="145">
        <f t="shared" si="45"/>
        <v>1.5</v>
      </c>
      <c r="M69" s="145">
        <f t="shared" si="46"/>
        <v>-4.166666667</v>
      </c>
      <c r="N69" s="145">
        <f t="shared" si="47"/>
        <v>3</v>
      </c>
      <c r="O69" s="145">
        <f t="shared" si="48"/>
        <v>-4.166666667</v>
      </c>
      <c r="P69" s="145">
        <f t="shared" si="49"/>
        <v>0</v>
      </c>
      <c r="Q69" s="145">
        <f t="shared" si="50"/>
        <v>2.5</v>
      </c>
      <c r="R69" s="145">
        <f t="shared" si="51"/>
        <v>1</v>
      </c>
      <c r="S69" s="145">
        <f t="shared" si="52"/>
        <v>1</v>
      </c>
      <c r="T69" s="93" t="s">
        <v>1651</v>
      </c>
      <c r="U69" s="93"/>
      <c r="V69" s="93"/>
      <c r="W69" s="93"/>
      <c r="X69" s="93"/>
    </row>
    <row r="70" ht="22.5" customHeight="1">
      <c r="A70" s="93">
        <v>3.0</v>
      </c>
      <c r="B70" s="93" t="s">
        <v>322</v>
      </c>
      <c r="C70" s="93" t="s">
        <v>1561</v>
      </c>
      <c r="D70" s="145">
        <v>-1.0</v>
      </c>
      <c r="E70" s="145">
        <f t="shared" si="38"/>
        <v>52.25</v>
      </c>
      <c r="F70" s="145">
        <f t="shared" si="39"/>
        <v>8</v>
      </c>
      <c r="G70" s="145">
        <f t="shared" si="40"/>
        <v>46.5</v>
      </c>
      <c r="H70" s="145">
        <f t="shared" si="41"/>
        <v>9</v>
      </c>
      <c r="I70" s="145">
        <f t="shared" si="42"/>
        <v>52</v>
      </c>
      <c r="J70" s="145">
        <f t="shared" si="43"/>
        <v>6</v>
      </c>
      <c r="K70" s="145">
        <f t="shared" si="44"/>
        <v>-1.5</v>
      </c>
      <c r="L70" s="145">
        <f t="shared" si="45"/>
        <v>1</v>
      </c>
      <c r="M70" s="145">
        <f t="shared" si="46"/>
        <v>-1.5</v>
      </c>
      <c r="N70" s="145">
        <f t="shared" si="47"/>
        <v>0</v>
      </c>
      <c r="O70" s="145">
        <f t="shared" si="48"/>
        <v>-1.5</v>
      </c>
      <c r="P70" s="145">
        <f t="shared" si="49"/>
        <v>1</v>
      </c>
      <c r="Q70" s="145">
        <f t="shared" si="50"/>
        <v>7</v>
      </c>
      <c r="R70" s="145">
        <f t="shared" si="51"/>
        <v>9</v>
      </c>
      <c r="S70" s="145">
        <f t="shared" si="52"/>
        <v>5</v>
      </c>
      <c r="T70" s="93" t="s">
        <v>1651</v>
      </c>
      <c r="U70" s="93"/>
      <c r="V70" s="93"/>
      <c r="W70" s="93"/>
      <c r="X70" s="93"/>
    </row>
    <row r="71" ht="22.5" customHeight="1">
      <c r="A71" s="93">
        <v>3.0</v>
      </c>
      <c r="B71" s="93" t="s">
        <v>1437</v>
      </c>
      <c r="C71" s="93" t="s">
        <v>1561</v>
      </c>
      <c r="D71" s="145">
        <v>-1.0</v>
      </c>
      <c r="E71" s="145">
        <f t="shared" si="38"/>
        <v>59.29166667</v>
      </c>
      <c r="F71" s="145">
        <f t="shared" si="39"/>
        <v>6</v>
      </c>
      <c r="G71" s="145">
        <f t="shared" si="40"/>
        <v>63.41666667</v>
      </c>
      <c r="H71" s="145">
        <f t="shared" si="41"/>
        <v>5</v>
      </c>
      <c r="I71" s="145">
        <f t="shared" si="42"/>
        <v>51.91666667</v>
      </c>
      <c r="J71" s="145">
        <f t="shared" si="43"/>
        <v>7</v>
      </c>
      <c r="K71" s="145">
        <f t="shared" si="44"/>
        <v>4.916666667</v>
      </c>
      <c r="L71" s="145">
        <f t="shared" si="45"/>
        <v>0</v>
      </c>
      <c r="M71" s="145">
        <f t="shared" si="46"/>
        <v>4.916666667</v>
      </c>
      <c r="N71" s="145">
        <f t="shared" si="47"/>
        <v>1</v>
      </c>
      <c r="O71" s="145">
        <f t="shared" si="48"/>
        <v>4.916666667</v>
      </c>
      <c r="P71" s="145">
        <f t="shared" si="49"/>
        <v>0</v>
      </c>
      <c r="Q71" s="145">
        <f t="shared" si="50"/>
        <v>6</v>
      </c>
      <c r="R71" s="145">
        <f t="shared" si="51"/>
        <v>6</v>
      </c>
      <c r="S71" s="145">
        <f t="shared" si="52"/>
        <v>7</v>
      </c>
      <c r="T71" s="93" t="s">
        <v>1651</v>
      </c>
      <c r="U71" s="93"/>
      <c r="V71" s="93"/>
      <c r="W71" s="93"/>
      <c r="X71" s="93"/>
    </row>
    <row r="72" ht="22.5" customHeight="1">
      <c r="A72" s="93">
        <v>3.0</v>
      </c>
      <c r="B72" s="93" t="s">
        <v>334</v>
      </c>
      <c r="C72" s="93" t="s">
        <v>1561</v>
      </c>
      <c r="D72" s="145">
        <v>-1.0</v>
      </c>
      <c r="E72" s="145">
        <f t="shared" si="38"/>
        <v>71.25</v>
      </c>
      <c r="F72" s="145">
        <f t="shared" si="39"/>
        <v>2</v>
      </c>
      <c r="G72" s="145">
        <f t="shared" si="40"/>
        <v>70</v>
      </c>
      <c r="H72" s="145">
        <f t="shared" si="41"/>
        <v>2</v>
      </c>
      <c r="I72" s="145">
        <f t="shared" si="42"/>
        <v>66.25</v>
      </c>
      <c r="J72" s="145">
        <f t="shared" si="43"/>
        <v>3</v>
      </c>
      <c r="K72" s="145">
        <f t="shared" si="44"/>
        <v>2.5</v>
      </c>
      <c r="L72" s="145">
        <f t="shared" si="45"/>
        <v>0.5</v>
      </c>
      <c r="M72" s="145">
        <f t="shared" si="46"/>
        <v>2.5</v>
      </c>
      <c r="N72" s="145">
        <f t="shared" si="47"/>
        <v>0</v>
      </c>
      <c r="O72" s="145">
        <f t="shared" si="48"/>
        <v>2.5</v>
      </c>
      <c r="P72" s="145">
        <f t="shared" si="49"/>
        <v>1</v>
      </c>
      <c r="Q72" s="145">
        <f t="shared" si="50"/>
        <v>2.5</v>
      </c>
      <c r="R72" s="145">
        <f t="shared" si="51"/>
        <v>2</v>
      </c>
      <c r="S72" s="145">
        <f t="shared" si="52"/>
        <v>2</v>
      </c>
      <c r="T72" s="93" t="s">
        <v>1651</v>
      </c>
      <c r="U72" s="93"/>
      <c r="V72" s="93"/>
      <c r="W72" s="93"/>
      <c r="X72" s="93"/>
    </row>
    <row r="73" ht="22.5" customHeight="1">
      <c r="A73" s="93">
        <v>3.0</v>
      </c>
      <c r="B73" s="93" t="s">
        <v>340</v>
      </c>
      <c r="C73" s="93" t="s">
        <v>1561</v>
      </c>
      <c r="D73" s="145">
        <v>-1.0</v>
      </c>
      <c r="E73" s="145">
        <f t="shared" si="38"/>
        <v>52.58333333</v>
      </c>
      <c r="F73" s="145">
        <f t="shared" si="39"/>
        <v>7</v>
      </c>
      <c r="G73" s="145">
        <f t="shared" si="40"/>
        <v>57.83333333</v>
      </c>
      <c r="H73" s="145">
        <f t="shared" si="41"/>
        <v>6.5</v>
      </c>
      <c r="I73" s="145">
        <f t="shared" si="42"/>
        <v>48.08333333</v>
      </c>
      <c r="J73" s="145">
        <f t="shared" si="43"/>
        <v>8</v>
      </c>
      <c r="K73" s="145">
        <f t="shared" si="44"/>
        <v>3.833333333</v>
      </c>
      <c r="L73" s="145">
        <f t="shared" si="45"/>
        <v>1</v>
      </c>
      <c r="M73" s="145">
        <f t="shared" si="46"/>
        <v>3.833333333</v>
      </c>
      <c r="N73" s="145">
        <f t="shared" si="47"/>
        <v>0.5</v>
      </c>
      <c r="O73" s="145">
        <f t="shared" si="48"/>
        <v>3.833333333</v>
      </c>
      <c r="P73" s="145">
        <f t="shared" si="49"/>
        <v>0</v>
      </c>
      <c r="Q73" s="145">
        <f t="shared" si="50"/>
        <v>8</v>
      </c>
      <c r="R73" s="145">
        <f t="shared" si="51"/>
        <v>7</v>
      </c>
      <c r="S73" s="145">
        <f t="shared" si="52"/>
        <v>8</v>
      </c>
      <c r="T73" s="93" t="s">
        <v>1651</v>
      </c>
      <c r="U73" s="93"/>
      <c r="V73" s="93"/>
      <c r="W73" s="93"/>
      <c r="X73" s="93"/>
    </row>
    <row r="74" ht="22.5" customHeight="1">
      <c r="A74" s="93">
        <v>3.0</v>
      </c>
      <c r="B74" s="93" t="s">
        <v>1406</v>
      </c>
      <c r="C74" s="93" t="s">
        <v>1561</v>
      </c>
      <c r="D74" s="145">
        <v>-1.0</v>
      </c>
      <c r="E74" s="145">
        <f t="shared" si="38"/>
        <v>15</v>
      </c>
      <c r="F74" s="145">
        <f t="shared" si="39"/>
        <v>10</v>
      </c>
      <c r="G74" s="145">
        <f t="shared" si="40"/>
        <v>10</v>
      </c>
      <c r="H74" s="145">
        <f t="shared" si="41"/>
        <v>10</v>
      </c>
      <c r="I74" s="145">
        <f t="shared" si="42"/>
        <v>30</v>
      </c>
      <c r="J74" s="145">
        <f t="shared" si="43"/>
        <v>10</v>
      </c>
      <c r="K74" s="145">
        <f t="shared" si="44"/>
        <v>-10</v>
      </c>
      <c r="L74" s="145">
        <f t="shared" si="45"/>
        <v>0</v>
      </c>
      <c r="M74" s="145">
        <f t="shared" si="46"/>
        <v>-10</v>
      </c>
      <c r="N74" s="145">
        <f t="shared" si="47"/>
        <v>0</v>
      </c>
      <c r="O74" s="145">
        <f t="shared" si="48"/>
        <v>-10</v>
      </c>
      <c r="P74" s="145">
        <f t="shared" si="49"/>
        <v>1</v>
      </c>
      <c r="Q74" s="145">
        <f t="shared" si="50"/>
        <v>10</v>
      </c>
      <c r="R74" s="145">
        <f t="shared" si="51"/>
        <v>10</v>
      </c>
      <c r="S74" s="145">
        <f t="shared" si="52"/>
        <v>9</v>
      </c>
      <c r="T74" s="93" t="s">
        <v>1651</v>
      </c>
      <c r="U74" s="93"/>
      <c r="V74" s="93"/>
      <c r="W74" s="93"/>
      <c r="X74" s="93"/>
    </row>
    <row r="75" ht="22.5" customHeight="1">
      <c r="A75" s="93">
        <v>4.0</v>
      </c>
      <c r="B75" s="93" t="s">
        <v>1264</v>
      </c>
      <c r="C75" s="93" t="s">
        <v>1561</v>
      </c>
      <c r="D75" s="145">
        <v>1.0</v>
      </c>
      <c r="E75" s="145">
        <f t="shared" ref="E75:E84" si="53">IF(AND(ISNUMBER(G15),F$10="Valid"),ROUND(G15+D75*$F$11*(D15-(SUM(C15:F15)-D15)/3),10),"Unranked")</f>
        <v>37.91666667</v>
      </c>
      <c r="F75" s="145">
        <f t="shared" ref="F75:F84" si="54">IF(ISNUMBER(E75),1+COUNTIF($E$75:$E$84,"&gt;"&amp;E75)+(COUNTIF($E$75:$E$84,E75)-1)/2,"Unranked")</f>
        <v>9</v>
      </c>
      <c r="G75" s="145">
        <f t="shared" ref="G75:G84" si="55">IF(AND(ISNUMBER(I15),G$10="Valid"),ROUND(I15+D75*$F$11*(D15-(SUM(C15:F15)-D15)/3),10),"Unranked")</f>
        <v>44.16666667</v>
      </c>
      <c r="H75" s="145">
        <f t="shared" ref="H75:H84" si="56">IF(ISNUMBER(G75),1+COUNTIF($G$75:$G$84,"&gt;"&amp;G75)+(COUNTIF($G$75:$G$84,G75)-1)/2,"Unranked")</f>
        <v>9</v>
      </c>
      <c r="I75" s="145">
        <f t="shared" ref="I75:I84" si="57">IF(AND(ISNUMBER(K15),H$10="Valid"),ROUND(K15+D75*$F$11*(D15-(SUM(C15:F15)-D15)/3),10),"Unranked")</f>
        <v>30.41666667</v>
      </c>
      <c r="J75" s="145">
        <f t="shared" ref="J75:J84" si="58">IF(ISNUMBER(I75),1+COUNTIF($I$75:$I$84,"&gt;"&amp;I75)+(COUNTIF($I$75:$I$84,I75)-1)/2,"Unranked")</f>
        <v>10</v>
      </c>
      <c r="K75" s="145">
        <f t="shared" ref="K75:K84" si="59">IF(ISNUMBER(E75),E75-G15,"Unranked")</f>
        <v>-5.833333333</v>
      </c>
      <c r="L75" s="145">
        <f t="shared" ref="L75:L84" si="60">IF(ISNUMBER(F75),ABS(F75-H15),"Unranked")</f>
        <v>0</v>
      </c>
      <c r="M75" s="145">
        <f t="shared" ref="M75:M84" si="61">IF(ISNUMBER(G75),G75-I15,"Unranked")</f>
        <v>-5.833333333</v>
      </c>
      <c r="N75" s="145">
        <f t="shared" ref="N75:N84" si="62">IF(ISNUMBER(H75),ABS(H75-J15),"Unranked")</f>
        <v>1</v>
      </c>
      <c r="O75" s="145">
        <f t="shared" ref="O75:O84" si="63">IF(ISNUMBER(I75),I75-K15,"Unranked")</f>
        <v>-5.833333333</v>
      </c>
      <c r="P75" s="145">
        <f t="shared" ref="P75:P84" si="64">IF(ISNUMBER(J75),ABS(J75-L15),"Unranked")</f>
        <v>0</v>
      </c>
      <c r="Q75" s="145">
        <f t="shared" ref="Q75:Q84" si="65">H15</f>
        <v>9</v>
      </c>
      <c r="R75" s="145">
        <f t="shared" ref="R75:R84" si="66">J15</f>
        <v>8</v>
      </c>
      <c r="S75" s="145">
        <f t="shared" ref="S75:S84" si="67">L15</f>
        <v>10</v>
      </c>
      <c r="T75" s="93" t="s">
        <v>1651</v>
      </c>
      <c r="U75" s="93"/>
      <c r="V75" s="93"/>
      <c r="W75" s="93"/>
      <c r="X75" s="93"/>
    </row>
    <row r="76" ht="22.5" customHeight="1">
      <c r="A76" s="93">
        <v>4.0</v>
      </c>
      <c r="B76" s="93" t="s">
        <v>299</v>
      </c>
      <c r="C76" s="93" t="s">
        <v>1561</v>
      </c>
      <c r="D76" s="145">
        <v>1.0</v>
      </c>
      <c r="E76" s="145">
        <f t="shared" si="53"/>
        <v>66.41666667</v>
      </c>
      <c r="F76" s="145">
        <f t="shared" si="54"/>
        <v>2</v>
      </c>
      <c r="G76" s="145">
        <f t="shared" si="55"/>
        <v>62.16666667</v>
      </c>
      <c r="H76" s="145">
        <f t="shared" si="56"/>
        <v>3</v>
      </c>
      <c r="I76" s="145">
        <f t="shared" si="57"/>
        <v>56.66666667</v>
      </c>
      <c r="J76" s="145">
        <f t="shared" si="58"/>
        <v>4</v>
      </c>
      <c r="K76" s="145">
        <f t="shared" si="59"/>
        <v>-4.833333333</v>
      </c>
      <c r="L76" s="145">
        <f t="shared" si="60"/>
        <v>1</v>
      </c>
      <c r="M76" s="145">
        <f t="shared" si="61"/>
        <v>-4.833333333</v>
      </c>
      <c r="N76" s="145">
        <f t="shared" si="62"/>
        <v>0</v>
      </c>
      <c r="O76" s="145">
        <f t="shared" si="63"/>
        <v>-4.833333333</v>
      </c>
      <c r="P76" s="145">
        <f t="shared" si="64"/>
        <v>0</v>
      </c>
      <c r="Q76" s="145">
        <f t="shared" si="65"/>
        <v>1</v>
      </c>
      <c r="R76" s="145">
        <f t="shared" si="66"/>
        <v>3</v>
      </c>
      <c r="S76" s="145">
        <f t="shared" si="67"/>
        <v>4</v>
      </c>
      <c r="T76" s="93" t="s">
        <v>1651</v>
      </c>
      <c r="U76" s="93"/>
      <c r="V76" s="93"/>
      <c r="W76" s="93"/>
      <c r="X76" s="93"/>
    </row>
    <row r="77" ht="22.5" customHeight="1">
      <c r="A77" s="93">
        <v>4.0</v>
      </c>
      <c r="B77" s="93" t="s">
        <v>305</v>
      </c>
      <c r="C77" s="93" t="s">
        <v>1561</v>
      </c>
      <c r="D77" s="145">
        <v>1.0</v>
      </c>
      <c r="E77" s="145">
        <f t="shared" si="53"/>
        <v>62.41666667</v>
      </c>
      <c r="F77" s="145">
        <f t="shared" si="54"/>
        <v>4</v>
      </c>
      <c r="G77" s="145">
        <f t="shared" si="55"/>
        <v>60.16666667</v>
      </c>
      <c r="H77" s="145">
        <f t="shared" si="56"/>
        <v>4</v>
      </c>
      <c r="I77" s="145">
        <f t="shared" si="57"/>
        <v>62.91666667</v>
      </c>
      <c r="J77" s="145">
        <f t="shared" si="58"/>
        <v>2</v>
      </c>
      <c r="K77" s="145">
        <f t="shared" si="59"/>
        <v>1.166666667</v>
      </c>
      <c r="L77" s="145">
        <f t="shared" si="60"/>
        <v>0</v>
      </c>
      <c r="M77" s="145">
        <f t="shared" si="61"/>
        <v>1.166666667</v>
      </c>
      <c r="N77" s="145">
        <f t="shared" si="62"/>
        <v>1</v>
      </c>
      <c r="O77" s="145">
        <f t="shared" si="63"/>
        <v>1.166666667</v>
      </c>
      <c r="P77" s="145">
        <f t="shared" si="64"/>
        <v>1</v>
      </c>
      <c r="Q77" s="145">
        <f t="shared" si="65"/>
        <v>4</v>
      </c>
      <c r="R77" s="145">
        <f t="shared" si="66"/>
        <v>5</v>
      </c>
      <c r="S77" s="145">
        <f t="shared" si="67"/>
        <v>3</v>
      </c>
      <c r="T77" s="93" t="s">
        <v>1651</v>
      </c>
      <c r="U77" s="93"/>
      <c r="V77" s="93"/>
      <c r="W77" s="93"/>
      <c r="X77" s="93"/>
    </row>
    <row r="78" ht="22.5" customHeight="1">
      <c r="A78" s="93">
        <v>4.0</v>
      </c>
      <c r="B78" s="93" t="s">
        <v>311</v>
      </c>
      <c r="C78" s="93" t="s">
        <v>1561</v>
      </c>
      <c r="D78" s="145">
        <v>1.0</v>
      </c>
      <c r="E78" s="145">
        <f t="shared" si="53"/>
        <v>54</v>
      </c>
      <c r="F78" s="145">
        <f t="shared" si="54"/>
        <v>6</v>
      </c>
      <c r="G78" s="145">
        <f t="shared" si="55"/>
        <v>54.5</v>
      </c>
      <c r="H78" s="145">
        <f t="shared" si="56"/>
        <v>5</v>
      </c>
      <c r="I78" s="145">
        <f t="shared" si="57"/>
        <v>43.75</v>
      </c>
      <c r="J78" s="145">
        <f t="shared" si="58"/>
        <v>7</v>
      </c>
      <c r="K78" s="145">
        <f t="shared" si="59"/>
        <v>-6</v>
      </c>
      <c r="L78" s="145">
        <f t="shared" si="60"/>
        <v>1</v>
      </c>
      <c r="M78" s="145">
        <f t="shared" si="61"/>
        <v>-6</v>
      </c>
      <c r="N78" s="145">
        <f t="shared" si="62"/>
        <v>1</v>
      </c>
      <c r="O78" s="145">
        <f t="shared" si="63"/>
        <v>-6</v>
      </c>
      <c r="P78" s="145">
        <f t="shared" si="64"/>
        <v>1</v>
      </c>
      <c r="Q78" s="145">
        <f t="shared" si="65"/>
        <v>5</v>
      </c>
      <c r="R78" s="145">
        <f t="shared" si="66"/>
        <v>4</v>
      </c>
      <c r="S78" s="145">
        <f t="shared" si="67"/>
        <v>6</v>
      </c>
      <c r="T78" s="93" t="s">
        <v>1651</v>
      </c>
      <c r="U78" s="93"/>
      <c r="V78" s="93"/>
      <c r="W78" s="93"/>
      <c r="X78" s="93"/>
    </row>
    <row r="79" ht="22.5" customHeight="1">
      <c r="A79" s="93">
        <v>4.0</v>
      </c>
      <c r="B79" s="93" t="s">
        <v>1391</v>
      </c>
      <c r="C79" s="93" t="s">
        <v>1561</v>
      </c>
      <c r="D79" s="145">
        <v>1.0</v>
      </c>
      <c r="E79" s="145">
        <f t="shared" si="53"/>
        <v>72.91666667</v>
      </c>
      <c r="F79" s="145">
        <f t="shared" si="54"/>
        <v>1</v>
      </c>
      <c r="G79" s="145">
        <f t="shared" si="55"/>
        <v>74.16666667</v>
      </c>
      <c r="H79" s="145">
        <f t="shared" si="56"/>
        <v>1</v>
      </c>
      <c r="I79" s="145">
        <f t="shared" si="57"/>
        <v>80.41666667</v>
      </c>
      <c r="J79" s="145">
        <f t="shared" si="58"/>
        <v>1</v>
      </c>
      <c r="K79" s="145">
        <f t="shared" si="59"/>
        <v>4.166666667</v>
      </c>
      <c r="L79" s="145">
        <f t="shared" si="60"/>
        <v>1.5</v>
      </c>
      <c r="M79" s="145">
        <f t="shared" si="61"/>
        <v>4.166666667</v>
      </c>
      <c r="N79" s="145">
        <f t="shared" si="62"/>
        <v>0</v>
      </c>
      <c r="O79" s="145">
        <f t="shared" si="63"/>
        <v>4.166666667</v>
      </c>
      <c r="P79" s="145">
        <f t="shared" si="64"/>
        <v>0</v>
      </c>
      <c r="Q79" s="145">
        <f t="shared" si="65"/>
        <v>2.5</v>
      </c>
      <c r="R79" s="145">
        <f t="shared" si="66"/>
        <v>1</v>
      </c>
      <c r="S79" s="145">
        <f t="shared" si="67"/>
        <v>1</v>
      </c>
      <c r="T79" s="93" t="s">
        <v>1651</v>
      </c>
      <c r="U79" s="93"/>
      <c r="V79" s="93"/>
      <c r="W79" s="93"/>
      <c r="X79" s="93"/>
    </row>
    <row r="80" ht="22.5" customHeight="1">
      <c r="A80" s="93">
        <v>4.0</v>
      </c>
      <c r="B80" s="93" t="s">
        <v>322</v>
      </c>
      <c r="C80" s="93" t="s">
        <v>1561</v>
      </c>
      <c r="D80" s="145">
        <v>1.0</v>
      </c>
      <c r="E80" s="145">
        <f t="shared" si="53"/>
        <v>55.25</v>
      </c>
      <c r="F80" s="145">
        <f t="shared" si="54"/>
        <v>5</v>
      </c>
      <c r="G80" s="145">
        <f t="shared" si="55"/>
        <v>49.5</v>
      </c>
      <c r="H80" s="145">
        <f t="shared" si="56"/>
        <v>8</v>
      </c>
      <c r="I80" s="145">
        <f t="shared" si="57"/>
        <v>55</v>
      </c>
      <c r="J80" s="145">
        <f t="shared" si="58"/>
        <v>5</v>
      </c>
      <c r="K80" s="145">
        <f t="shared" si="59"/>
        <v>1.5</v>
      </c>
      <c r="L80" s="145">
        <f t="shared" si="60"/>
        <v>2</v>
      </c>
      <c r="M80" s="145">
        <f t="shared" si="61"/>
        <v>1.5</v>
      </c>
      <c r="N80" s="145">
        <f t="shared" si="62"/>
        <v>1</v>
      </c>
      <c r="O80" s="145">
        <f t="shared" si="63"/>
        <v>1.5</v>
      </c>
      <c r="P80" s="145">
        <f t="shared" si="64"/>
        <v>0</v>
      </c>
      <c r="Q80" s="145">
        <f t="shared" si="65"/>
        <v>7</v>
      </c>
      <c r="R80" s="145">
        <f t="shared" si="66"/>
        <v>9</v>
      </c>
      <c r="S80" s="145">
        <f t="shared" si="67"/>
        <v>5</v>
      </c>
      <c r="T80" s="93" t="s">
        <v>1651</v>
      </c>
      <c r="U80" s="93"/>
      <c r="V80" s="93"/>
      <c r="W80" s="93"/>
      <c r="X80" s="93"/>
    </row>
    <row r="81" ht="22.5" customHeight="1">
      <c r="A81" s="93">
        <v>4.0</v>
      </c>
      <c r="B81" s="93" t="s">
        <v>1437</v>
      </c>
      <c r="C81" s="93" t="s">
        <v>1561</v>
      </c>
      <c r="D81" s="145">
        <v>1.0</v>
      </c>
      <c r="E81" s="145">
        <f t="shared" si="53"/>
        <v>49.45833333</v>
      </c>
      <c r="F81" s="145">
        <f t="shared" si="54"/>
        <v>7</v>
      </c>
      <c r="G81" s="145">
        <f t="shared" si="55"/>
        <v>53.58333333</v>
      </c>
      <c r="H81" s="145">
        <f t="shared" si="56"/>
        <v>6</v>
      </c>
      <c r="I81" s="145">
        <f t="shared" si="57"/>
        <v>42.08333333</v>
      </c>
      <c r="J81" s="145">
        <f t="shared" si="58"/>
        <v>8</v>
      </c>
      <c r="K81" s="145">
        <f t="shared" si="59"/>
        <v>-4.916666667</v>
      </c>
      <c r="L81" s="145">
        <f t="shared" si="60"/>
        <v>1</v>
      </c>
      <c r="M81" s="145">
        <f t="shared" si="61"/>
        <v>-4.916666667</v>
      </c>
      <c r="N81" s="145">
        <f t="shared" si="62"/>
        <v>0</v>
      </c>
      <c r="O81" s="145">
        <f t="shared" si="63"/>
        <v>-4.916666667</v>
      </c>
      <c r="P81" s="145">
        <f t="shared" si="64"/>
        <v>1</v>
      </c>
      <c r="Q81" s="145">
        <f t="shared" si="65"/>
        <v>6</v>
      </c>
      <c r="R81" s="145">
        <f t="shared" si="66"/>
        <v>6</v>
      </c>
      <c r="S81" s="145">
        <f t="shared" si="67"/>
        <v>7</v>
      </c>
      <c r="T81" s="93" t="s">
        <v>1651</v>
      </c>
      <c r="U81" s="93"/>
      <c r="V81" s="93"/>
      <c r="W81" s="93"/>
      <c r="X81" s="93"/>
    </row>
    <row r="82" ht="22.5" customHeight="1">
      <c r="A82" s="93">
        <v>4.0</v>
      </c>
      <c r="B82" s="93" t="s">
        <v>334</v>
      </c>
      <c r="C82" s="93" t="s">
        <v>1561</v>
      </c>
      <c r="D82" s="145">
        <v>1.0</v>
      </c>
      <c r="E82" s="145">
        <f t="shared" si="53"/>
        <v>66.25</v>
      </c>
      <c r="F82" s="145">
        <f t="shared" si="54"/>
        <v>3</v>
      </c>
      <c r="G82" s="145">
        <f t="shared" si="55"/>
        <v>65</v>
      </c>
      <c r="H82" s="145">
        <f t="shared" si="56"/>
        <v>2</v>
      </c>
      <c r="I82" s="145">
        <f t="shared" si="57"/>
        <v>61.25</v>
      </c>
      <c r="J82" s="145">
        <f t="shared" si="58"/>
        <v>3</v>
      </c>
      <c r="K82" s="145">
        <f t="shared" si="59"/>
        <v>-2.5</v>
      </c>
      <c r="L82" s="145">
        <f t="shared" si="60"/>
        <v>0.5</v>
      </c>
      <c r="M82" s="145">
        <f t="shared" si="61"/>
        <v>-2.5</v>
      </c>
      <c r="N82" s="145">
        <f t="shared" si="62"/>
        <v>0</v>
      </c>
      <c r="O82" s="145">
        <f t="shared" si="63"/>
        <v>-2.5</v>
      </c>
      <c r="P82" s="145">
        <f t="shared" si="64"/>
        <v>1</v>
      </c>
      <c r="Q82" s="145">
        <f t="shared" si="65"/>
        <v>2.5</v>
      </c>
      <c r="R82" s="145">
        <f t="shared" si="66"/>
        <v>2</v>
      </c>
      <c r="S82" s="145">
        <f t="shared" si="67"/>
        <v>2</v>
      </c>
      <c r="T82" s="93" t="s">
        <v>1651</v>
      </c>
      <c r="U82" s="93"/>
      <c r="V82" s="93"/>
      <c r="W82" s="93"/>
      <c r="X82" s="93"/>
    </row>
    <row r="83" ht="22.5" customHeight="1">
      <c r="A83" s="93">
        <v>4.0</v>
      </c>
      <c r="B83" s="93" t="s">
        <v>340</v>
      </c>
      <c r="C83" s="93" t="s">
        <v>1561</v>
      </c>
      <c r="D83" s="145">
        <v>1.0</v>
      </c>
      <c r="E83" s="145">
        <f t="shared" si="53"/>
        <v>44.91666667</v>
      </c>
      <c r="F83" s="145">
        <f t="shared" si="54"/>
        <v>8</v>
      </c>
      <c r="G83" s="145">
        <f t="shared" si="55"/>
        <v>50.16666667</v>
      </c>
      <c r="H83" s="145">
        <f t="shared" si="56"/>
        <v>7</v>
      </c>
      <c r="I83" s="145">
        <f t="shared" si="57"/>
        <v>40.41666667</v>
      </c>
      <c r="J83" s="145">
        <f t="shared" si="58"/>
        <v>9</v>
      </c>
      <c r="K83" s="145">
        <f t="shared" si="59"/>
        <v>-3.833333333</v>
      </c>
      <c r="L83" s="145">
        <f t="shared" si="60"/>
        <v>0</v>
      </c>
      <c r="M83" s="145">
        <f t="shared" si="61"/>
        <v>-3.833333333</v>
      </c>
      <c r="N83" s="145">
        <f t="shared" si="62"/>
        <v>0</v>
      </c>
      <c r="O83" s="145">
        <f t="shared" si="63"/>
        <v>-3.833333333</v>
      </c>
      <c r="P83" s="145">
        <f t="shared" si="64"/>
        <v>1</v>
      </c>
      <c r="Q83" s="145">
        <f t="shared" si="65"/>
        <v>8</v>
      </c>
      <c r="R83" s="145">
        <f t="shared" si="66"/>
        <v>7</v>
      </c>
      <c r="S83" s="145">
        <f t="shared" si="67"/>
        <v>8</v>
      </c>
      <c r="T83" s="93" t="s">
        <v>1651</v>
      </c>
      <c r="U83" s="93"/>
      <c r="V83" s="93"/>
      <c r="W83" s="93"/>
      <c r="X83" s="93"/>
    </row>
    <row r="84" ht="22.5" customHeight="1">
      <c r="A84" s="93">
        <v>4.0</v>
      </c>
      <c r="B84" s="93" t="s">
        <v>1406</v>
      </c>
      <c r="C84" s="93" t="s">
        <v>1561</v>
      </c>
      <c r="D84" s="145">
        <v>1.0</v>
      </c>
      <c r="E84" s="145">
        <f t="shared" si="53"/>
        <v>35</v>
      </c>
      <c r="F84" s="145">
        <f t="shared" si="54"/>
        <v>10</v>
      </c>
      <c r="G84" s="145">
        <f t="shared" si="55"/>
        <v>30</v>
      </c>
      <c r="H84" s="145">
        <f t="shared" si="56"/>
        <v>10</v>
      </c>
      <c r="I84" s="145">
        <f t="shared" si="57"/>
        <v>50</v>
      </c>
      <c r="J84" s="145">
        <f t="shared" si="58"/>
        <v>6</v>
      </c>
      <c r="K84" s="145">
        <f t="shared" si="59"/>
        <v>10</v>
      </c>
      <c r="L84" s="145">
        <f t="shared" si="60"/>
        <v>0</v>
      </c>
      <c r="M84" s="145">
        <f t="shared" si="61"/>
        <v>10</v>
      </c>
      <c r="N84" s="145">
        <f t="shared" si="62"/>
        <v>0</v>
      </c>
      <c r="O84" s="145">
        <f t="shared" si="63"/>
        <v>10</v>
      </c>
      <c r="P84" s="145">
        <f t="shared" si="64"/>
        <v>3</v>
      </c>
      <c r="Q84" s="145">
        <f t="shared" si="65"/>
        <v>10</v>
      </c>
      <c r="R84" s="145">
        <f t="shared" si="66"/>
        <v>10</v>
      </c>
      <c r="S84" s="145">
        <f t="shared" si="67"/>
        <v>9</v>
      </c>
      <c r="T84" s="93" t="s">
        <v>1651</v>
      </c>
      <c r="U84" s="93"/>
      <c r="V84" s="93"/>
      <c r="W84" s="93"/>
      <c r="X84" s="93"/>
    </row>
    <row r="85" ht="22.5" customHeight="1">
      <c r="A85" s="93">
        <v>5.0</v>
      </c>
      <c r="B85" s="93" t="s">
        <v>1264</v>
      </c>
      <c r="C85" s="93" t="s">
        <v>1563</v>
      </c>
      <c r="D85" s="145">
        <v>-1.0</v>
      </c>
      <c r="E85" s="145">
        <f t="shared" ref="E85:E94" si="68">IF(AND(ISNUMBER(G15),F$10="Valid"),ROUND(G15+D85*$F$11*(E15-(SUM(C15:F15)-E15)/3),10),"Unranked")</f>
        <v>42.91666667</v>
      </c>
      <c r="F85" s="145">
        <f t="shared" ref="F85:F94" si="69">IF(ISNUMBER(E85),1+COUNTIF($E$85:$E$94,"&gt;"&amp;E85)+(COUNTIF($E$85:$E$94,E85)-1)/2,"Unranked")</f>
        <v>9</v>
      </c>
      <c r="G85" s="145">
        <f t="shared" ref="G85:G94" si="70">IF(AND(ISNUMBER(I15),G$10="Valid"),ROUND(I15+D85*$F$11*(E15-(SUM(C15:F15)-E15)/3),10),"Unranked")</f>
        <v>49.16666667</v>
      </c>
      <c r="H85" s="145">
        <f t="shared" ref="H85:H94" si="71">IF(ISNUMBER(G85),1+COUNTIF($G$85:$G$94,"&gt;"&amp;G85)+(COUNTIF($G$85:$G$94,G85)-1)/2,"Unranked")</f>
        <v>9</v>
      </c>
      <c r="I85" s="145">
        <f t="shared" ref="I85:I94" si="72">IF(AND(ISNUMBER(K15),H$10="Valid"),ROUND(K15+D85*$F$11*(E15-(SUM(C15:F15)-E15)/3),10),"Unranked")</f>
        <v>35.41666667</v>
      </c>
      <c r="J85" s="145">
        <f t="shared" ref="J85:J94" si="73">IF(ISNUMBER(I85),1+COUNTIF($I$85:$I$94,"&gt;"&amp;I85)+(COUNTIF($I$85:$I$94,I85)-1)/2,"Unranked")</f>
        <v>10</v>
      </c>
      <c r="K85" s="145">
        <f t="shared" ref="K85:K94" si="74">IF(ISNUMBER(E85),E85-G15,"Unranked")</f>
        <v>-0.8333333333</v>
      </c>
      <c r="L85" s="145">
        <f t="shared" ref="L85:L94" si="75">IF(ISNUMBER(F85),ABS(F85-H15),"Unranked")</f>
        <v>0</v>
      </c>
      <c r="M85" s="145">
        <f t="shared" ref="M85:M94" si="76">IF(ISNUMBER(G85),G85-I15,"Unranked")</f>
        <v>-0.8333333333</v>
      </c>
      <c r="N85" s="145">
        <f t="shared" ref="N85:N94" si="77">IF(ISNUMBER(H85),ABS(H85-J15),"Unranked")</f>
        <v>1</v>
      </c>
      <c r="O85" s="145">
        <f t="shared" ref="O85:O94" si="78">IF(ISNUMBER(I85),I85-K15,"Unranked")</f>
        <v>-0.8333333333</v>
      </c>
      <c r="P85" s="145">
        <f t="shared" ref="P85:P94" si="79">IF(ISNUMBER(J85),ABS(J85-L15),"Unranked")</f>
        <v>0</v>
      </c>
      <c r="Q85" s="145">
        <f t="shared" ref="Q85:Q94" si="80">H15</f>
        <v>9</v>
      </c>
      <c r="R85" s="145">
        <f t="shared" ref="R85:R94" si="81">J15</f>
        <v>8</v>
      </c>
      <c r="S85" s="145">
        <f t="shared" ref="S85:S94" si="82">L15</f>
        <v>10</v>
      </c>
      <c r="T85" s="93" t="s">
        <v>1651</v>
      </c>
      <c r="U85" s="93"/>
      <c r="V85" s="93"/>
      <c r="W85" s="93"/>
      <c r="X85" s="93"/>
    </row>
    <row r="86" ht="22.5" customHeight="1">
      <c r="A86" s="93">
        <v>5.0</v>
      </c>
      <c r="B86" s="93" t="s">
        <v>299</v>
      </c>
      <c r="C86" s="93" t="s">
        <v>1563</v>
      </c>
      <c r="D86" s="145">
        <v>-1.0</v>
      </c>
      <c r="E86" s="145">
        <f t="shared" si="68"/>
        <v>67.41666667</v>
      </c>
      <c r="F86" s="145">
        <f t="shared" si="69"/>
        <v>4</v>
      </c>
      <c r="G86" s="145">
        <f t="shared" si="70"/>
        <v>63.16666667</v>
      </c>
      <c r="H86" s="145">
        <f t="shared" si="71"/>
        <v>5</v>
      </c>
      <c r="I86" s="145">
        <f t="shared" si="72"/>
        <v>57.66666667</v>
      </c>
      <c r="J86" s="145">
        <f t="shared" si="73"/>
        <v>5</v>
      </c>
      <c r="K86" s="145">
        <f t="shared" si="74"/>
        <v>-3.833333333</v>
      </c>
      <c r="L86" s="145">
        <f t="shared" si="75"/>
        <v>3</v>
      </c>
      <c r="M86" s="145">
        <f t="shared" si="76"/>
        <v>-3.833333333</v>
      </c>
      <c r="N86" s="145">
        <f t="shared" si="77"/>
        <v>2</v>
      </c>
      <c r="O86" s="145">
        <f t="shared" si="78"/>
        <v>-3.833333333</v>
      </c>
      <c r="P86" s="145">
        <f t="shared" si="79"/>
        <v>1</v>
      </c>
      <c r="Q86" s="145">
        <f t="shared" si="80"/>
        <v>1</v>
      </c>
      <c r="R86" s="145">
        <f t="shared" si="81"/>
        <v>3</v>
      </c>
      <c r="S86" s="145">
        <f t="shared" si="82"/>
        <v>4</v>
      </c>
      <c r="T86" s="93" t="s">
        <v>1651</v>
      </c>
      <c r="U86" s="93"/>
      <c r="V86" s="93"/>
      <c r="W86" s="93"/>
      <c r="X86" s="93"/>
    </row>
    <row r="87" ht="22.5" customHeight="1">
      <c r="A87" s="93">
        <v>5.0</v>
      </c>
      <c r="B87" s="93" t="s">
        <v>305</v>
      </c>
      <c r="C87" s="93" t="s">
        <v>1563</v>
      </c>
      <c r="D87" s="145">
        <v>-1.0</v>
      </c>
      <c r="E87" s="145">
        <f t="shared" si="68"/>
        <v>69.41666667</v>
      </c>
      <c r="F87" s="145">
        <f t="shared" si="69"/>
        <v>3</v>
      </c>
      <c r="G87" s="145">
        <f t="shared" si="70"/>
        <v>67.16666667</v>
      </c>
      <c r="H87" s="145">
        <f t="shared" si="71"/>
        <v>3</v>
      </c>
      <c r="I87" s="145">
        <f t="shared" si="72"/>
        <v>69.91666667</v>
      </c>
      <c r="J87" s="145">
        <f t="shared" si="73"/>
        <v>2</v>
      </c>
      <c r="K87" s="145">
        <f t="shared" si="74"/>
        <v>8.166666667</v>
      </c>
      <c r="L87" s="145">
        <f t="shared" si="75"/>
        <v>1</v>
      </c>
      <c r="M87" s="145">
        <f t="shared" si="76"/>
        <v>8.166666667</v>
      </c>
      <c r="N87" s="145">
        <f t="shared" si="77"/>
        <v>2</v>
      </c>
      <c r="O87" s="145">
        <f t="shared" si="78"/>
        <v>8.166666667</v>
      </c>
      <c r="P87" s="145">
        <f t="shared" si="79"/>
        <v>1</v>
      </c>
      <c r="Q87" s="145">
        <f t="shared" si="80"/>
        <v>4</v>
      </c>
      <c r="R87" s="145">
        <f t="shared" si="81"/>
        <v>5</v>
      </c>
      <c r="S87" s="145">
        <f t="shared" si="82"/>
        <v>3</v>
      </c>
      <c r="T87" s="93" t="s">
        <v>1651</v>
      </c>
      <c r="U87" s="93"/>
      <c r="V87" s="93"/>
      <c r="W87" s="93"/>
      <c r="X87" s="93"/>
    </row>
    <row r="88" ht="22.5" customHeight="1">
      <c r="A88" s="93">
        <v>5.0</v>
      </c>
      <c r="B88" s="93" t="s">
        <v>311</v>
      </c>
      <c r="C88" s="93" t="s">
        <v>1563</v>
      </c>
      <c r="D88" s="145">
        <v>-1.0</v>
      </c>
      <c r="E88" s="145">
        <f t="shared" si="68"/>
        <v>61.33333333</v>
      </c>
      <c r="F88" s="145">
        <f t="shared" si="69"/>
        <v>6</v>
      </c>
      <c r="G88" s="145">
        <f t="shared" si="70"/>
        <v>61.83333333</v>
      </c>
      <c r="H88" s="145">
        <f t="shared" si="71"/>
        <v>6</v>
      </c>
      <c r="I88" s="145">
        <f t="shared" si="72"/>
        <v>51.08333333</v>
      </c>
      <c r="J88" s="145">
        <f t="shared" si="73"/>
        <v>7</v>
      </c>
      <c r="K88" s="145">
        <f t="shared" si="74"/>
        <v>1.333333333</v>
      </c>
      <c r="L88" s="145">
        <f t="shared" si="75"/>
        <v>1</v>
      </c>
      <c r="M88" s="145">
        <f t="shared" si="76"/>
        <v>1.333333333</v>
      </c>
      <c r="N88" s="145">
        <f t="shared" si="77"/>
        <v>2</v>
      </c>
      <c r="O88" s="145">
        <f t="shared" si="78"/>
        <v>1.333333333</v>
      </c>
      <c r="P88" s="145">
        <f t="shared" si="79"/>
        <v>1</v>
      </c>
      <c r="Q88" s="145">
        <f t="shared" si="80"/>
        <v>5</v>
      </c>
      <c r="R88" s="145">
        <f t="shared" si="81"/>
        <v>4</v>
      </c>
      <c r="S88" s="145">
        <f t="shared" si="82"/>
        <v>6</v>
      </c>
      <c r="T88" s="93" t="s">
        <v>1651</v>
      </c>
      <c r="U88" s="93"/>
      <c r="V88" s="93"/>
      <c r="W88" s="93"/>
      <c r="X88" s="93"/>
    </row>
    <row r="89" ht="22.5" customHeight="1">
      <c r="A89" s="93">
        <v>5.0</v>
      </c>
      <c r="B89" s="93" t="s">
        <v>1391</v>
      </c>
      <c r="C89" s="93" t="s">
        <v>1563</v>
      </c>
      <c r="D89" s="145">
        <v>-1.0</v>
      </c>
      <c r="E89" s="145">
        <f t="shared" si="68"/>
        <v>71.25</v>
      </c>
      <c r="F89" s="145">
        <f t="shared" si="69"/>
        <v>1.5</v>
      </c>
      <c r="G89" s="145">
        <f t="shared" si="70"/>
        <v>72.5</v>
      </c>
      <c r="H89" s="145">
        <f t="shared" si="71"/>
        <v>1</v>
      </c>
      <c r="I89" s="145">
        <f t="shared" si="72"/>
        <v>78.75</v>
      </c>
      <c r="J89" s="145">
        <f t="shared" si="73"/>
        <v>1</v>
      </c>
      <c r="K89" s="145">
        <f t="shared" si="74"/>
        <v>2.5</v>
      </c>
      <c r="L89" s="145">
        <f t="shared" si="75"/>
        <v>1</v>
      </c>
      <c r="M89" s="145">
        <f t="shared" si="76"/>
        <v>2.5</v>
      </c>
      <c r="N89" s="145">
        <f t="shared" si="77"/>
        <v>0</v>
      </c>
      <c r="O89" s="145">
        <f t="shared" si="78"/>
        <v>2.5</v>
      </c>
      <c r="P89" s="145">
        <f t="shared" si="79"/>
        <v>0</v>
      </c>
      <c r="Q89" s="145">
        <f t="shared" si="80"/>
        <v>2.5</v>
      </c>
      <c r="R89" s="145">
        <f t="shared" si="81"/>
        <v>1</v>
      </c>
      <c r="S89" s="145">
        <f t="shared" si="82"/>
        <v>1</v>
      </c>
      <c r="T89" s="93" t="s">
        <v>1651</v>
      </c>
      <c r="U89" s="93"/>
      <c r="V89" s="93"/>
      <c r="W89" s="93"/>
      <c r="X89" s="93"/>
    </row>
    <row r="90" ht="22.5" customHeight="1">
      <c r="A90" s="93">
        <v>5.0</v>
      </c>
      <c r="B90" s="93" t="s">
        <v>322</v>
      </c>
      <c r="C90" s="93" t="s">
        <v>1563</v>
      </c>
      <c r="D90" s="145">
        <v>-1.0</v>
      </c>
      <c r="E90" s="145">
        <f t="shared" si="68"/>
        <v>60.91666667</v>
      </c>
      <c r="F90" s="145">
        <f t="shared" si="69"/>
        <v>7</v>
      </c>
      <c r="G90" s="145">
        <f t="shared" si="70"/>
        <v>55.16666667</v>
      </c>
      <c r="H90" s="145">
        <f t="shared" si="71"/>
        <v>7</v>
      </c>
      <c r="I90" s="145">
        <f t="shared" si="72"/>
        <v>60.66666667</v>
      </c>
      <c r="J90" s="145">
        <f t="shared" si="73"/>
        <v>4</v>
      </c>
      <c r="K90" s="145">
        <f t="shared" si="74"/>
        <v>7.166666667</v>
      </c>
      <c r="L90" s="145">
        <f t="shared" si="75"/>
        <v>0</v>
      </c>
      <c r="M90" s="145">
        <f t="shared" si="76"/>
        <v>7.166666667</v>
      </c>
      <c r="N90" s="145">
        <f t="shared" si="77"/>
        <v>2</v>
      </c>
      <c r="O90" s="145">
        <f t="shared" si="78"/>
        <v>7.166666667</v>
      </c>
      <c r="P90" s="145">
        <f t="shared" si="79"/>
        <v>1</v>
      </c>
      <c r="Q90" s="145">
        <f t="shared" si="80"/>
        <v>7</v>
      </c>
      <c r="R90" s="145">
        <f t="shared" si="81"/>
        <v>9</v>
      </c>
      <c r="S90" s="145">
        <f t="shared" si="82"/>
        <v>5</v>
      </c>
      <c r="T90" s="93" t="s">
        <v>1651</v>
      </c>
      <c r="U90" s="93"/>
      <c r="V90" s="93"/>
      <c r="W90" s="93"/>
      <c r="X90" s="93"/>
    </row>
    <row r="91" ht="22.5" customHeight="1">
      <c r="A91" s="93">
        <v>5.0</v>
      </c>
      <c r="B91" s="93" t="s">
        <v>1437</v>
      </c>
      <c r="C91" s="93" t="s">
        <v>1563</v>
      </c>
      <c r="D91" s="145">
        <v>-1.0</v>
      </c>
      <c r="E91" s="145">
        <f t="shared" si="68"/>
        <v>61.625</v>
      </c>
      <c r="F91" s="145">
        <f t="shared" si="69"/>
        <v>5</v>
      </c>
      <c r="G91" s="145">
        <f t="shared" si="70"/>
        <v>65.75</v>
      </c>
      <c r="H91" s="145">
        <f t="shared" si="71"/>
        <v>4</v>
      </c>
      <c r="I91" s="145">
        <f t="shared" si="72"/>
        <v>54.25</v>
      </c>
      <c r="J91" s="145">
        <f t="shared" si="73"/>
        <v>6</v>
      </c>
      <c r="K91" s="145">
        <f t="shared" si="74"/>
        <v>7.25</v>
      </c>
      <c r="L91" s="145">
        <f t="shared" si="75"/>
        <v>1</v>
      </c>
      <c r="M91" s="145">
        <f t="shared" si="76"/>
        <v>7.25</v>
      </c>
      <c r="N91" s="145">
        <f t="shared" si="77"/>
        <v>2</v>
      </c>
      <c r="O91" s="145">
        <f t="shared" si="78"/>
        <v>7.25</v>
      </c>
      <c r="P91" s="145">
        <f t="shared" si="79"/>
        <v>1</v>
      </c>
      <c r="Q91" s="145">
        <f t="shared" si="80"/>
        <v>6</v>
      </c>
      <c r="R91" s="145">
        <f t="shared" si="81"/>
        <v>6</v>
      </c>
      <c r="S91" s="145">
        <f t="shared" si="82"/>
        <v>7</v>
      </c>
      <c r="T91" s="93" t="s">
        <v>1651</v>
      </c>
      <c r="U91" s="93"/>
      <c r="V91" s="93"/>
      <c r="W91" s="93"/>
      <c r="X91" s="93"/>
    </row>
    <row r="92" ht="22.5" customHeight="1">
      <c r="A92" s="93">
        <v>5.0</v>
      </c>
      <c r="B92" s="93" t="s">
        <v>334</v>
      </c>
      <c r="C92" s="93" t="s">
        <v>1563</v>
      </c>
      <c r="D92" s="145">
        <v>-1.0</v>
      </c>
      <c r="E92" s="145">
        <f t="shared" si="68"/>
        <v>71.25</v>
      </c>
      <c r="F92" s="145">
        <f t="shared" si="69"/>
        <v>1.5</v>
      </c>
      <c r="G92" s="145">
        <f t="shared" si="70"/>
        <v>70</v>
      </c>
      <c r="H92" s="145">
        <f t="shared" si="71"/>
        <v>2</v>
      </c>
      <c r="I92" s="145">
        <f t="shared" si="72"/>
        <v>66.25</v>
      </c>
      <c r="J92" s="145">
        <f t="shared" si="73"/>
        <v>3</v>
      </c>
      <c r="K92" s="145">
        <f t="shared" si="74"/>
        <v>2.5</v>
      </c>
      <c r="L92" s="145">
        <f t="shared" si="75"/>
        <v>1</v>
      </c>
      <c r="M92" s="145">
        <f t="shared" si="76"/>
        <v>2.5</v>
      </c>
      <c r="N92" s="145">
        <f t="shared" si="77"/>
        <v>0</v>
      </c>
      <c r="O92" s="145">
        <f t="shared" si="78"/>
        <v>2.5</v>
      </c>
      <c r="P92" s="145">
        <f t="shared" si="79"/>
        <v>1</v>
      </c>
      <c r="Q92" s="145">
        <f t="shared" si="80"/>
        <v>2.5</v>
      </c>
      <c r="R92" s="145">
        <f t="shared" si="81"/>
        <v>2</v>
      </c>
      <c r="S92" s="145">
        <f t="shared" si="82"/>
        <v>2</v>
      </c>
      <c r="T92" s="93" t="s">
        <v>1651</v>
      </c>
      <c r="U92" s="93"/>
      <c r="V92" s="93"/>
      <c r="W92" s="93"/>
      <c r="X92" s="93"/>
    </row>
    <row r="93" ht="22.5" customHeight="1">
      <c r="A93" s="93">
        <v>5.0</v>
      </c>
      <c r="B93" s="93" t="s">
        <v>340</v>
      </c>
      <c r="C93" s="93" t="s">
        <v>1563</v>
      </c>
      <c r="D93" s="145">
        <v>-1.0</v>
      </c>
      <c r="E93" s="145">
        <f t="shared" si="68"/>
        <v>48.58333333</v>
      </c>
      <c r="F93" s="145">
        <f t="shared" si="69"/>
        <v>8</v>
      </c>
      <c r="G93" s="145">
        <f t="shared" si="70"/>
        <v>53.83333333</v>
      </c>
      <c r="H93" s="145">
        <f t="shared" si="71"/>
        <v>8</v>
      </c>
      <c r="I93" s="145">
        <f t="shared" si="72"/>
        <v>44.08333333</v>
      </c>
      <c r="J93" s="145">
        <f t="shared" si="73"/>
        <v>8</v>
      </c>
      <c r="K93" s="145">
        <f t="shared" si="74"/>
        <v>-0.1666666667</v>
      </c>
      <c r="L93" s="145">
        <f t="shared" si="75"/>
        <v>0</v>
      </c>
      <c r="M93" s="145">
        <f t="shared" si="76"/>
        <v>-0.1666666667</v>
      </c>
      <c r="N93" s="145">
        <f t="shared" si="77"/>
        <v>1</v>
      </c>
      <c r="O93" s="145">
        <f t="shared" si="78"/>
        <v>-0.1666666667</v>
      </c>
      <c r="P93" s="145">
        <f t="shared" si="79"/>
        <v>0</v>
      </c>
      <c r="Q93" s="145">
        <f t="shared" si="80"/>
        <v>8</v>
      </c>
      <c r="R93" s="145">
        <f t="shared" si="81"/>
        <v>7</v>
      </c>
      <c r="S93" s="145">
        <f t="shared" si="82"/>
        <v>8</v>
      </c>
      <c r="T93" s="93" t="s">
        <v>1651</v>
      </c>
      <c r="U93" s="93"/>
      <c r="V93" s="93"/>
      <c r="W93" s="93"/>
      <c r="X93" s="93"/>
    </row>
    <row r="94" ht="22.5" customHeight="1">
      <c r="A94" s="93">
        <v>5.0</v>
      </c>
      <c r="B94" s="93" t="s">
        <v>1406</v>
      </c>
      <c r="C94" s="93" t="s">
        <v>1563</v>
      </c>
      <c r="D94" s="145">
        <v>-1.0</v>
      </c>
      <c r="E94" s="145">
        <f t="shared" si="68"/>
        <v>28.33333333</v>
      </c>
      <c r="F94" s="145">
        <f t="shared" si="69"/>
        <v>10</v>
      </c>
      <c r="G94" s="145">
        <f t="shared" si="70"/>
        <v>23.33333333</v>
      </c>
      <c r="H94" s="145">
        <f t="shared" si="71"/>
        <v>10</v>
      </c>
      <c r="I94" s="145">
        <f t="shared" si="72"/>
        <v>43.33333333</v>
      </c>
      <c r="J94" s="145">
        <f t="shared" si="73"/>
        <v>9</v>
      </c>
      <c r="K94" s="145">
        <f t="shared" si="74"/>
        <v>3.333333333</v>
      </c>
      <c r="L94" s="145">
        <f t="shared" si="75"/>
        <v>0</v>
      </c>
      <c r="M94" s="145">
        <f t="shared" si="76"/>
        <v>3.333333333</v>
      </c>
      <c r="N94" s="145">
        <f t="shared" si="77"/>
        <v>0</v>
      </c>
      <c r="O94" s="145">
        <f t="shared" si="78"/>
        <v>3.333333333</v>
      </c>
      <c r="P94" s="145">
        <f t="shared" si="79"/>
        <v>0</v>
      </c>
      <c r="Q94" s="145">
        <f t="shared" si="80"/>
        <v>10</v>
      </c>
      <c r="R94" s="145">
        <f t="shared" si="81"/>
        <v>10</v>
      </c>
      <c r="S94" s="145">
        <f t="shared" si="82"/>
        <v>9</v>
      </c>
      <c r="T94" s="93" t="s">
        <v>1651</v>
      </c>
      <c r="U94" s="93"/>
      <c r="V94" s="93"/>
      <c r="W94" s="93"/>
      <c r="X94" s="93"/>
    </row>
    <row r="95" ht="22.5" customHeight="1">
      <c r="A95" s="93">
        <v>6.0</v>
      </c>
      <c r="B95" s="93" t="s">
        <v>1264</v>
      </c>
      <c r="C95" s="93" t="s">
        <v>1563</v>
      </c>
      <c r="D95" s="145">
        <v>1.0</v>
      </c>
      <c r="E95" s="145">
        <f t="shared" ref="E95:E104" si="83">IF(AND(ISNUMBER(G15),F$10="Valid"),ROUND(G15+D95*$F$11*(E15-(SUM(C15:F15)-E15)/3),10),"Unranked")</f>
        <v>44.58333333</v>
      </c>
      <c r="F95" s="145">
        <f t="shared" ref="F95:F104" si="84">IF(ISNUMBER(E95),1+COUNTIF($E$95:$E$104,"&gt;"&amp;E95)+(COUNTIF($E$95:$E$104,E95)-1)/2,"Unranked")</f>
        <v>9</v>
      </c>
      <c r="G95" s="145">
        <f t="shared" ref="G95:G104" si="85">IF(AND(ISNUMBER(I15),G$10="Valid"),ROUND(I15+D95*$F$11*(E15-(SUM(C15:F15)-E15)/3),10),"Unranked")</f>
        <v>50.83333333</v>
      </c>
      <c r="H95" s="145">
        <f t="shared" ref="H95:H104" si="86">IF(ISNUMBER(G95),1+COUNTIF($G$95:$G$104,"&gt;"&amp;G95)+(COUNTIF($G$95:$G$104,G95)-1)/2,"Unranked")</f>
        <v>7.5</v>
      </c>
      <c r="I95" s="145">
        <f t="shared" ref="I95:I104" si="87">IF(AND(ISNUMBER(K15),H$10="Valid"),ROUND(K15+D95*$F$11*(E15-(SUM(C15:F15)-E15)/3),10),"Unranked")</f>
        <v>37.08333333</v>
      </c>
      <c r="J95" s="145">
        <f t="shared" ref="J95:J104" si="88">IF(ISNUMBER(I95),1+COUNTIF($I$95:$I$104,"&gt;"&amp;I95)+(COUNTIF($I$95:$I$104,I95)-1)/2,"Unranked")</f>
        <v>9</v>
      </c>
      <c r="K95" s="145">
        <f t="shared" ref="K95:K104" si="89">IF(ISNUMBER(E95),E95-G15,"Unranked")</f>
        <v>0.8333333333</v>
      </c>
      <c r="L95" s="145">
        <f t="shared" ref="L95:L104" si="90">IF(ISNUMBER(F95),ABS(F95-H15),"Unranked")</f>
        <v>0</v>
      </c>
      <c r="M95" s="145">
        <f t="shared" ref="M95:M104" si="91">IF(ISNUMBER(G95),G95-I15,"Unranked")</f>
        <v>0.8333333333</v>
      </c>
      <c r="N95" s="145">
        <f t="shared" ref="N95:N104" si="92">IF(ISNUMBER(H95),ABS(H95-J15),"Unranked")</f>
        <v>0.5</v>
      </c>
      <c r="O95" s="145">
        <f t="shared" ref="O95:O104" si="93">IF(ISNUMBER(I95),I95-K15,"Unranked")</f>
        <v>0.8333333333</v>
      </c>
      <c r="P95" s="145">
        <f t="shared" ref="P95:P104" si="94">IF(ISNUMBER(J95),ABS(J95-L15),"Unranked")</f>
        <v>1</v>
      </c>
      <c r="Q95" s="145">
        <f t="shared" ref="Q95:Q104" si="95">H15</f>
        <v>9</v>
      </c>
      <c r="R95" s="145">
        <f t="shared" ref="R95:R104" si="96">J15</f>
        <v>8</v>
      </c>
      <c r="S95" s="145">
        <f t="shared" ref="S95:S104" si="97">L15</f>
        <v>10</v>
      </c>
      <c r="T95" s="93" t="s">
        <v>1651</v>
      </c>
      <c r="U95" s="93"/>
      <c r="V95" s="93"/>
      <c r="W95" s="93"/>
      <c r="X95" s="93"/>
    </row>
    <row r="96" ht="22.5" customHeight="1">
      <c r="A96" s="93">
        <v>6.0</v>
      </c>
      <c r="B96" s="93" t="s">
        <v>299</v>
      </c>
      <c r="C96" s="93" t="s">
        <v>1563</v>
      </c>
      <c r="D96" s="145">
        <v>1.0</v>
      </c>
      <c r="E96" s="145">
        <f t="shared" si="83"/>
        <v>75.08333333</v>
      </c>
      <c r="F96" s="145">
        <f t="shared" si="84"/>
        <v>1</v>
      </c>
      <c r="G96" s="145">
        <f t="shared" si="85"/>
        <v>70.83333333</v>
      </c>
      <c r="H96" s="145">
        <f t="shared" si="86"/>
        <v>1</v>
      </c>
      <c r="I96" s="145">
        <f t="shared" si="87"/>
        <v>65.33333333</v>
      </c>
      <c r="J96" s="145">
        <f t="shared" si="88"/>
        <v>2</v>
      </c>
      <c r="K96" s="145">
        <f t="shared" si="89"/>
        <v>3.833333333</v>
      </c>
      <c r="L96" s="145">
        <f t="shared" si="90"/>
        <v>0</v>
      </c>
      <c r="M96" s="145">
        <f t="shared" si="91"/>
        <v>3.833333333</v>
      </c>
      <c r="N96" s="145">
        <f t="shared" si="92"/>
        <v>2</v>
      </c>
      <c r="O96" s="145">
        <f t="shared" si="93"/>
        <v>3.833333333</v>
      </c>
      <c r="P96" s="145">
        <f t="shared" si="94"/>
        <v>2</v>
      </c>
      <c r="Q96" s="145">
        <f t="shared" si="95"/>
        <v>1</v>
      </c>
      <c r="R96" s="145">
        <f t="shared" si="96"/>
        <v>3</v>
      </c>
      <c r="S96" s="145">
        <f t="shared" si="97"/>
        <v>4</v>
      </c>
      <c r="T96" s="93" t="s">
        <v>1651</v>
      </c>
      <c r="U96" s="93"/>
      <c r="V96" s="93"/>
      <c r="W96" s="93"/>
      <c r="X96" s="93"/>
    </row>
    <row r="97" ht="22.5" customHeight="1">
      <c r="A97" s="93">
        <v>6.0</v>
      </c>
      <c r="B97" s="93" t="s">
        <v>305</v>
      </c>
      <c r="C97" s="93" t="s">
        <v>1563</v>
      </c>
      <c r="D97" s="145">
        <v>1.0</v>
      </c>
      <c r="E97" s="145">
        <f t="shared" si="83"/>
        <v>53.08333333</v>
      </c>
      <c r="F97" s="145">
        <f t="shared" si="84"/>
        <v>5</v>
      </c>
      <c r="G97" s="145">
        <f t="shared" si="85"/>
        <v>50.83333333</v>
      </c>
      <c r="H97" s="145">
        <f t="shared" si="86"/>
        <v>7.5</v>
      </c>
      <c r="I97" s="145">
        <f t="shared" si="87"/>
        <v>53.58333333</v>
      </c>
      <c r="J97" s="145">
        <f t="shared" si="88"/>
        <v>4</v>
      </c>
      <c r="K97" s="145">
        <f t="shared" si="89"/>
        <v>-8.166666667</v>
      </c>
      <c r="L97" s="145">
        <f t="shared" si="90"/>
        <v>1</v>
      </c>
      <c r="M97" s="145">
        <f t="shared" si="91"/>
        <v>-8.166666667</v>
      </c>
      <c r="N97" s="145">
        <f t="shared" si="92"/>
        <v>2.5</v>
      </c>
      <c r="O97" s="145">
        <f t="shared" si="93"/>
        <v>-8.166666667</v>
      </c>
      <c r="P97" s="145">
        <f t="shared" si="94"/>
        <v>1</v>
      </c>
      <c r="Q97" s="145">
        <f t="shared" si="95"/>
        <v>4</v>
      </c>
      <c r="R97" s="145">
        <f t="shared" si="96"/>
        <v>5</v>
      </c>
      <c r="S97" s="145">
        <f t="shared" si="97"/>
        <v>3</v>
      </c>
      <c r="T97" s="93" t="s">
        <v>1651</v>
      </c>
      <c r="U97" s="93"/>
      <c r="V97" s="93"/>
      <c r="W97" s="93"/>
      <c r="X97" s="93"/>
    </row>
    <row r="98" ht="22.5" customHeight="1">
      <c r="A98" s="93">
        <v>6.0</v>
      </c>
      <c r="B98" s="93" t="s">
        <v>311</v>
      </c>
      <c r="C98" s="93" t="s">
        <v>1563</v>
      </c>
      <c r="D98" s="145">
        <v>1.0</v>
      </c>
      <c r="E98" s="145">
        <f t="shared" si="83"/>
        <v>58.66666667</v>
      </c>
      <c r="F98" s="145">
        <f t="shared" si="84"/>
        <v>4</v>
      </c>
      <c r="G98" s="145">
        <f t="shared" si="85"/>
        <v>59.16666667</v>
      </c>
      <c r="H98" s="145">
        <f t="shared" si="86"/>
        <v>4</v>
      </c>
      <c r="I98" s="145">
        <f t="shared" si="87"/>
        <v>48.41666667</v>
      </c>
      <c r="J98" s="145">
        <f t="shared" si="88"/>
        <v>5</v>
      </c>
      <c r="K98" s="145">
        <f t="shared" si="89"/>
        <v>-1.333333333</v>
      </c>
      <c r="L98" s="145">
        <f t="shared" si="90"/>
        <v>1</v>
      </c>
      <c r="M98" s="145">
        <f t="shared" si="91"/>
        <v>-1.333333333</v>
      </c>
      <c r="N98" s="145">
        <f t="shared" si="92"/>
        <v>0</v>
      </c>
      <c r="O98" s="145">
        <f t="shared" si="93"/>
        <v>-1.333333333</v>
      </c>
      <c r="P98" s="145">
        <f t="shared" si="94"/>
        <v>1</v>
      </c>
      <c r="Q98" s="145">
        <f t="shared" si="95"/>
        <v>5</v>
      </c>
      <c r="R98" s="145">
        <f t="shared" si="96"/>
        <v>4</v>
      </c>
      <c r="S98" s="145">
        <f t="shared" si="97"/>
        <v>6</v>
      </c>
      <c r="T98" s="93" t="s">
        <v>1651</v>
      </c>
      <c r="U98" s="93"/>
      <c r="V98" s="93"/>
      <c r="W98" s="93"/>
      <c r="X98" s="93"/>
    </row>
    <row r="99" ht="22.5" customHeight="1">
      <c r="A99" s="93">
        <v>6.0</v>
      </c>
      <c r="B99" s="93" t="s">
        <v>1391</v>
      </c>
      <c r="C99" s="93" t="s">
        <v>1563</v>
      </c>
      <c r="D99" s="145">
        <v>1.0</v>
      </c>
      <c r="E99" s="145">
        <f t="shared" si="83"/>
        <v>66.25</v>
      </c>
      <c r="F99" s="145">
        <f t="shared" si="84"/>
        <v>2.5</v>
      </c>
      <c r="G99" s="145">
        <f t="shared" si="85"/>
        <v>67.5</v>
      </c>
      <c r="H99" s="145">
        <f t="shared" si="86"/>
        <v>2</v>
      </c>
      <c r="I99" s="145">
        <f t="shared" si="87"/>
        <v>73.75</v>
      </c>
      <c r="J99" s="145">
        <f t="shared" si="88"/>
        <v>1</v>
      </c>
      <c r="K99" s="145">
        <f t="shared" si="89"/>
        <v>-2.5</v>
      </c>
      <c r="L99" s="145">
        <f t="shared" si="90"/>
        <v>0</v>
      </c>
      <c r="M99" s="145">
        <f t="shared" si="91"/>
        <v>-2.5</v>
      </c>
      <c r="N99" s="145">
        <f t="shared" si="92"/>
        <v>1</v>
      </c>
      <c r="O99" s="145">
        <f t="shared" si="93"/>
        <v>-2.5</v>
      </c>
      <c r="P99" s="145">
        <f t="shared" si="94"/>
        <v>0</v>
      </c>
      <c r="Q99" s="145">
        <f t="shared" si="95"/>
        <v>2.5</v>
      </c>
      <c r="R99" s="145">
        <f t="shared" si="96"/>
        <v>1</v>
      </c>
      <c r="S99" s="145">
        <f t="shared" si="97"/>
        <v>1</v>
      </c>
      <c r="T99" s="93" t="s">
        <v>1651</v>
      </c>
      <c r="U99" s="93"/>
      <c r="V99" s="93"/>
      <c r="W99" s="93"/>
      <c r="X99" s="93"/>
    </row>
    <row r="100" ht="22.5" customHeight="1">
      <c r="A100" s="93">
        <v>6.0</v>
      </c>
      <c r="B100" s="93" t="s">
        <v>322</v>
      </c>
      <c r="C100" s="93" t="s">
        <v>1563</v>
      </c>
      <c r="D100" s="145">
        <v>1.0</v>
      </c>
      <c r="E100" s="145">
        <f t="shared" si="83"/>
        <v>46.58333333</v>
      </c>
      <c r="F100" s="145">
        <f t="shared" si="84"/>
        <v>8</v>
      </c>
      <c r="G100" s="145">
        <f t="shared" si="85"/>
        <v>40.83333333</v>
      </c>
      <c r="H100" s="145">
        <f t="shared" si="86"/>
        <v>9</v>
      </c>
      <c r="I100" s="145">
        <f t="shared" si="87"/>
        <v>46.33333333</v>
      </c>
      <c r="J100" s="145">
        <f t="shared" si="88"/>
        <v>6</v>
      </c>
      <c r="K100" s="145">
        <f t="shared" si="89"/>
        <v>-7.166666667</v>
      </c>
      <c r="L100" s="145">
        <f t="shared" si="90"/>
        <v>1</v>
      </c>
      <c r="M100" s="145">
        <f t="shared" si="91"/>
        <v>-7.166666667</v>
      </c>
      <c r="N100" s="145">
        <f t="shared" si="92"/>
        <v>0</v>
      </c>
      <c r="O100" s="145">
        <f t="shared" si="93"/>
        <v>-7.166666667</v>
      </c>
      <c r="P100" s="145">
        <f t="shared" si="94"/>
        <v>1</v>
      </c>
      <c r="Q100" s="145">
        <f t="shared" si="95"/>
        <v>7</v>
      </c>
      <c r="R100" s="145">
        <f t="shared" si="96"/>
        <v>9</v>
      </c>
      <c r="S100" s="145">
        <f t="shared" si="97"/>
        <v>5</v>
      </c>
      <c r="T100" s="93" t="s">
        <v>1651</v>
      </c>
      <c r="U100" s="93"/>
      <c r="V100" s="93"/>
      <c r="W100" s="93"/>
      <c r="X100" s="93"/>
    </row>
    <row r="101" ht="22.5" customHeight="1">
      <c r="A101" s="93">
        <v>6.0</v>
      </c>
      <c r="B101" s="93" t="s">
        <v>1437</v>
      </c>
      <c r="C101" s="93" t="s">
        <v>1563</v>
      </c>
      <c r="D101" s="145">
        <v>1.0</v>
      </c>
      <c r="E101" s="145">
        <f t="shared" si="83"/>
        <v>47.125</v>
      </c>
      <c r="F101" s="145">
        <f t="shared" si="84"/>
        <v>7</v>
      </c>
      <c r="G101" s="145">
        <f t="shared" si="85"/>
        <v>51.25</v>
      </c>
      <c r="H101" s="145">
        <f t="shared" si="86"/>
        <v>6</v>
      </c>
      <c r="I101" s="145">
        <f t="shared" si="87"/>
        <v>39.75</v>
      </c>
      <c r="J101" s="145">
        <f t="shared" si="88"/>
        <v>8</v>
      </c>
      <c r="K101" s="145">
        <f t="shared" si="89"/>
        <v>-7.25</v>
      </c>
      <c r="L101" s="145">
        <f t="shared" si="90"/>
        <v>1</v>
      </c>
      <c r="M101" s="145">
        <f t="shared" si="91"/>
        <v>-7.25</v>
      </c>
      <c r="N101" s="145">
        <f t="shared" si="92"/>
        <v>0</v>
      </c>
      <c r="O101" s="145">
        <f t="shared" si="93"/>
        <v>-7.25</v>
      </c>
      <c r="P101" s="145">
        <f t="shared" si="94"/>
        <v>1</v>
      </c>
      <c r="Q101" s="145">
        <f t="shared" si="95"/>
        <v>6</v>
      </c>
      <c r="R101" s="145">
        <f t="shared" si="96"/>
        <v>6</v>
      </c>
      <c r="S101" s="145">
        <f t="shared" si="97"/>
        <v>7</v>
      </c>
      <c r="T101" s="93" t="s">
        <v>1651</v>
      </c>
      <c r="U101" s="93"/>
      <c r="V101" s="93"/>
      <c r="W101" s="93"/>
      <c r="X101" s="93"/>
    </row>
    <row r="102" ht="22.5" customHeight="1">
      <c r="A102" s="93">
        <v>6.0</v>
      </c>
      <c r="B102" s="93" t="s">
        <v>334</v>
      </c>
      <c r="C102" s="93" t="s">
        <v>1563</v>
      </c>
      <c r="D102" s="145">
        <v>1.0</v>
      </c>
      <c r="E102" s="145">
        <f t="shared" si="83"/>
        <v>66.25</v>
      </c>
      <c r="F102" s="145">
        <f t="shared" si="84"/>
        <v>2.5</v>
      </c>
      <c r="G102" s="145">
        <f t="shared" si="85"/>
        <v>65</v>
      </c>
      <c r="H102" s="145">
        <f t="shared" si="86"/>
        <v>3</v>
      </c>
      <c r="I102" s="145">
        <f t="shared" si="87"/>
        <v>61.25</v>
      </c>
      <c r="J102" s="145">
        <f t="shared" si="88"/>
        <v>3</v>
      </c>
      <c r="K102" s="145">
        <f t="shared" si="89"/>
        <v>-2.5</v>
      </c>
      <c r="L102" s="145">
        <f t="shared" si="90"/>
        <v>0</v>
      </c>
      <c r="M102" s="145">
        <f t="shared" si="91"/>
        <v>-2.5</v>
      </c>
      <c r="N102" s="145">
        <f t="shared" si="92"/>
        <v>1</v>
      </c>
      <c r="O102" s="145">
        <f t="shared" si="93"/>
        <v>-2.5</v>
      </c>
      <c r="P102" s="145">
        <f t="shared" si="94"/>
        <v>1</v>
      </c>
      <c r="Q102" s="145">
        <f t="shared" si="95"/>
        <v>2.5</v>
      </c>
      <c r="R102" s="145">
        <f t="shared" si="96"/>
        <v>2</v>
      </c>
      <c r="S102" s="145">
        <f t="shared" si="97"/>
        <v>2</v>
      </c>
      <c r="T102" s="93" t="s">
        <v>1651</v>
      </c>
      <c r="U102" s="93"/>
      <c r="V102" s="93"/>
      <c r="W102" s="93"/>
      <c r="X102" s="93"/>
    </row>
    <row r="103" ht="22.5" customHeight="1">
      <c r="A103" s="93">
        <v>6.0</v>
      </c>
      <c r="B103" s="93" t="s">
        <v>340</v>
      </c>
      <c r="C103" s="93" t="s">
        <v>1563</v>
      </c>
      <c r="D103" s="145">
        <v>1.0</v>
      </c>
      <c r="E103" s="145">
        <f t="shared" si="83"/>
        <v>48.91666667</v>
      </c>
      <c r="F103" s="145">
        <f t="shared" si="84"/>
        <v>6</v>
      </c>
      <c r="G103" s="145">
        <f t="shared" si="85"/>
        <v>54.16666667</v>
      </c>
      <c r="H103" s="145">
        <f t="shared" si="86"/>
        <v>5</v>
      </c>
      <c r="I103" s="145">
        <f t="shared" si="87"/>
        <v>44.41666667</v>
      </c>
      <c r="J103" s="145">
        <f t="shared" si="88"/>
        <v>7</v>
      </c>
      <c r="K103" s="145">
        <f t="shared" si="89"/>
        <v>0.1666666667</v>
      </c>
      <c r="L103" s="145">
        <f t="shared" si="90"/>
        <v>2</v>
      </c>
      <c r="M103" s="145">
        <f t="shared" si="91"/>
        <v>0.1666666667</v>
      </c>
      <c r="N103" s="145">
        <f t="shared" si="92"/>
        <v>2</v>
      </c>
      <c r="O103" s="145">
        <f t="shared" si="93"/>
        <v>0.1666666667</v>
      </c>
      <c r="P103" s="145">
        <f t="shared" si="94"/>
        <v>1</v>
      </c>
      <c r="Q103" s="145">
        <f t="shared" si="95"/>
        <v>8</v>
      </c>
      <c r="R103" s="145">
        <f t="shared" si="96"/>
        <v>7</v>
      </c>
      <c r="S103" s="145">
        <f t="shared" si="97"/>
        <v>8</v>
      </c>
      <c r="T103" s="93" t="s">
        <v>1651</v>
      </c>
      <c r="U103" s="93"/>
      <c r="V103" s="93"/>
      <c r="W103" s="93"/>
      <c r="X103" s="93"/>
    </row>
    <row r="104" ht="22.5" customHeight="1">
      <c r="A104" s="93">
        <v>6.0</v>
      </c>
      <c r="B104" s="93" t="s">
        <v>1406</v>
      </c>
      <c r="C104" s="93" t="s">
        <v>1563</v>
      </c>
      <c r="D104" s="145">
        <v>1.0</v>
      </c>
      <c r="E104" s="145">
        <f t="shared" si="83"/>
        <v>21.66666667</v>
      </c>
      <c r="F104" s="145">
        <f t="shared" si="84"/>
        <v>10</v>
      </c>
      <c r="G104" s="145">
        <f t="shared" si="85"/>
        <v>16.66666667</v>
      </c>
      <c r="H104" s="145">
        <f t="shared" si="86"/>
        <v>10</v>
      </c>
      <c r="I104" s="145">
        <f t="shared" si="87"/>
        <v>36.66666667</v>
      </c>
      <c r="J104" s="145">
        <f t="shared" si="88"/>
        <v>10</v>
      </c>
      <c r="K104" s="145">
        <f t="shared" si="89"/>
        <v>-3.333333333</v>
      </c>
      <c r="L104" s="145">
        <f t="shared" si="90"/>
        <v>0</v>
      </c>
      <c r="M104" s="145">
        <f t="shared" si="91"/>
        <v>-3.333333333</v>
      </c>
      <c r="N104" s="145">
        <f t="shared" si="92"/>
        <v>0</v>
      </c>
      <c r="O104" s="145">
        <f t="shared" si="93"/>
        <v>-3.333333333</v>
      </c>
      <c r="P104" s="145">
        <f t="shared" si="94"/>
        <v>1</v>
      </c>
      <c r="Q104" s="145">
        <f t="shared" si="95"/>
        <v>10</v>
      </c>
      <c r="R104" s="145">
        <f t="shared" si="96"/>
        <v>10</v>
      </c>
      <c r="S104" s="145">
        <f t="shared" si="97"/>
        <v>9</v>
      </c>
      <c r="T104" s="93" t="s">
        <v>1651</v>
      </c>
      <c r="U104" s="93"/>
      <c r="V104" s="93"/>
      <c r="W104" s="93"/>
      <c r="X104" s="93"/>
    </row>
    <row r="105" ht="22.5" customHeight="1">
      <c r="A105" s="93">
        <v>7.0</v>
      </c>
      <c r="B105" s="93" t="s">
        <v>1264</v>
      </c>
      <c r="C105" s="93" t="s">
        <v>1565</v>
      </c>
      <c r="D105" s="145">
        <v>-1.0</v>
      </c>
      <c r="E105" s="145">
        <f t="shared" ref="E105:E114" si="98">IF(AND(ISNUMBER(G15),F$10="Valid"),ROUND(G15+D105*$F$11*(F15-(SUM(C15:F15)-F15)/3),10),"Unranked")</f>
        <v>39.58333333</v>
      </c>
      <c r="F105" s="145">
        <f t="shared" ref="F105:F114" si="99">IF(ISNUMBER(E105),1+COUNTIF($E$105:$E$114,"&gt;"&amp;E105)+(COUNTIF($E$105:$E$114,E105)-1)/2,"Unranked")</f>
        <v>9</v>
      </c>
      <c r="G105" s="145">
        <f t="shared" ref="G105:G114" si="100">IF(AND(ISNUMBER(I15),G$10="Valid"),ROUND(I15+D105*$F$11*(F15-(SUM(C15:F15)-F15)/3),10),"Unranked")</f>
        <v>45.83333333</v>
      </c>
      <c r="H105" s="145">
        <f t="shared" ref="H105:H114" si="101">IF(ISNUMBER(G105),1+COUNTIF($G$105:$G$114,"&gt;"&amp;G105)+(COUNTIF($G$105:$G$114,G105)-1)/2,"Unranked")</f>
        <v>9</v>
      </c>
      <c r="I105" s="145">
        <f t="shared" ref="I105:I114" si="102">IF(AND(ISNUMBER(K15),H$10="Valid"),ROUND(K15+D105*$F$11*(F15-(SUM(C15:F15)-F15)/3),10),"Unranked")</f>
        <v>32.08333333</v>
      </c>
      <c r="J105" s="145">
        <f t="shared" ref="J105:J114" si="103">IF(ISNUMBER(I105),1+COUNTIF($I$105:$I$114,"&gt;"&amp;I105)+(COUNTIF($I$105:$I$114,I105)-1)/2,"Unranked")</f>
        <v>10</v>
      </c>
      <c r="K105" s="145">
        <f t="shared" ref="K105:K114" si="104">IF(ISNUMBER(E105),E105-G15,"Unranked")</f>
        <v>-4.166666667</v>
      </c>
      <c r="L105" s="145">
        <f t="shared" ref="L105:L114" si="105">IF(ISNUMBER(F105),ABS(F105-H15),"Unranked")</f>
        <v>0</v>
      </c>
      <c r="M105" s="145">
        <f t="shared" ref="M105:M114" si="106">IF(ISNUMBER(G105),G105-I15,"Unranked")</f>
        <v>-4.166666667</v>
      </c>
      <c r="N105" s="145">
        <f t="shared" ref="N105:N114" si="107">IF(ISNUMBER(H105),ABS(H105-J15),"Unranked")</f>
        <v>1</v>
      </c>
      <c r="O105" s="145">
        <f t="shared" ref="O105:O114" si="108">IF(ISNUMBER(I105),I105-K15,"Unranked")</f>
        <v>-4.166666667</v>
      </c>
      <c r="P105" s="145">
        <f t="shared" ref="P105:P114" si="109">IF(ISNUMBER(J105),ABS(J105-L15),"Unranked")</f>
        <v>0</v>
      </c>
      <c r="Q105" s="145">
        <f t="shared" ref="Q105:Q114" si="110">H15</f>
        <v>9</v>
      </c>
      <c r="R105" s="145">
        <f t="shared" ref="R105:R114" si="111">J15</f>
        <v>8</v>
      </c>
      <c r="S105" s="145">
        <f t="shared" ref="S105:S114" si="112">L15</f>
        <v>10</v>
      </c>
      <c r="T105" s="93" t="s">
        <v>1651</v>
      </c>
      <c r="U105" s="93"/>
      <c r="V105" s="93"/>
      <c r="W105" s="93"/>
      <c r="X105" s="93"/>
    </row>
    <row r="106" ht="22.5" customHeight="1">
      <c r="A106" s="93">
        <v>7.0</v>
      </c>
      <c r="B106" s="93" t="s">
        <v>299</v>
      </c>
      <c r="C106" s="93" t="s">
        <v>1565</v>
      </c>
      <c r="D106" s="145">
        <v>-1.0</v>
      </c>
      <c r="E106" s="145">
        <f t="shared" si="98"/>
        <v>74.08333333</v>
      </c>
      <c r="F106" s="145">
        <f t="shared" si="99"/>
        <v>1</v>
      </c>
      <c r="G106" s="145">
        <f t="shared" si="100"/>
        <v>69.83333333</v>
      </c>
      <c r="H106" s="145">
        <f t="shared" si="101"/>
        <v>1</v>
      </c>
      <c r="I106" s="145">
        <f t="shared" si="102"/>
        <v>64.33333333</v>
      </c>
      <c r="J106" s="145">
        <f t="shared" si="103"/>
        <v>2</v>
      </c>
      <c r="K106" s="145">
        <f t="shared" si="104"/>
        <v>2.833333333</v>
      </c>
      <c r="L106" s="145">
        <f t="shared" si="105"/>
        <v>0</v>
      </c>
      <c r="M106" s="145">
        <f t="shared" si="106"/>
        <v>2.833333333</v>
      </c>
      <c r="N106" s="145">
        <f t="shared" si="107"/>
        <v>2</v>
      </c>
      <c r="O106" s="145">
        <f t="shared" si="108"/>
        <v>2.833333333</v>
      </c>
      <c r="P106" s="145">
        <f t="shared" si="109"/>
        <v>2</v>
      </c>
      <c r="Q106" s="145">
        <f t="shared" si="110"/>
        <v>1</v>
      </c>
      <c r="R106" s="145">
        <f t="shared" si="111"/>
        <v>3</v>
      </c>
      <c r="S106" s="145">
        <f t="shared" si="112"/>
        <v>4</v>
      </c>
      <c r="T106" s="93" t="s">
        <v>1651</v>
      </c>
      <c r="U106" s="93"/>
      <c r="V106" s="93"/>
      <c r="W106" s="93"/>
      <c r="X106" s="93"/>
    </row>
    <row r="107" ht="22.5" customHeight="1">
      <c r="A107" s="93">
        <v>7.0</v>
      </c>
      <c r="B107" s="93" t="s">
        <v>305</v>
      </c>
      <c r="C107" s="93" t="s">
        <v>1565</v>
      </c>
      <c r="D107" s="145">
        <v>-1.0</v>
      </c>
      <c r="E107" s="145">
        <f t="shared" si="98"/>
        <v>59.41666667</v>
      </c>
      <c r="F107" s="145">
        <f t="shared" si="99"/>
        <v>4</v>
      </c>
      <c r="G107" s="145">
        <f t="shared" si="100"/>
        <v>57.16666667</v>
      </c>
      <c r="H107" s="145">
        <f t="shared" si="101"/>
        <v>5</v>
      </c>
      <c r="I107" s="145">
        <f t="shared" si="102"/>
        <v>59.91666667</v>
      </c>
      <c r="J107" s="145">
        <f t="shared" si="103"/>
        <v>4</v>
      </c>
      <c r="K107" s="145">
        <f t="shared" si="104"/>
        <v>-1.833333333</v>
      </c>
      <c r="L107" s="145">
        <f t="shared" si="105"/>
        <v>0</v>
      </c>
      <c r="M107" s="145">
        <f t="shared" si="106"/>
        <v>-1.833333333</v>
      </c>
      <c r="N107" s="145">
        <f t="shared" si="107"/>
        <v>0</v>
      </c>
      <c r="O107" s="145">
        <f t="shared" si="108"/>
        <v>-1.833333333</v>
      </c>
      <c r="P107" s="145">
        <f t="shared" si="109"/>
        <v>1</v>
      </c>
      <c r="Q107" s="145">
        <f t="shared" si="110"/>
        <v>4</v>
      </c>
      <c r="R107" s="145">
        <f t="shared" si="111"/>
        <v>5</v>
      </c>
      <c r="S107" s="145">
        <f t="shared" si="112"/>
        <v>3</v>
      </c>
      <c r="T107" s="93" t="s">
        <v>1651</v>
      </c>
      <c r="U107" s="93"/>
      <c r="V107" s="93"/>
      <c r="W107" s="93"/>
      <c r="X107" s="93"/>
    </row>
    <row r="108" ht="22.5" customHeight="1">
      <c r="A108" s="93">
        <v>7.0</v>
      </c>
      <c r="B108" s="93" t="s">
        <v>311</v>
      </c>
      <c r="C108" s="93" t="s">
        <v>1565</v>
      </c>
      <c r="D108" s="145">
        <v>-1.0</v>
      </c>
      <c r="E108" s="145">
        <f t="shared" si="98"/>
        <v>58</v>
      </c>
      <c r="F108" s="145">
        <f t="shared" si="99"/>
        <v>5</v>
      </c>
      <c r="G108" s="145">
        <f t="shared" si="100"/>
        <v>58.5</v>
      </c>
      <c r="H108" s="145">
        <f t="shared" si="101"/>
        <v>4</v>
      </c>
      <c r="I108" s="145">
        <f t="shared" si="102"/>
        <v>47.75</v>
      </c>
      <c r="J108" s="145">
        <f t="shared" si="103"/>
        <v>6</v>
      </c>
      <c r="K108" s="145">
        <f t="shared" si="104"/>
        <v>-2</v>
      </c>
      <c r="L108" s="145">
        <f t="shared" si="105"/>
        <v>0</v>
      </c>
      <c r="M108" s="145">
        <f t="shared" si="106"/>
        <v>-2</v>
      </c>
      <c r="N108" s="145">
        <f t="shared" si="107"/>
        <v>0</v>
      </c>
      <c r="O108" s="145">
        <f t="shared" si="108"/>
        <v>-2</v>
      </c>
      <c r="P108" s="145">
        <f t="shared" si="109"/>
        <v>0</v>
      </c>
      <c r="Q108" s="145">
        <f t="shared" si="110"/>
        <v>5</v>
      </c>
      <c r="R108" s="145">
        <f t="shared" si="111"/>
        <v>4</v>
      </c>
      <c r="S108" s="145">
        <f t="shared" si="112"/>
        <v>6</v>
      </c>
      <c r="T108" s="93" t="s">
        <v>1651</v>
      </c>
      <c r="U108" s="93"/>
      <c r="V108" s="93"/>
      <c r="W108" s="93"/>
      <c r="X108" s="93"/>
    </row>
    <row r="109" ht="22.5" customHeight="1">
      <c r="A109" s="93">
        <v>7.0</v>
      </c>
      <c r="B109" s="93" t="s">
        <v>1391</v>
      </c>
      <c r="C109" s="93" t="s">
        <v>1565</v>
      </c>
      <c r="D109" s="145">
        <v>-1.0</v>
      </c>
      <c r="E109" s="145">
        <f t="shared" si="98"/>
        <v>67.91666667</v>
      </c>
      <c r="F109" s="145">
        <f t="shared" si="99"/>
        <v>2.5</v>
      </c>
      <c r="G109" s="145">
        <f t="shared" si="100"/>
        <v>69.16666667</v>
      </c>
      <c r="H109" s="145">
        <f t="shared" si="101"/>
        <v>2</v>
      </c>
      <c r="I109" s="145">
        <f t="shared" si="102"/>
        <v>75.41666667</v>
      </c>
      <c r="J109" s="145">
        <f t="shared" si="103"/>
        <v>1</v>
      </c>
      <c r="K109" s="145">
        <f t="shared" si="104"/>
        <v>-0.8333333333</v>
      </c>
      <c r="L109" s="145">
        <f t="shared" si="105"/>
        <v>0</v>
      </c>
      <c r="M109" s="145">
        <f t="shared" si="106"/>
        <v>-0.8333333333</v>
      </c>
      <c r="N109" s="145">
        <f t="shared" si="107"/>
        <v>1</v>
      </c>
      <c r="O109" s="145">
        <f t="shared" si="108"/>
        <v>-0.8333333333</v>
      </c>
      <c r="P109" s="145">
        <f t="shared" si="109"/>
        <v>0</v>
      </c>
      <c r="Q109" s="145">
        <f t="shared" si="110"/>
        <v>2.5</v>
      </c>
      <c r="R109" s="145">
        <f t="shared" si="111"/>
        <v>1</v>
      </c>
      <c r="S109" s="145">
        <f t="shared" si="112"/>
        <v>1</v>
      </c>
      <c r="T109" s="93" t="s">
        <v>1651</v>
      </c>
      <c r="U109" s="93"/>
      <c r="V109" s="93"/>
      <c r="W109" s="93"/>
      <c r="X109" s="93"/>
    </row>
    <row r="110" ht="22.5" customHeight="1">
      <c r="A110" s="93">
        <v>7.0</v>
      </c>
      <c r="B110" s="93" t="s">
        <v>322</v>
      </c>
      <c r="C110" s="93" t="s">
        <v>1565</v>
      </c>
      <c r="D110" s="145">
        <v>-1.0</v>
      </c>
      <c r="E110" s="145">
        <f t="shared" si="98"/>
        <v>54.25</v>
      </c>
      <c r="F110" s="145">
        <f t="shared" si="99"/>
        <v>6</v>
      </c>
      <c r="G110" s="145">
        <f t="shared" si="100"/>
        <v>48.5</v>
      </c>
      <c r="H110" s="145">
        <f t="shared" si="101"/>
        <v>8</v>
      </c>
      <c r="I110" s="145">
        <f t="shared" si="102"/>
        <v>54</v>
      </c>
      <c r="J110" s="145">
        <f t="shared" si="103"/>
        <v>5</v>
      </c>
      <c r="K110" s="145">
        <f t="shared" si="104"/>
        <v>0.5</v>
      </c>
      <c r="L110" s="145">
        <f t="shared" si="105"/>
        <v>1</v>
      </c>
      <c r="M110" s="145">
        <f t="shared" si="106"/>
        <v>0.5</v>
      </c>
      <c r="N110" s="145">
        <f t="shared" si="107"/>
        <v>1</v>
      </c>
      <c r="O110" s="145">
        <f t="shared" si="108"/>
        <v>0.5</v>
      </c>
      <c r="P110" s="145">
        <f t="shared" si="109"/>
        <v>0</v>
      </c>
      <c r="Q110" s="145">
        <f t="shared" si="110"/>
        <v>7</v>
      </c>
      <c r="R110" s="145">
        <f t="shared" si="111"/>
        <v>9</v>
      </c>
      <c r="S110" s="145">
        <f t="shared" si="112"/>
        <v>5</v>
      </c>
      <c r="T110" s="93" t="s">
        <v>1651</v>
      </c>
      <c r="U110" s="93"/>
      <c r="V110" s="93"/>
      <c r="W110" s="93"/>
      <c r="X110" s="93"/>
    </row>
    <row r="111" ht="22.5" customHeight="1">
      <c r="A111" s="93">
        <v>7.0</v>
      </c>
      <c r="B111" s="93" t="s">
        <v>1437</v>
      </c>
      <c r="C111" s="93" t="s">
        <v>1565</v>
      </c>
      <c r="D111" s="145">
        <v>-1.0</v>
      </c>
      <c r="E111" s="145">
        <f t="shared" si="98"/>
        <v>48.29166667</v>
      </c>
      <c r="F111" s="145">
        <f t="shared" si="99"/>
        <v>7</v>
      </c>
      <c r="G111" s="145">
        <f t="shared" si="100"/>
        <v>52.41666667</v>
      </c>
      <c r="H111" s="145">
        <f t="shared" si="101"/>
        <v>6</v>
      </c>
      <c r="I111" s="145">
        <f t="shared" si="102"/>
        <v>40.91666667</v>
      </c>
      <c r="J111" s="145">
        <f t="shared" si="103"/>
        <v>8</v>
      </c>
      <c r="K111" s="145">
        <f t="shared" si="104"/>
        <v>-6.083333333</v>
      </c>
      <c r="L111" s="145">
        <f t="shared" si="105"/>
        <v>1</v>
      </c>
      <c r="M111" s="145">
        <f t="shared" si="106"/>
        <v>-6.083333333</v>
      </c>
      <c r="N111" s="145">
        <f t="shared" si="107"/>
        <v>0</v>
      </c>
      <c r="O111" s="145">
        <f t="shared" si="108"/>
        <v>-6.083333333</v>
      </c>
      <c r="P111" s="145">
        <f t="shared" si="109"/>
        <v>1</v>
      </c>
      <c r="Q111" s="145">
        <f t="shared" si="110"/>
        <v>6</v>
      </c>
      <c r="R111" s="145">
        <f t="shared" si="111"/>
        <v>6</v>
      </c>
      <c r="S111" s="145">
        <f t="shared" si="112"/>
        <v>7</v>
      </c>
      <c r="T111" s="93" t="s">
        <v>1651</v>
      </c>
      <c r="U111" s="93"/>
      <c r="V111" s="93"/>
      <c r="W111" s="93"/>
      <c r="X111" s="93"/>
    </row>
    <row r="112" ht="22.5" customHeight="1">
      <c r="A112" s="93">
        <v>7.0</v>
      </c>
      <c r="B112" s="93" t="s">
        <v>334</v>
      </c>
      <c r="C112" s="93" t="s">
        <v>1565</v>
      </c>
      <c r="D112" s="145">
        <v>-1.0</v>
      </c>
      <c r="E112" s="145">
        <f t="shared" si="98"/>
        <v>67.91666667</v>
      </c>
      <c r="F112" s="145">
        <f t="shared" si="99"/>
        <v>2.5</v>
      </c>
      <c r="G112" s="145">
        <f t="shared" si="100"/>
        <v>66.66666667</v>
      </c>
      <c r="H112" s="145">
        <f t="shared" si="101"/>
        <v>3</v>
      </c>
      <c r="I112" s="145">
        <f t="shared" si="102"/>
        <v>62.91666667</v>
      </c>
      <c r="J112" s="145">
        <f t="shared" si="103"/>
        <v>3</v>
      </c>
      <c r="K112" s="145">
        <f t="shared" si="104"/>
        <v>-0.8333333333</v>
      </c>
      <c r="L112" s="145">
        <f t="shared" si="105"/>
        <v>0</v>
      </c>
      <c r="M112" s="145">
        <f t="shared" si="106"/>
        <v>-0.8333333333</v>
      </c>
      <c r="N112" s="145">
        <f t="shared" si="107"/>
        <v>1</v>
      </c>
      <c r="O112" s="145">
        <f t="shared" si="108"/>
        <v>-0.8333333333</v>
      </c>
      <c r="P112" s="145">
        <f t="shared" si="109"/>
        <v>1</v>
      </c>
      <c r="Q112" s="145">
        <f t="shared" si="110"/>
        <v>2.5</v>
      </c>
      <c r="R112" s="145">
        <f t="shared" si="111"/>
        <v>2</v>
      </c>
      <c r="S112" s="145">
        <f t="shared" si="112"/>
        <v>2</v>
      </c>
      <c r="T112" s="93" t="s">
        <v>1651</v>
      </c>
      <c r="U112" s="93"/>
      <c r="V112" s="93"/>
      <c r="W112" s="93"/>
      <c r="X112" s="93"/>
    </row>
    <row r="113" ht="22.5" customHeight="1">
      <c r="A113" s="93">
        <v>7.0</v>
      </c>
      <c r="B113" s="93" t="s">
        <v>340</v>
      </c>
      <c r="C113" s="93" t="s">
        <v>1565</v>
      </c>
      <c r="D113" s="145">
        <v>-1.0</v>
      </c>
      <c r="E113" s="145">
        <f t="shared" si="98"/>
        <v>45.25</v>
      </c>
      <c r="F113" s="145">
        <f t="shared" si="99"/>
        <v>8</v>
      </c>
      <c r="G113" s="145">
        <f t="shared" si="100"/>
        <v>50.5</v>
      </c>
      <c r="H113" s="145">
        <f t="shared" si="101"/>
        <v>7</v>
      </c>
      <c r="I113" s="145">
        <f t="shared" si="102"/>
        <v>40.75</v>
      </c>
      <c r="J113" s="145">
        <f t="shared" si="103"/>
        <v>9</v>
      </c>
      <c r="K113" s="145">
        <f t="shared" si="104"/>
        <v>-3.5</v>
      </c>
      <c r="L113" s="145">
        <f t="shared" si="105"/>
        <v>0</v>
      </c>
      <c r="M113" s="145">
        <f t="shared" si="106"/>
        <v>-3.5</v>
      </c>
      <c r="N113" s="145">
        <f t="shared" si="107"/>
        <v>0</v>
      </c>
      <c r="O113" s="145">
        <f t="shared" si="108"/>
        <v>-3.5</v>
      </c>
      <c r="P113" s="145">
        <f t="shared" si="109"/>
        <v>1</v>
      </c>
      <c r="Q113" s="145">
        <f t="shared" si="110"/>
        <v>8</v>
      </c>
      <c r="R113" s="145">
        <f t="shared" si="111"/>
        <v>7</v>
      </c>
      <c r="S113" s="145">
        <f t="shared" si="112"/>
        <v>8</v>
      </c>
      <c r="T113" s="93" t="s">
        <v>1651</v>
      </c>
      <c r="U113" s="93"/>
      <c r="V113" s="93"/>
      <c r="W113" s="93"/>
      <c r="X113" s="93"/>
    </row>
    <row r="114" ht="22.5" customHeight="1">
      <c r="A114" s="93">
        <v>7.0</v>
      </c>
      <c r="B114" s="93" t="s">
        <v>1406</v>
      </c>
      <c r="C114" s="93" t="s">
        <v>1565</v>
      </c>
      <c r="D114" s="145">
        <v>-1.0</v>
      </c>
      <c r="E114" s="145">
        <f t="shared" si="98"/>
        <v>28.33333333</v>
      </c>
      <c r="F114" s="145">
        <f t="shared" si="99"/>
        <v>10</v>
      </c>
      <c r="G114" s="145">
        <f t="shared" si="100"/>
        <v>23.33333333</v>
      </c>
      <c r="H114" s="145">
        <f t="shared" si="101"/>
        <v>10</v>
      </c>
      <c r="I114" s="145">
        <f t="shared" si="102"/>
        <v>43.33333333</v>
      </c>
      <c r="J114" s="145">
        <f t="shared" si="103"/>
        <v>7</v>
      </c>
      <c r="K114" s="145">
        <f t="shared" si="104"/>
        <v>3.333333333</v>
      </c>
      <c r="L114" s="145">
        <f t="shared" si="105"/>
        <v>0</v>
      </c>
      <c r="M114" s="145">
        <f t="shared" si="106"/>
        <v>3.333333333</v>
      </c>
      <c r="N114" s="145">
        <f t="shared" si="107"/>
        <v>0</v>
      </c>
      <c r="O114" s="145">
        <f t="shared" si="108"/>
        <v>3.333333333</v>
      </c>
      <c r="P114" s="145">
        <f t="shared" si="109"/>
        <v>2</v>
      </c>
      <c r="Q114" s="145">
        <f t="shared" si="110"/>
        <v>10</v>
      </c>
      <c r="R114" s="145">
        <f t="shared" si="111"/>
        <v>10</v>
      </c>
      <c r="S114" s="145">
        <f t="shared" si="112"/>
        <v>9</v>
      </c>
      <c r="T114" s="93" t="s">
        <v>1651</v>
      </c>
      <c r="U114" s="93"/>
      <c r="V114" s="93"/>
      <c r="W114" s="93"/>
      <c r="X114" s="93"/>
    </row>
    <row r="115" ht="22.5" customHeight="1">
      <c r="A115" s="93">
        <v>8.0</v>
      </c>
      <c r="B115" s="93" t="s">
        <v>1264</v>
      </c>
      <c r="C115" s="93" t="s">
        <v>1565</v>
      </c>
      <c r="D115" s="145">
        <v>1.0</v>
      </c>
      <c r="E115" s="145">
        <f t="shared" ref="E115:E124" si="113">IF(AND(ISNUMBER(G15),F$10="Valid"),ROUND(G15+D115*$F$11*(F15-(SUM(C15:F15)-F15)/3),10),"Unranked")</f>
        <v>47.91666667</v>
      </c>
      <c r="F115" s="145">
        <f t="shared" ref="F115:F124" si="114">IF(ISNUMBER(E115),1+COUNTIF($E$115:$E$124,"&gt;"&amp;E115)+(COUNTIF($E$115:$E$124,E115)-1)/2,"Unranked")</f>
        <v>9</v>
      </c>
      <c r="G115" s="145">
        <f t="shared" ref="G115:G124" si="115">IF(AND(ISNUMBER(I15),G$10="Valid"),ROUND(I15+D115*$F$11*(F15-(SUM(C15:F15)-F15)/3),10),"Unranked")</f>
        <v>54.16666667</v>
      </c>
      <c r="H115" s="145">
        <f t="shared" ref="H115:H124" si="116">IF(ISNUMBER(G115),1+COUNTIF($G$115:$G$124,"&gt;"&amp;G115)+(COUNTIF($G$115:$G$124,G115)-1)/2,"Unranked")</f>
        <v>8</v>
      </c>
      <c r="I115" s="145">
        <f t="shared" ref="I115:I124" si="117">IF(AND(ISNUMBER(K15),H$10="Valid"),ROUND(K15+D115*$F$11*(F15-(SUM(C15:F15)-F15)/3),10),"Unranked")</f>
        <v>40.41666667</v>
      </c>
      <c r="J115" s="145">
        <f t="shared" ref="J115:J124" si="118">IF(ISNUMBER(I115),1+COUNTIF($I$115:$I$124,"&gt;"&amp;I115)+(COUNTIF($I$115:$I$124,I115)-1)/2,"Unranked")</f>
        <v>9</v>
      </c>
      <c r="K115" s="145">
        <f t="shared" ref="K115:K124" si="119">IF(ISNUMBER(E115),E115-G15,"Unranked")</f>
        <v>4.166666667</v>
      </c>
      <c r="L115" s="145">
        <f t="shared" ref="L115:L124" si="120">IF(ISNUMBER(F115),ABS(F115-H15),"Unranked")</f>
        <v>0</v>
      </c>
      <c r="M115" s="145">
        <f t="shared" ref="M115:M124" si="121">IF(ISNUMBER(G115),G115-I15,"Unranked")</f>
        <v>4.166666667</v>
      </c>
      <c r="N115" s="145">
        <f t="shared" ref="N115:N124" si="122">IF(ISNUMBER(H115),ABS(H115-J15),"Unranked")</f>
        <v>0</v>
      </c>
      <c r="O115" s="145">
        <f t="shared" ref="O115:O124" si="123">IF(ISNUMBER(I115),I115-K15,"Unranked")</f>
        <v>4.166666667</v>
      </c>
      <c r="P115" s="145">
        <f t="shared" ref="P115:P124" si="124">IF(ISNUMBER(J115),ABS(J115-L15),"Unranked")</f>
        <v>1</v>
      </c>
      <c r="Q115" s="145">
        <f t="shared" ref="Q115:Q124" si="125">H15</f>
        <v>9</v>
      </c>
      <c r="R115" s="145">
        <f t="shared" ref="R115:R124" si="126">J15</f>
        <v>8</v>
      </c>
      <c r="S115" s="145">
        <f t="shared" ref="S115:S124" si="127">L15</f>
        <v>10</v>
      </c>
      <c r="T115" s="93" t="s">
        <v>1651</v>
      </c>
      <c r="U115" s="93"/>
      <c r="V115" s="93"/>
      <c r="W115" s="93"/>
      <c r="X115" s="93"/>
    </row>
    <row r="116" ht="22.5" customHeight="1">
      <c r="A116" s="93">
        <v>8.0</v>
      </c>
      <c r="B116" s="93" t="s">
        <v>299</v>
      </c>
      <c r="C116" s="93" t="s">
        <v>1565</v>
      </c>
      <c r="D116" s="145">
        <v>1.0</v>
      </c>
      <c r="E116" s="145">
        <f t="shared" si="113"/>
        <v>68.41666667</v>
      </c>
      <c r="F116" s="145">
        <f t="shared" si="114"/>
        <v>3</v>
      </c>
      <c r="G116" s="145">
        <f t="shared" si="115"/>
        <v>64.16666667</v>
      </c>
      <c r="H116" s="145">
        <f t="shared" si="116"/>
        <v>4</v>
      </c>
      <c r="I116" s="145">
        <f t="shared" si="117"/>
        <v>58.66666667</v>
      </c>
      <c r="J116" s="145">
        <f t="shared" si="118"/>
        <v>4</v>
      </c>
      <c r="K116" s="145">
        <f t="shared" si="119"/>
        <v>-2.833333333</v>
      </c>
      <c r="L116" s="145">
        <f t="shared" si="120"/>
        <v>2</v>
      </c>
      <c r="M116" s="145">
        <f t="shared" si="121"/>
        <v>-2.833333333</v>
      </c>
      <c r="N116" s="145">
        <f t="shared" si="122"/>
        <v>1</v>
      </c>
      <c r="O116" s="145">
        <f t="shared" si="123"/>
        <v>-2.833333333</v>
      </c>
      <c r="P116" s="145">
        <f t="shared" si="124"/>
        <v>0</v>
      </c>
      <c r="Q116" s="145">
        <f t="shared" si="125"/>
        <v>1</v>
      </c>
      <c r="R116" s="145">
        <f t="shared" si="126"/>
        <v>3</v>
      </c>
      <c r="S116" s="145">
        <f t="shared" si="127"/>
        <v>4</v>
      </c>
      <c r="T116" s="93" t="s">
        <v>1651</v>
      </c>
      <c r="U116" s="93"/>
      <c r="V116" s="93"/>
      <c r="W116" s="93"/>
      <c r="X116" s="93"/>
    </row>
    <row r="117" ht="22.5" customHeight="1">
      <c r="A117" s="93">
        <v>8.0</v>
      </c>
      <c r="B117" s="93" t="s">
        <v>305</v>
      </c>
      <c r="C117" s="93" t="s">
        <v>1565</v>
      </c>
      <c r="D117" s="145">
        <v>1.0</v>
      </c>
      <c r="E117" s="145">
        <f t="shared" si="113"/>
        <v>63.08333333</v>
      </c>
      <c r="F117" s="145">
        <f t="shared" si="114"/>
        <v>4</v>
      </c>
      <c r="G117" s="145">
        <f t="shared" si="115"/>
        <v>60.83333333</v>
      </c>
      <c r="H117" s="145">
        <f t="shared" si="116"/>
        <v>6</v>
      </c>
      <c r="I117" s="145">
        <f t="shared" si="117"/>
        <v>63.58333333</v>
      </c>
      <c r="J117" s="145">
        <f t="shared" si="118"/>
        <v>3</v>
      </c>
      <c r="K117" s="145">
        <f t="shared" si="119"/>
        <v>1.833333333</v>
      </c>
      <c r="L117" s="145">
        <f t="shared" si="120"/>
        <v>0</v>
      </c>
      <c r="M117" s="145">
        <f t="shared" si="121"/>
        <v>1.833333333</v>
      </c>
      <c r="N117" s="145">
        <f t="shared" si="122"/>
        <v>1</v>
      </c>
      <c r="O117" s="145">
        <f t="shared" si="123"/>
        <v>1.833333333</v>
      </c>
      <c r="P117" s="145">
        <f t="shared" si="124"/>
        <v>0</v>
      </c>
      <c r="Q117" s="145">
        <f t="shared" si="125"/>
        <v>4</v>
      </c>
      <c r="R117" s="145">
        <f t="shared" si="126"/>
        <v>5</v>
      </c>
      <c r="S117" s="145">
        <f t="shared" si="127"/>
        <v>3</v>
      </c>
      <c r="T117" s="93" t="s">
        <v>1651</v>
      </c>
      <c r="U117" s="93"/>
      <c r="V117" s="93"/>
      <c r="W117" s="93"/>
      <c r="X117" s="93"/>
    </row>
    <row r="118" ht="22.5" customHeight="1">
      <c r="A118" s="93">
        <v>8.0</v>
      </c>
      <c r="B118" s="93" t="s">
        <v>311</v>
      </c>
      <c r="C118" s="93" t="s">
        <v>1565</v>
      </c>
      <c r="D118" s="145">
        <v>1.0</v>
      </c>
      <c r="E118" s="145">
        <f t="shared" si="113"/>
        <v>62</v>
      </c>
      <c r="F118" s="145">
        <f t="shared" si="114"/>
        <v>5</v>
      </c>
      <c r="G118" s="145">
        <f t="shared" si="115"/>
        <v>62.5</v>
      </c>
      <c r="H118" s="145">
        <f t="shared" si="116"/>
        <v>5</v>
      </c>
      <c r="I118" s="145">
        <f t="shared" si="117"/>
        <v>51.75</v>
      </c>
      <c r="J118" s="145">
        <f t="shared" si="118"/>
        <v>7</v>
      </c>
      <c r="K118" s="145">
        <f t="shared" si="119"/>
        <v>2</v>
      </c>
      <c r="L118" s="145">
        <f t="shared" si="120"/>
        <v>0</v>
      </c>
      <c r="M118" s="145">
        <f t="shared" si="121"/>
        <v>2</v>
      </c>
      <c r="N118" s="145">
        <f t="shared" si="122"/>
        <v>1</v>
      </c>
      <c r="O118" s="145">
        <f t="shared" si="123"/>
        <v>2</v>
      </c>
      <c r="P118" s="145">
        <f t="shared" si="124"/>
        <v>1</v>
      </c>
      <c r="Q118" s="145">
        <f t="shared" si="125"/>
        <v>5</v>
      </c>
      <c r="R118" s="145">
        <f t="shared" si="126"/>
        <v>4</v>
      </c>
      <c r="S118" s="145">
        <f t="shared" si="127"/>
        <v>6</v>
      </c>
      <c r="T118" s="93" t="s">
        <v>1651</v>
      </c>
      <c r="U118" s="93"/>
      <c r="V118" s="93"/>
      <c r="W118" s="93"/>
      <c r="X118" s="93"/>
    </row>
    <row r="119" ht="22.5" customHeight="1">
      <c r="A119" s="93">
        <v>8.0</v>
      </c>
      <c r="B119" s="93" t="s">
        <v>1391</v>
      </c>
      <c r="C119" s="93" t="s">
        <v>1565</v>
      </c>
      <c r="D119" s="145">
        <v>1.0</v>
      </c>
      <c r="E119" s="145">
        <f t="shared" si="113"/>
        <v>69.58333333</v>
      </c>
      <c r="F119" s="145">
        <f t="shared" si="114"/>
        <v>1.5</v>
      </c>
      <c r="G119" s="145">
        <f t="shared" si="115"/>
        <v>70.83333333</v>
      </c>
      <c r="H119" s="145">
        <f t="shared" si="116"/>
        <v>1</v>
      </c>
      <c r="I119" s="145">
        <f t="shared" si="117"/>
        <v>77.08333333</v>
      </c>
      <c r="J119" s="145">
        <f t="shared" si="118"/>
        <v>1</v>
      </c>
      <c r="K119" s="145">
        <f t="shared" si="119"/>
        <v>0.8333333333</v>
      </c>
      <c r="L119" s="145">
        <f t="shared" si="120"/>
        <v>1</v>
      </c>
      <c r="M119" s="145">
        <f t="shared" si="121"/>
        <v>0.8333333333</v>
      </c>
      <c r="N119" s="145">
        <f t="shared" si="122"/>
        <v>0</v>
      </c>
      <c r="O119" s="145">
        <f t="shared" si="123"/>
        <v>0.8333333333</v>
      </c>
      <c r="P119" s="145">
        <f t="shared" si="124"/>
        <v>0</v>
      </c>
      <c r="Q119" s="145">
        <f t="shared" si="125"/>
        <v>2.5</v>
      </c>
      <c r="R119" s="145">
        <f t="shared" si="126"/>
        <v>1</v>
      </c>
      <c r="S119" s="145">
        <f t="shared" si="127"/>
        <v>1</v>
      </c>
      <c r="T119" s="93" t="s">
        <v>1651</v>
      </c>
      <c r="U119" s="93"/>
      <c r="V119" s="93"/>
      <c r="W119" s="93"/>
      <c r="X119" s="93"/>
    </row>
    <row r="120" ht="22.5" customHeight="1">
      <c r="A120" s="93">
        <v>8.0</v>
      </c>
      <c r="B120" s="93" t="s">
        <v>322</v>
      </c>
      <c r="C120" s="93" t="s">
        <v>1565</v>
      </c>
      <c r="D120" s="145">
        <v>1.0</v>
      </c>
      <c r="E120" s="145">
        <f t="shared" si="113"/>
        <v>53.25</v>
      </c>
      <c r="F120" s="145">
        <f t="shared" si="114"/>
        <v>7</v>
      </c>
      <c r="G120" s="145">
        <f t="shared" si="115"/>
        <v>47.5</v>
      </c>
      <c r="H120" s="145">
        <f t="shared" si="116"/>
        <v>9</v>
      </c>
      <c r="I120" s="145">
        <f t="shared" si="117"/>
        <v>53</v>
      </c>
      <c r="J120" s="145">
        <f t="shared" si="118"/>
        <v>6</v>
      </c>
      <c r="K120" s="145">
        <f t="shared" si="119"/>
        <v>-0.5</v>
      </c>
      <c r="L120" s="145">
        <f t="shared" si="120"/>
        <v>0</v>
      </c>
      <c r="M120" s="145">
        <f t="shared" si="121"/>
        <v>-0.5</v>
      </c>
      <c r="N120" s="145">
        <f t="shared" si="122"/>
        <v>0</v>
      </c>
      <c r="O120" s="145">
        <f t="shared" si="123"/>
        <v>-0.5</v>
      </c>
      <c r="P120" s="145">
        <f t="shared" si="124"/>
        <v>1</v>
      </c>
      <c r="Q120" s="145">
        <f t="shared" si="125"/>
        <v>7</v>
      </c>
      <c r="R120" s="145">
        <f t="shared" si="126"/>
        <v>9</v>
      </c>
      <c r="S120" s="145">
        <f t="shared" si="127"/>
        <v>5</v>
      </c>
      <c r="T120" s="93" t="s">
        <v>1651</v>
      </c>
      <c r="U120" s="93"/>
      <c r="V120" s="93"/>
      <c r="W120" s="93"/>
      <c r="X120" s="93"/>
    </row>
    <row r="121" ht="22.5" customHeight="1">
      <c r="A121" s="93">
        <v>8.0</v>
      </c>
      <c r="B121" s="93" t="s">
        <v>1437</v>
      </c>
      <c r="C121" s="93" t="s">
        <v>1565</v>
      </c>
      <c r="D121" s="145">
        <v>1.0</v>
      </c>
      <c r="E121" s="145">
        <f t="shared" si="113"/>
        <v>60.45833333</v>
      </c>
      <c r="F121" s="145">
        <f t="shared" si="114"/>
        <v>6</v>
      </c>
      <c r="G121" s="145">
        <f t="shared" si="115"/>
        <v>64.58333333</v>
      </c>
      <c r="H121" s="145">
        <f t="shared" si="116"/>
        <v>3</v>
      </c>
      <c r="I121" s="145">
        <f t="shared" si="117"/>
        <v>53.08333333</v>
      </c>
      <c r="J121" s="145">
        <f t="shared" si="118"/>
        <v>5</v>
      </c>
      <c r="K121" s="145">
        <f t="shared" si="119"/>
        <v>6.083333333</v>
      </c>
      <c r="L121" s="145">
        <f t="shared" si="120"/>
        <v>0</v>
      </c>
      <c r="M121" s="145">
        <f t="shared" si="121"/>
        <v>6.083333333</v>
      </c>
      <c r="N121" s="145">
        <f t="shared" si="122"/>
        <v>3</v>
      </c>
      <c r="O121" s="145">
        <f t="shared" si="123"/>
        <v>6.083333333</v>
      </c>
      <c r="P121" s="145">
        <f t="shared" si="124"/>
        <v>2</v>
      </c>
      <c r="Q121" s="145">
        <f t="shared" si="125"/>
        <v>6</v>
      </c>
      <c r="R121" s="145">
        <f t="shared" si="126"/>
        <v>6</v>
      </c>
      <c r="S121" s="145">
        <f t="shared" si="127"/>
        <v>7</v>
      </c>
      <c r="T121" s="93" t="s">
        <v>1651</v>
      </c>
      <c r="U121" s="93"/>
      <c r="V121" s="93"/>
      <c r="W121" s="93"/>
      <c r="X121" s="93"/>
    </row>
    <row r="122" ht="22.5" customHeight="1">
      <c r="A122" s="93">
        <v>8.0</v>
      </c>
      <c r="B122" s="93" t="s">
        <v>334</v>
      </c>
      <c r="C122" s="93" t="s">
        <v>1565</v>
      </c>
      <c r="D122" s="145">
        <v>1.0</v>
      </c>
      <c r="E122" s="145">
        <f t="shared" si="113"/>
        <v>69.58333333</v>
      </c>
      <c r="F122" s="145">
        <f t="shared" si="114"/>
        <v>1.5</v>
      </c>
      <c r="G122" s="145">
        <f t="shared" si="115"/>
        <v>68.33333333</v>
      </c>
      <c r="H122" s="145">
        <f t="shared" si="116"/>
        <v>2</v>
      </c>
      <c r="I122" s="145">
        <f t="shared" si="117"/>
        <v>64.58333333</v>
      </c>
      <c r="J122" s="145">
        <f t="shared" si="118"/>
        <v>2</v>
      </c>
      <c r="K122" s="145">
        <f t="shared" si="119"/>
        <v>0.8333333333</v>
      </c>
      <c r="L122" s="145">
        <f t="shared" si="120"/>
        <v>1</v>
      </c>
      <c r="M122" s="145">
        <f t="shared" si="121"/>
        <v>0.8333333333</v>
      </c>
      <c r="N122" s="145">
        <f t="shared" si="122"/>
        <v>0</v>
      </c>
      <c r="O122" s="145">
        <f t="shared" si="123"/>
        <v>0.8333333333</v>
      </c>
      <c r="P122" s="145">
        <f t="shared" si="124"/>
        <v>0</v>
      </c>
      <c r="Q122" s="145">
        <f t="shared" si="125"/>
        <v>2.5</v>
      </c>
      <c r="R122" s="145">
        <f t="shared" si="126"/>
        <v>2</v>
      </c>
      <c r="S122" s="145">
        <f t="shared" si="127"/>
        <v>2</v>
      </c>
      <c r="T122" s="93" t="s">
        <v>1651</v>
      </c>
      <c r="U122" s="93"/>
      <c r="V122" s="93"/>
      <c r="W122" s="93"/>
      <c r="X122" s="93"/>
    </row>
    <row r="123" ht="22.5" customHeight="1">
      <c r="A123" s="93">
        <v>8.0</v>
      </c>
      <c r="B123" s="93" t="s">
        <v>340</v>
      </c>
      <c r="C123" s="93" t="s">
        <v>1565</v>
      </c>
      <c r="D123" s="145">
        <v>1.0</v>
      </c>
      <c r="E123" s="145">
        <f t="shared" si="113"/>
        <v>52.25</v>
      </c>
      <c r="F123" s="145">
        <f t="shared" si="114"/>
        <v>8</v>
      </c>
      <c r="G123" s="145">
        <f t="shared" si="115"/>
        <v>57.5</v>
      </c>
      <c r="H123" s="145">
        <f t="shared" si="116"/>
        <v>7</v>
      </c>
      <c r="I123" s="145">
        <f t="shared" si="117"/>
        <v>47.75</v>
      </c>
      <c r="J123" s="145">
        <f t="shared" si="118"/>
        <v>8</v>
      </c>
      <c r="K123" s="145">
        <f t="shared" si="119"/>
        <v>3.5</v>
      </c>
      <c r="L123" s="145">
        <f t="shared" si="120"/>
        <v>0</v>
      </c>
      <c r="M123" s="145">
        <f t="shared" si="121"/>
        <v>3.5</v>
      </c>
      <c r="N123" s="145">
        <f t="shared" si="122"/>
        <v>0</v>
      </c>
      <c r="O123" s="145">
        <f t="shared" si="123"/>
        <v>3.5</v>
      </c>
      <c r="P123" s="145">
        <f t="shared" si="124"/>
        <v>0</v>
      </c>
      <c r="Q123" s="145">
        <f t="shared" si="125"/>
        <v>8</v>
      </c>
      <c r="R123" s="145">
        <f t="shared" si="126"/>
        <v>7</v>
      </c>
      <c r="S123" s="145">
        <f t="shared" si="127"/>
        <v>8</v>
      </c>
      <c r="T123" s="93" t="s">
        <v>1651</v>
      </c>
      <c r="U123" s="93"/>
      <c r="V123" s="93"/>
      <c r="W123" s="93"/>
      <c r="X123" s="93"/>
    </row>
    <row r="124" ht="22.5" customHeight="1">
      <c r="A124" s="93">
        <v>8.0</v>
      </c>
      <c r="B124" s="93" t="s">
        <v>1406</v>
      </c>
      <c r="C124" s="93" t="s">
        <v>1565</v>
      </c>
      <c r="D124" s="145">
        <v>1.0</v>
      </c>
      <c r="E124" s="145">
        <f t="shared" si="113"/>
        <v>21.66666667</v>
      </c>
      <c r="F124" s="145">
        <f t="shared" si="114"/>
        <v>10</v>
      </c>
      <c r="G124" s="145">
        <f t="shared" si="115"/>
        <v>16.66666667</v>
      </c>
      <c r="H124" s="145">
        <f t="shared" si="116"/>
        <v>10</v>
      </c>
      <c r="I124" s="145">
        <f t="shared" si="117"/>
        <v>36.66666667</v>
      </c>
      <c r="J124" s="145">
        <f t="shared" si="118"/>
        <v>10</v>
      </c>
      <c r="K124" s="145">
        <f t="shared" si="119"/>
        <v>-3.333333333</v>
      </c>
      <c r="L124" s="145">
        <f t="shared" si="120"/>
        <v>0</v>
      </c>
      <c r="M124" s="145">
        <f t="shared" si="121"/>
        <v>-3.333333333</v>
      </c>
      <c r="N124" s="145">
        <f t="shared" si="122"/>
        <v>0</v>
      </c>
      <c r="O124" s="145">
        <f t="shared" si="123"/>
        <v>-3.333333333</v>
      </c>
      <c r="P124" s="145">
        <f t="shared" si="124"/>
        <v>1</v>
      </c>
      <c r="Q124" s="145">
        <f t="shared" si="125"/>
        <v>10</v>
      </c>
      <c r="R124" s="145">
        <f t="shared" si="126"/>
        <v>10</v>
      </c>
      <c r="S124" s="145">
        <f t="shared" si="127"/>
        <v>9</v>
      </c>
      <c r="T124" s="93" t="s">
        <v>1651</v>
      </c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 ht="48.75" customHeight="1">
      <c r="A144" s="117" t="s">
        <v>1698</v>
      </c>
      <c r="B144" s="117" t="s">
        <v>277</v>
      </c>
      <c r="C144" s="117" t="s">
        <v>33</v>
      </c>
      <c r="D144" s="117" t="s">
        <v>1699</v>
      </c>
      <c r="E144" s="117" t="s">
        <v>1638</v>
      </c>
      <c r="F144" s="117" t="s">
        <v>1700</v>
      </c>
      <c r="G144" s="117" t="s">
        <v>1701</v>
      </c>
      <c r="H144" s="117" t="s">
        <v>1702</v>
      </c>
      <c r="I144" s="117" t="s">
        <v>1703</v>
      </c>
      <c r="J144" s="117" t="s">
        <v>1704</v>
      </c>
      <c r="K144" s="117" t="s">
        <v>1705</v>
      </c>
      <c r="L144" s="117" t="s">
        <v>1639</v>
      </c>
      <c r="M144" s="117" t="s">
        <v>1706</v>
      </c>
      <c r="N144" s="117" t="s">
        <v>1578</v>
      </c>
      <c r="O144" s="117" t="s">
        <v>1707</v>
      </c>
      <c r="P144" s="117" t="s">
        <v>1580</v>
      </c>
      <c r="Q144" s="117" t="s">
        <v>1708</v>
      </c>
      <c r="R144" s="117" t="s">
        <v>1709</v>
      </c>
      <c r="S144" s="117" t="s">
        <v>1710</v>
      </c>
      <c r="T144" s="117" t="s">
        <v>1711</v>
      </c>
      <c r="U144" s="117" t="s">
        <v>1712</v>
      </c>
      <c r="V144" s="117" t="s">
        <v>1650</v>
      </c>
      <c r="W144" s="93"/>
      <c r="X144" s="93"/>
    </row>
    <row r="145" ht="24.0" customHeight="1">
      <c r="A145" s="93">
        <v>1.0</v>
      </c>
      <c r="B145" s="93" t="s">
        <v>1264</v>
      </c>
      <c r="C145" s="93" t="s">
        <v>294</v>
      </c>
      <c r="D145" s="93" t="s">
        <v>68</v>
      </c>
      <c r="E145" s="145">
        <v>-1.0</v>
      </c>
      <c r="F145" s="145">
        <f t="array" ref="F145">INDEX('Pilot inputs'!$F$15:$F$44,MATCH(B145,'Pilot inputs'!$B$15:$B$44,0))</f>
        <v>86.28</v>
      </c>
      <c r="G145" s="145">
        <f t="shared" ref="G145:G304" si="128">F145+E145*$F$12*ABS(F145)</f>
        <v>81.966</v>
      </c>
      <c r="H145" s="145">
        <f>IFERROR(__xludf.DUMMYFUNCTION("IFERROR(IF(AND(INDEX('Pilot inputs'!$AQ$15:$AQ$44,MATCH(B145,'Pilot inputs'!$B$15:$B$44,0))=1,ISNUMBER($F$12),$F$12&gt;=0,$F$12&lt;1),(LET(peer_values,FILTER('Pilot inputs'!$F$15:$F$44,'Pilot inputs'!$D$15:$D$44=INDEX('Pilot inputs'!$D$15:$D$44,MATCH(B145,'Pilo"&amp;"t inputs'!$B$15:$B$44,0)),'Pilot inputs'!$B$15:$B$44&lt;&gt;B145,'Pilot inputs'!$AA$15:$AA$44=1),peer_count,ROWS(peer_values),IF(peer_count+1&lt;MAX(3,Rules!$B$12),""Unranked"",100*(SUMPRODUCT(N(peer_values&lt;G145))+SUMPRODUCT(N(peer_values=G145))/2)/peer_count))+IN"&amp;"DEX('Pilot inputs'!$AF$15:$AF$44,MATCH(B145,'Pilot inputs'!$B$15:$B$44,0)))/2,""Unranked""),""Unranked"")"),50.0)</f>
        <v>50</v>
      </c>
      <c r="I145" s="145">
        <f t="array" ref="I145">IFERROR(IF(AND(INDEX('Pilot inputs'!$AQ$15:$AQ$44,MATCH(B145,'Pilot inputs'!$B$15:$B$44,0))=1,ISNUMBER($F$12),$F$12&gt;=0,$F$12&lt;1),INDEX('Pilot inputs'!$AL$15:$AL$44,MATCH(B145,'Pilot inputs'!$B$15:$B$44,0)),"Unranked"),"Unranked")</f>
        <v>0</v>
      </c>
      <c r="J145" s="145">
        <f t="array" ref="J145">IFERROR(IF(AND(INDEX('Pilot inputs'!$AQ$15:$AQ$44,MATCH(B145,'Pilot inputs'!$B$15:$B$44,0))=1,ISNUMBER($F$12),$F$12&gt;=0,$F$12&lt;1),INDEX('Pilot inputs'!$AM$15:$AM$44,MATCH(B145,'Pilot inputs'!$B$15:$B$44,0)),"Unranked"),"Unranked")</f>
        <v>50</v>
      </c>
      <c r="K145" s="145">
        <f t="array" ref="K145">IFERROR(IF(AND(INDEX('Pilot inputs'!$AQ$15:$AQ$44,MATCH(B145,'Pilot inputs'!$B$15:$B$44,0))=1,ISNUMBER($F$12),$F$12&gt;=0,$F$12&lt;1),INDEX('Pilot inputs'!$AP$15:$AP$44,MATCH(B145,'Pilot inputs'!$B$15:$B$44,0)),"Unranked"),"Unranked")</f>
        <v>75</v>
      </c>
      <c r="L145" s="145">
        <f t="shared" ref="L145:L304" si="129">IF(AND(COUNT(H145:K145)=4,F$10="Valid"),ROUND(SUMPRODUCT(H145:K145,TRANSPOSE(F$5:F$8)),10),"Unranked")</f>
        <v>43.75</v>
      </c>
      <c r="M145" s="145">
        <f>IFERROR(__xludf.DUMMYFUNCTION("IFERROR(IF(ISNUMBER(L145),1+COUNTIF(FILTER($G$15:$G$24,$A$15:$A$24&lt;&gt;B145),""&gt;""&amp;L145)+COUNTIF(FILTER($G$15:$G$24,$A$15:$A$24&lt;&gt;B145),L145)/2,""Unranked""),""Unranked"")"),9.0)</f>
        <v>9</v>
      </c>
      <c r="N145" s="145">
        <f t="shared" ref="N145:N304" si="130">IF(AND(COUNT(H145:K145)=4,G$10="Valid"),ROUND(SUMPRODUCT(H145:K145,TRANSPOSE(G$5:G$8)),10),"Unranked")</f>
        <v>50</v>
      </c>
      <c r="O145" s="145">
        <f>IFERROR(__xludf.DUMMYFUNCTION("IFERROR(IF(ISNUMBER(N145),1+COUNTIF(FILTER($I$15:$I$24,$A$15:$A$24&lt;&gt;B145),""&gt;""&amp;N145)+COUNTIF(FILTER($I$15:$I$24,$A$15:$A$24&lt;&gt;B145),N145)/2,""Unranked""),""Unranked"")"),8.0)</f>
        <v>8</v>
      </c>
      <c r="P145" s="145">
        <f t="shared" ref="P145:P304" si="131">IF(AND(COUNT(H145:K145)=4,H$10="Valid"),ROUND(SUMPRODUCT(H145:K145,TRANSPOSE(H$5:H$8)),10),"Unranked")</f>
        <v>36.25</v>
      </c>
      <c r="Q145" s="145">
        <f>IFERROR(__xludf.DUMMYFUNCTION("IFERROR(IF(ISNUMBER(P145),1+COUNTIF(FILTER($K$15:$K$24,$A$15:$A$24&lt;&gt;B145),""&gt;""&amp;P145)+COUNTIF(FILTER($K$15:$K$24,$A$15:$A$24&lt;&gt;B145),P145)/2,""Unranked""),""Unranked"")"),10.0)</f>
        <v>10</v>
      </c>
      <c r="R145" s="145">
        <f t="shared" ref="R145:R304" si="132">IF(ISNUMBER(M145),ABS(M145-INDEX($H$15:$H$24,MATCH(B145,$A$15:$A$24,0))),"Unranked")</f>
        <v>0</v>
      </c>
      <c r="S145" s="145">
        <f t="shared" ref="S145:S304" si="133">IF(ISNUMBER(O145),ABS(O145-INDEX($J$15:$J$24,MATCH(B145,$A$15:$A$24,0))),"Unranked")</f>
        <v>0</v>
      </c>
      <c r="T145" s="145">
        <f t="shared" ref="T145:T304" si="134">IF(ISNUMBER(Q145),ABS(Q145-INDEX($L$15:$L$24,MATCH(B145,$A$15:$A$24,0))),"Unranked")</f>
        <v>0</v>
      </c>
      <c r="U145" s="93" t="s">
        <v>1717</v>
      </c>
      <c r="V145" s="93" t="s">
        <v>1718</v>
      </c>
      <c r="W145" s="93"/>
      <c r="X145" s="93"/>
    </row>
    <row r="146" ht="24.0" customHeight="1">
      <c r="A146" s="93">
        <v>2.0</v>
      </c>
      <c r="B146" s="93" t="s">
        <v>1264</v>
      </c>
      <c r="C146" s="93" t="s">
        <v>294</v>
      </c>
      <c r="D146" s="93" t="s">
        <v>68</v>
      </c>
      <c r="E146" s="145">
        <v>1.0</v>
      </c>
      <c r="F146" s="145">
        <f t="array" ref="F146">INDEX('Pilot inputs'!$F$15:$F$44,MATCH(B146,'Pilot inputs'!$B$15:$B$44,0))</f>
        <v>86.28</v>
      </c>
      <c r="G146" s="145">
        <f t="shared" si="128"/>
        <v>90.594</v>
      </c>
      <c r="H146" s="145">
        <f>IFERROR(__xludf.DUMMYFUNCTION("IFERROR(IF(AND(INDEX('Pilot inputs'!$AQ$15:$AQ$44,MATCH(B146,'Pilot inputs'!$B$15:$B$44,0))=1,ISNUMBER($F$12),$F$12&gt;=0,$F$12&lt;1),(LET(peer_values,FILTER('Pilot inputs'!$F$15:$F$44,'Pilot inputs'!$D$15:$D$44=INDEX('Pilot inputs'!$D$15:$D$44,MATCH(B146,'Pilo"&amp;"t inputs'!$B$15:$B$44,0)),'Pilot inputs'!$B$15:$B$44&lt;&gt;B146,'Pilot inputs'!$AA$15:$AA$44=1),peer_count,ROWS(peer_values),IF(peer_count+1&lt;MAX(3,Rules!$B$12),""Unranked"",100*(SUMPRODUCT(N(peer_values&lt;G146))+SUMPRODUCT(N(peer_values=G146))/2)/peer_count))+IN"&amp;"DEX('Pilot inputs'!$AF$15:$AF$44,MATCH(B146,'Pilot inputs'!$B$15:$B$44,0)))/2,""Unranked""),""Unranked"")"),50.0)</f>
        <v>50</v>
      </c>
      <c r="I146" s="145">
        <f t="array" ref="I146">IFERROR(IF(AND(INDEX('Pilot inputs'!$AQ$15:$AQ$44,MATCH(B146,'Pilot inputs'!$B$15:$B$44,0))=1,ISNUMBER($F$12),$F$12&gt;=0,$F$12&lt;1),INDEX('Pilot inputs'!$AL$15:$AL$44,MATCH(B146,'Pilot inputs'!$B$15:$B$44,0)),"Unranked"),"Unranked")</f>
        <v>0</v>
      </c>
      <c r="J146" s="145">
        <f t="array" ref="J146">IFERROR(IF(AND(INDEX('Pilot inputs'!$AQ$15:$AQ$44,MATCH(B146,'Pilot inputs'!$B$15:$B$44,0))=1,ISNUMBER($F$12),$F$12&gt;=0,$F$12&lt;1),INDEX('Pilot inputs'!$AM$15:$AM$44,MATCH(B146,'Pilot inputs'!$B$15:$B$44,0)),"Unranked"),"Unranked")</f>
        <v>50</v>
      </c>
      <c r="K146" s="145">
        <f t="array" ref="K146">IFERROR(IF(AND(INDEX('Pilot inputs'!$AQ$15:$AQ$44,MATCH(B146,'Pilot inputs'!$B$15:$B$44,0))=1,ISNUMBER($F$12),$F$12&gt;=0,$F$12&lt;1),INDEX('Pilot inputs'!$AP$15:$AP$44,MATCH(B146,'Pilot inputs'!$B$15:$B$44,0)),"Unranked"),"Unranked")</f>
        <v>75</v>
      </c>
      <c r="L146" s="145">
        <f t="shared" si="129"/>
        <v>43.75</v>
      </c>
      <c r="M146" s="145">
        <f>IFERROR(__xludf.DUMMYFUNCTION("IFERROR(IF(ISNUMBER(L146),1+COUNTIF(FILTER($G$15:$G$24,$A$15:$A$24&lt;&gt;B146),""&gt;""&amp;L146)+COUNTIF(FILTER($G$15:$G$24,$A$15:$A$24&lt;&gt;B146),L146)/2,""Unranked""),""Unranked"")"),9.0)</f>
        <v>9</v>
      </c>
      <c r="N146" s="145">
        <f t="shared" si="130"/>
        <v>50</v>
      </c>
      <c r="O146" s="145">
        <f>IFERROR(__xludf.DUMMYFUNCTION("IFERROR(IF(ISNUMBER(N146),1+COUNTIF(FILTER($I$15:$I$24,$A$15:$A$24&lt;&gt;B146),""&gt;""&amp;N146)+COUNTIF(FILTER($I$15:$I$24,$A$15:$A$24&lt;&gt;B146),N146)/2,""Unranked""),""Unranked"")"),8.0)</f>
        <v>8</v>
      </c>
      <c r="P146" s="145">
        <f t="shared" si="131"/>
        <v>36.25</v>
      </c>
      <c r="Q146" s="145">
        <f>IFERROR(__xludf.DUMMYFUNCTION("IFERROR(IF(ISNUMBER(P146),1+COUNTIF(FILTER($K$15:$K$24,$A$15:$A$24&lt;&gt;B146),""&gt;""&amp;P146)+COUNTIF(FILTER($K$15:$K$24,$A$15:$A$24&lt;&gt;B146),P146)/2,""Unranked""),""Unranked"")"),10.0)</f>
        <v>10</v>
      </c>
      <c r="R146" s="145">
        <f t="shared" si="132"/>
        <v>0</v>
      </c>
      <c r="S146" s="145">
        <f t="shared" si="133"/>
        <v>0</v>
      </c>
      <c r="T146" s="145">
        <f t="shared" si="134"/>
        <v>0</v>
      </c>
      <c r="U146" s="93" t="s">
        <v>1717</v>
      </c>
      <c r="V146" s="93" t="s">
        <v>1718</v>
      </c>
      <c r="W146" s="93"/>
      <c r="X146" s="93"/>
    </row>
    <row r="147" ht="24.0" customHeight="1">
      <c r="A147" s="93">
        <v>3.0</v>
      </c>
      <c r="B147" s="93" t="s">
        <v>1264</v>
      </c>
      <c r="C147" s="93" t="s">
        <v>294</v>
      </c>
      <c r="D147" s="93" t="s">
        <v>1720</v>
      </c>
      <c r="E147" s="145">
        <v>-1.0</v>
      </c>
      <c r="F147" s="145">
        <f t="array" ref="F147">INDEX('Pilot inputs'!$H$15:$H$44,MATCH(B147,'Pilot inputs'!$B$15:$B$44,0))</f>
        <v>12.323</v>
      </c>
      <c r="G147" s="145">
        <f t="shared" si="128"/>
        <v>11.70685</v>
      </c>
      <c r="H147" s="145">
        <f>IFERROR(__xludf.DUMMYFUNCTION("IFERROR(IF(AND(INDEX('Pilot inputs'!$AQ$15:$AQ$44,MATCH(B147,'Pilot inputs'!$B$15:$B$44,0))=1,ISNUMBER($F$12),$F$12&gt;=0,$F$12&lt;1),(LET(peer_values,FILTER('Pilot inputs'!$H$15:$H$44,'Pilot inputs'!$D$15:$D$44=INDEX('Pilot inputs'!$D$15:$D$44,MATCH(B147,'Pilo"&amp;"t inputs'!$B$15:$B$44,0)),'Pilot inputs'!$B$15:$B$44&lt;&gt;B147,'Pilot inputs'!$AA$15:$AA$44=1),peer_count,ROWS(peer_values),IF(peer_count+1&lt;MAX(3,Rules!$B$12),""Unranked"",100*(SUMPRODUCT(N(peer_values&lt;G147))+SUMPRODUCT(N(peer_values=G147))/2)/peer_count))+IN"&amp;"DEX('Pilot inputs'!$AE$15:$AE$44,MATCH(B147,'Pilot inputs'!$B$15:$B$44,0)))/2,""Unranked""),""Unranked"")"),50.0)</f>
        <v>50</v>
      </c>
      <c r="I147" s="145">
        <f t="array" ref="I147">IFERROR(IF(AND(INDEX('Pilot inputs'!$AQ$15:$AQ$44,MATCH(B147,'Pilot inputs'!$B$15:$B$44,0))=1,ISNUMBER($F$12),$F$12&gt;=0,$F$12&lt;1),INDEX('Pilot inputs'!$AL$15:$AL$44,MATCH(B147,'Pilot inputs'!$B$15:$B$44,0)),"Unranked"),"Unranked")</f>
        <v>0</v>
      </c>
      <c r="J147" s="145">
        <f t="array" ref="J147">IFERROR(IF(AND(INDEX('Pilot inputs'!$AQ$15:$AQ$44,MATCH(B147,'Pilot inputs'!$B$15:$B$44,0))=1,ISNUMBER($F$12),$F$12&gt;=0,$F$12&lt;1),INDEX('Pilot inputs'!$AM$15:$AM$44,MATCH(B147,'Pilot inputs'!$B$15:$B$44,0)),"Unranked"),"Unranked")</f>
        <v>50</v>
      </c>
      <c r="K147" s="145">
        <f t="array" ref="K147">IFERROR(IF(AND(INDEX('Pilot inputs'!$AQ$15:$AQ$44,MATCH(B147,'Pilot inputs'!$B$15:$B$44,0))=1,ISNUMBER($F$12),$F$12&gt;=0,$F$12&lt;1),INDEX('Pilot inputs'!$AP$15:$AP$44,MATCH(B147,'Pilot inputs'!$B$15:$B$44,0)),"Unranked"),"Unranked")</f>
        <v>75</v>
      </c>
      <c r="L147" s="145">
        <f t="shared" si="129"/>
        <v>43.75</v>
      </c>
      <c r="M147" s="145">
        <f>IFERROR(__xludf.DUMMYFUNCTION("IFERROR(IF(ISNUMBER(L147),1+COUNTIF(FILTER($G$15:$G$24,$A$15:$A$24&lt;&gt;B147),""&gt;""&amp;L147)+COUNTIF(FILTER($G$15:$G$24,$A$15:$A$24&lt;&gt;B147),L147)/2,""Unranked""),""Unranked"")"),9.0)</f>
        <v>9</v>
      </c>
      <c r="N147" s="145">
        <f t="shared" si="130"/>
        <v>50</v>
      </c>
      <c r="O147" s="145">
        <f>IFERROR(__xludf.DUMMYFUNCTION("IFERROR(IF(ISNUMBER(N147),1+COUNTIF(FILTER($I$15:$I$24,$A$15:$A$24&lt;&gt;B147),""&gt;""&amp;N147)+COUNTIF(FILTER($I$15:$I$24,$A$15:$A$24&lt;&gt;B147),N147)/2,""Unranked""),""Unranked"")"),8.0)</f>
        <v>8</v>
      </c>
      <c r="P147" s="145">
        <f t="shared" si="131"/>
        <v>36.25</v>
      </c>
      <c r="Q147" s="145">
        <f>IFERROR(__xludf.DUMMYFUNCTION("IFERROR(IF(ISNUMBER(P147),1+COUNTIF(FILTER($K$15:$K$24,$A$15:$A$24&lt;&gt;B147),""&gt;""&amp;P147)+COUNTIF(FILTER($K$15:$K$24,$A$15:$A$24&lt;&gt;B147),P147)/2,""Unranked""),""Unranked"")"),10.0)</f>
        <v>10</v>
      </c>
      <c r="R147" s="145">
        <f t="shared" si="132"/>
        <v>0</v>
      </c>
      <c r="S147" s="145">
        <f t="shared" si="133"/>
        <v>0</v>
      </c>
      <c r="T147" s="145">
        <f t="shared" si="134"/>
        <v>0</v>
      </c>
      <c r="U147" s="93" t="s">
        <v>1717</v>
      </c>
      <c r="V147" s="93" t="s">
        <v>1718</v>
      </c>
      <c r="W147" s="93"/>
      <c r="X147" s="93"/>
    </row>
    <row r="148" ht="24.0" customHeight="1">
      <c r="A148" s="93">
        <v>4.0</v>
      </c>
      <c r="B148" s="93" t="s">
        <v>1264</v>
      </c>
      <c r="C148" s="93" t="s">
        <v>294</v>
      </c>
      <c r="D148" s="93" t="s">
        <v>1720</v>
      </c>
      <c r="E148" s="145">
        <v>1.0</v>
      </c>
      <c r="F148" s="145">
        <f t="array" ref="F148">INDEX('Pilot inputs'!$H$15:$H$44,MATCH(B148,'Pilot inputs'!$B$15:$B$44,0))</f>
        <v>12.323</v>
      </c>
      <c r="G148" s="145">
        <f t="shared" si="128"/>
        <v>12.93915</v>
      </c>
      <c r="H148" s="145">
        <f>IFERROR(__xludf.DUMMYFUNCTION("IFERROR(IF(AND(INDEX('Pilot inputs'!$AQ$15:$AQ$44,MATCH(B148,'Pilot inputs'!$B$15:$B$44,0))=1,ISNUMBER($F$12),$F$12&gt;=0,$F$12&lt;1),(LET(peer_values,FILTER('Pilot inputs'!$H$15:$H$44,'Pilot inputs'!$D$15:$D$44=INDEX('Pilot inputs'!$D$15:$D$44,MATCH(B148,'Pilo"&amp;"t inputs'!$B$15:$B$44,0)),'Pilot inputs'!$B$15:$B$44&lt;&gt;B148,'Pilot inputs'!$AA$15:$AA$44=1),peer_count,ROWS(peer_values),IF(peer_count+1&lt;MAX(3,Rules!$B$12),""Unranked"",100*(SUMPRODUCT(N(peer_values&lt;G148))+SUMPRODUCT(N(peer_values=G148))/2)/peer_count))+IN"&amp;"DEX('Pilot inputs'!$AE$15:$AE$44,MATCH(B148,'Pilot inputs'!$B$15:$B$44,0)))/2,""Unranked""),""Unranked"")"),50.0)</f>
        <v>50</v>
      </c>
      <c r="I148" s="145">
        <f t="array" ref="I148">IFERROR(IF(AND(INDEX('Pilot inputs'!$AQ$15:$AQ$44,MATCH(B148,'Pilot inputs'!$B$15:$B$44,0))=1,ISNUMBER($F$12),$F$12&gt;=0,$F$12&lt;1),INDEX('Pilot inputs'!$AL$15:$AL$44,MATCH(B148,'Pilot inputs'!$B$15:$B$44,0)),"Unranked"),"Unranked")</f>
        <v>0</v>
      </c>
      <c r="J148" s="145">
        <f t="array" ref="J148">IFERROR(IF(AND(INDEX('Pilot inputs'!$AQ$15:$AQ$44,MATCH(B148,'Pilot inputs'!$B$15:$B$44,0))=1,ISNUMBER($F$12),$F$12&gt;=0,$F$12&lt;1),INDEX('Pilot inputs'!$AM$15:$AM$44,MATCH(B148,'Pilot inputs'!$B$15:$B$44,0)),"Unranked"),"Unranked")</f>
        <v>50</v>
      </c>
      <c r="K148" s="145">
        <f t="array" ref="K148">IFERROR(IF(AND(INDEX('Pilot inputs'!$AQ$15:$AQ$44,MATCH(B148,'Pilot inputs'!$B$15:$B$44,0))=1,ISNUMBER($F$12),$F$12&gt;=0,$F$12&lt;1),INDEX('Pilot inputs'!$AP$15:$AP$44,MATCH(B148,'Pilot inputs'!$B$15:$B$44,0)),"Unranked"),"Unranked")</f>
        <v>75</v>
      </c>
      <c r="L148" s="145">
        <f t="shared" si="129"/>
        <v>43.75</v>
      </c>
      <c r="M148" s="145">
        <f>IFERROR(__xludf.DUMMYFUNCTION("IFERROR(IF(ISNUMBER(L148),1+COUNTIF(FILTER($G$15:$G$24,$A$15:$A$24&lt;&gt;B148),""&gt;""&amp;L148)+COUNTIF(FILTER($G$15:$G$24,$A$15:$A$24&lt;&gt;B148),L148)/2,""Unranked""),""Unranked"")"),9.0)</f>
        <v>9</v>
      </c>
      <c r="N148" s="145">
        <f t="shared" si="130"/>
        <v>50</v>
      </c>
      <c r="O148" s="145">
        <f>IFERROR(__xludf.DUMMYFUNCTION("IFERROR(IF(ISNUMBER(N148),1+COUNTIF(FILTER($I$15:$I$24,$A$15:$A$24&lt;&gt;B148),""&gt;""&amp;N148)+COUNTIF(FILTER($I$15:$I$24,$A$15:$A$24&lt;&gt;B148),N148)/2,""Unranked""),""Unranked"")"),8.0)</f>
        <v>8</v>
      </c>
      <c r="P148" s="145">
        <f t="shared" si="131"/>
        <v>36.25</v>
      </c>
      <c r="Q148" s="145">
        <f>IFERROR(__xludf.DUMMYFUNCTION("IFERROR(IF(ISNUMBER(P148),1+COUNTIF(FILTER($K$15:$K$24,$A$15:$A$24&lt;&gt;B148),""&gt;""&amp;P148)+COUNTIF(FILTER($K$15:$K$24,$A$15:$A$24&lt;&gt;B148),P148)/2,""Unranked""),""Unranked"")"),10.0)</f>
        <v>10</v>
      </c>
      <c r="R148" s="145">
        <f t="shared" si="132"/>
        <v>0</v>
      </c>
      <c r="S148" s="145">
        <f t="shared" si="133"/>
        <v>0</v>
      </c>
      <c r="T148" s="145">
        <f t="shared" si="134"/>
        <v>0</v>
      </c>
      <c r="U148" s="93" t="s">
        <v>1717</v>
      </c>
      <c r="V148" s="93" t="s">
        <v>1718</v>
      </c>
      <c r="W148" s="93"/>
      <c r="X148" s="93"/>
    </row>
    <row r="149" ht="24.0" customHeight="1">
      <c r="A149" s="93">
        <v>5.0</v>
      </c>
      <c r="B149" s="93" t="s">
        <v>1264</v>
      </c>
      <c r="C149" s="93" t="s">
        <v>294</v>
      </c>
      <c r="D149" s="93" t="s">
        <v>1230</v>
      </c>
      <c r="E149" s="145">
        <v>-1.0</v>
      </c>
      <c r="F149" s="145">
        <f t="array" ref="F149">INDEX('Pilot inputs'!$K$15:$K$44,MATCH(B149,'Pilot inputs'!$B$15:$B$44,0))</f>
        <v>28.1</v>
      </c>
      <c r="G149" s="145">
        <f t="shared" si="128"/>
        <v>26.695</v>
      </c>
      <c r="H149" s="145">
        <f t="array" ref="H149">IFERROR(IF(AND(INDEX('Pilot inputs'!$AQ$15:$AQ$44,MATCH(B149,'Pilot inputs'!$B$15:$B$44,0))=1,ISNUMBER($F$12),$F$12&gt;=0,$F$12&lt;1),INDEX('Pilot inputs'!$AG$15:$AG$44,MATCH(B149,'Pilot inputs'!$B$15:$B$44,0)),"Unranked"),"Unranked")</f>
        <v>50</v>
      </c>
      <c r="I149" s="145">
        <f>IFERROR(__xludf.DUMMYFUNCTION("IFERROR(IF(AND(INDEX('Pilot inputs'!$AQ$15:$AQ$44,MATCH(B149,'Pilot inputs'!$B$15:$B$44,0))=1,ISNUMBER($F$12),$F$12&gt;=0,$F$12&lt;1),INDEX('Pilot inputs'!$AL$15:$AL$44,MATCH(B149,'Pilot inputs'!$B$15:$B$44,0))+IF(C149=""Utilities"",0.4,0.35)*((100-LET(peer_val"&amp;"ues,FILTER('Pilot inputs'!$K$15:$K$44,'Pilot inputs'!$D$15:$D$44=INDEX('Pilot inputs'!$D$15:$D$44,MATCH(B149,'Pilot inputs'!$B$15:$B$44,0)),'Pilot inputs'!$B$15:$B$44&lt;&gt;B149,'Pilot inputs'!$AA$15:$AA$44=1),peer_count,ROWS(peer_values),IF(peer_count+1&lt;MAX(3"&amp;",Rules!$B$12),""Unranked"",100*(SUMPRODUCT(N(peer_values&lt;G149))+SUMPRODUCT(N(peer_values=G149))/2)/peer_count)))-INDEX('Pilot inputs'!$AH$15:$AH$44,MATCH(B149,'Pilot inputs'!$B$15:$B$44,0))),""Unranked""),""Unranked"")"),0.0)</f>
        <v>0</v>
      </c>
      <c r="J149" s="145">
        <f t="array" ref="J149">IFERROR(IF(AND(INDEX('Pilot inputs'!$AQ$15:$AQ$44,MATCH(B149,'Pilot inputs'!$B$15:$B$44,0))=1,ISNUMBER($F$12),$F$12&gt;=0,$F$12&lt;1),INDEX('Pilot inputs'!$AM$15:$AM$44,MATCH(B149,'Pilot inputs'!$B$15:$B$44,0)),"Unranked"),"Unranked")</f>
        <v>50</v>
      </c>
      <c r="K149" s="145">
        <f t="array" ref="K149">IFERROR(IF(AND(INDEX('Pilot inputs'!$AQ$15:$AQ$44,MATCH(B149,'Pilot inputs'!$B$15:$B$44,0))=1,ISNUMBER($F$12),$F$12&gt;=0,$F$12&lt;1),INDEX('Pilot inputs'!$AP$15:$AP$44,MATCH(B149,'Pilot inputs'!$B$15:$B$44,0)),"Unranked"),"Unranked")</f>
        <v>75</v>
      </c>
      <c r="L149" s="145">
        <f t="shared" si="129"/>
        <v>43.75</v>
      </c>
      <c r="M149" s="145">
        <f>IFERROR(__xludf.DUMMYFUNCTION("IFERROR(IF(ISNUMBER(L149),1+COUNTIF(FILTER($G$15:$G$24,$A$15:$A$24&lt;&gt;B149),""&gt;""&amp;L149)+COUNTIF(FILTER($G$15:$G$24,$A$15:$A$24&lt;&gt;B149),L149)/2,""Unranked""),""Unranked"")"),9.0)</f>
        <v>9</v>
      </c>
      <c r="N149" s="145">
        <f t="shared" si="130"/>
        <v>50</v>
      </c>
      <c r="O149" s="145">
        <f>IFERROR(__xludf.DUMMYFUNCTION("IFERROR(IF(ISNUMBER(N149),1+COUNTIF(FILTER($I$15:$I$24,$A$15:$A$24&lt;&gt;B149),""&gt;""&amp;N149)+COUNTIF(FILTER($I$15:$I$24,$A$15:$A$24&lt;&gt;B149),N149)/2,""Unranked""),""Unranked"")"),8.0)</f>
        <v>8</v>
      </c>
      <c r="P149" s="145">
        <f t="shared" si="131"/>
        <v>36.25</v>
      </c>
      <c r="Q149" s="145">
        <f>IFERROR(__xludf.DUMMYFUNCTION("IFERROR(IF(ISNUMBER(P149),1+COUNTIF(FILTER($K$15:$K$24,$A$15:$A$24&lt;&gt;B149),""&gt;""&amp;P149)+COUNTIF(FILTER($K$15:$K$24,$A$15:$A$24&lt;&gt;B149),P149)/2,""Unranked""),""Unranked"")"),10.0)</f>
        <v>10</v>
      </c>
      <c r="R149" s="145">
        <f t="shared" si="132"/>
        <v>0</v>
      </c>
      <c r="S149" s="145">
        <f t="shared" si="133"/>
        <v>0</v>
      </c>
      <c r="T149" s="145">
        <f t="shared" si="134"/>
        <v>0</v>
      </c>
      <c r="U149" s="93" t="s">
        <v>1717</v>
      </c>
      <c r="V149" s="93" t="s">
        <v>1718</v>
      </c>
      <c r="W149" s="93"/>
      <c r="X149" s="93"/>
    </row>
    <row r="150" ht="24.0" customHeight="1">
      <c r="A150" s="93">
        <v>6.0</v>
      </c>
      <c r="B150" s="93" t="s">
        <v>1264</v>
      </c>
      <c r="C150" s="93" t="s">
        <v>294</v>
      </c>
      <c r="D150" s="93" t="s">
        <v>1230</v>
      </c>
      <c r="E150" s="145">
        <v>1.0</v>
      </c>
      <c r="F150" s="145">
        <f t="array" ref="F150">INDEX('Pilot inputs'!$K$15:$K$44,MATCH(B150,'Pilot inputs'!$B$15:$B$44,0))</f>
        <v>28.1</v>
      </c>
      <c r="G150" s="145">
        <f t="shared" si="128"/>
        <v>29.505</v>
      </c>
      <c r="H150" s="145">
        <f t="array" ref="H150">IFERROR(IF(AND(INDEX('Pilot inputs'!$AQ$15:$AQ$44,MATCH(B150,'Pilot inputs'!$B$15:$B$44,0))=1,ISNUMBER($F$12),$F$12&gt;=0,$F$12&lt;1),INDEX('Pilot inputs'!$AG$15:$AG$44,MATCH(B150,'Pilot inputs'!$B$15:$B$44,0)),"Unranked"),"Unranked")</f>
        <v>50</v>
      </c>
      <c r="I150" s="145">
        <f>IFERROR(__xludf.DUMMYFUNCTION("IFERROR(IF(AND(INDEX('Pilot inputs'!$AQ$15:$AQ$44,MATCH(B150,'Pilot inputs'!$B$15:$B$44,0))=1,ISNUMBER($F$12),$F$12&gt;=0,$F$12&lt;1),INDEX('Pilot inputs'!$AL$15:$AL$44,MATCH(B150,'Pilot inputs'!$B$15:$B$44,0))+IF(C150=""Utilities"",0.4,0.35)*((100-LET(peer_val"&amp;"ues,FILTER('Pilot inputs'!$K$15:$K$44,'Pilot inputs'!$D$15:$D$44=INDEX('Pilot inputs'!$D$15:$D$44,MATCH(B150,'Pilot inputs'!$B$15:$B$44,0)),'Pilot inputs'!$B$15:$B$44&lt;&gt;B150,'Pilot inputs'!$AA$15:$AA$44=1),peer_count,ROWS(peer_values),IF(peer_count+1&lt;MAX(3"&amp;",Rules!$B$12),""Unranked"",100*(SUMPRODUCT(N(peer_values&lt;G150))+SUMPRODUCT(N(peer_values=G150))/2)/peer_count)))-INDEX('Pilot inputs'!$AH$15:$AH$44,MATCH(B150,'Pilot inputs'!$B$15:$B$44,0))),""Unranked""),""Unranked"")"),0.0)</f>
        <v>0</v>
      </c>
      <c r="J150" s="145">
        <f t="array" ref="J150">IFERROR(IF(AND(INDEX('Pilot inputs'!$AQ$15:$AQ$44,MATCH(B150,'Pilot inputs'!$B$15:$B$44,0))=1,ISNUMBER($F$12),$F$12&gt;=0,$F$12&lt;1),INDEX('Pilot inputs'!$AM$15:$AM$44,MATCH(B150,'Pilot inputs'!$B$15:$B$44,0)),"Unranked"),"Unranked")</f>
        <v>50</v>
      </c>
      <c r="K150" s="145">
        <f t="array" ref="K150">IFERROR(IF(AND(INDEX('Pilot inputs'!$AQ$15:$AQ$44,MATCH(B150,'Pilot inputs'!$B$15:$B$44,0))=1,ISNUMBER($F$12),$F$12&gt;=0,$F$12&lt;1),INDEX('Pilot inputs'!$AP$15:$AP$44,MATCH(B150,'Pilot inputs'!$B$15:$B$44,0)),"Unranked"),"Unranked")</f>
        <v>75</v>
      </c>
      <c r="L150" s="145">
        <f t="shared" si="129"/>
        <v>43.75</v>
      </c>
      <c r="M150" s="145">
        <f>IFERROR(__xludf.DUMMYFUNCTION("IFERROR(IF(ISNUMBER(L150),1+COUNTIF(FILTER($G$15:$G$24,$A$15:$A$24&lt;&gt;B150),""&gt;""&amp;L150)+COUNTIF(FILTER($G$15:$G$24,$A$15:$A$24&lt;&gt;B150),L150)/2,""Unranked""),""Unranked"")"),9.0)</f>
        <v>9</v>
      </c>
      <c r="N150" s="145">
        <f t="shared" si="130"/>
        <v>50</v>
      </c>
      <c r="O150" s="145">
        <f>IFERROR(__xludf.DUMMYFUNCTION("IFERROR(IF(ISNUMBER(N150),1+COUNTIF(FILTER($I$15:$I$24,$A$15:$A$24&lt;&gt;B150),""&gt;""&amp;N150)+COUNTIF(FILTER($I$15:$I$24,$A$15:$A$24&lt;&gt;B150),N150)/2,""Unranked""),""Unranked"")"),8.0)</f>
        <v>8</v>
      </c>
      <c r="P150" s="145">
        <f t="shared" si="131"/>
        <v>36.25</v>
      </c>
      <c r="Q150" s="145">
        <f>IFERROR(__xludf.DUMMYFUNCTION("IFERROR(IF(ISNUMBER(P150),1+COUNTIF(FILTER($K$15:$K$24,$A$15:$A$24&lt;&gt;B150),""&gt;""&amp;P150)+COUNTIF(FILTER($K$15:$K$24,$A$15:$A$24&lt;&gt;B150),P150)/2,""Unranked""),""Unranked"")"),10.0)</f>
        <v>10</v>
      </c>
      <c r="R150" s="145">
        <f t="shared" si="132"/>
        <v>0</v>
      </c>
      <c r="S150" s="145">
        <f t="shared" si="133"/>
        <v>0</v>
      </c>
      <c r="T150" s="145">
        <f t="shared" si="134"/>
        <v>0</v>
      </c>
      <c r="U150" s="93" t="s">
        <v>1717</v>
      </c>
      <c r="V150" s="93" t="s">
        <v>1718</v>
      </c>
      <c r="W150" s="93"/>
      <c r="X150" s="93"/>
    </row>
    <row r="151" ht="24.0" customHeight="1">
      <c r="A151" s="93">
        <v>7.0</v>
      </c>
      <c r="B151" s="93" t="s">
        <v>1264</v>
      </c>
      <c r="C151" s="93" t="s">
        <v>294</v>
      </c>
      <c r="D151" s="93" t="s">
        <v>1740</v>
      </c>
      <c r="E151" s="145">
        <v>-1.0</v>
      </c>
      <c r="F151" s="145">
        <f t="array" ref="F151">INDEX('Pilot inputs'!$L$15:$L$44,MATCH(B151,'Pilot inputs'!$B$15:$B$44,0))</f>
        <v>16.62</v>
      </c>
      <c r="G151" s="145">
        <f t="shared" si="128"/>
        <v>15.789</v>
      </c>
      <c r="H151" s="145">
        <f t="array" ref="H151">IFERROR(IF(AND(INDEX('Pilot inputs'!$AQ$15:$AQ$44,MATCH(B151,'Pilot inputs'!$B$15:$B$44,0))=1,ISNUMBER($F$12),$F$12&gt;=0,$F$12&lt;1),INDEX('Pilot inputs'!$AG$15:$AG$44,MATCH(B151,'Pilot inputs'!$B$15:$B$44,0)),"Unranked"),"Unranked")</f>
        <v>50</v>
      </c>
      <c r="I151" s="145">
        <f>IFERROR(__xludf.DUMMYFUNCTION("IFERROR(IF(AND(INDEX('Pilot inputs'!$AQ$15:$AQ$44,MATCH(B151,'Pilot inputs'!$B$15:$B$44,0))=1,ISNUMBER($F$12),$F$12&gt;=0,$F$12&lt;1),INDEX('Pilot inputs'!$AL$15:$AL$44,MATCH(B151,'Pilot inputs'!$B$15:$B$44,0))+IF(C151=""Utilities"",0.4,0.35)*((100-LET(peer_val"&amp;"ues,FILTER('Pilot inputs'!$L$15:$L$44,'Pilot inputs'!$D$15:$D$44=INDEX('Pilot inputs'!$D$15:$D$44,MATCH(B151,'Pilot inputs'!$B$15:$B$44,0)),'Pilot inputs'!$B$15:$B$44&lt;&gt;B151,'Pilot inputs'!$AA$15:$AA$44=1),peer_count,ROWS(peer_values),IF(peer_count+1&lt;MAX(3"&amp;",Rules!$B$12),""Unranked"",100*(SUMPRODUCT(N(peer_values&lt;G151))+SUMPRODUCT(N(peer_values=G151))/2)/peer_count)))-INDEX('Pilot inputs'!$AI$15:$AI$44,MATCH(B151,'Pilot inputs'!$B$15:$B$44,0))),""Unranked""),""Unranked"")"),0.0)</f>
        <v>0</v>
      </c>
      <c r="J151" s="145">
        <f t="array" ref="J151">IFERROR(IF(AND(INDEX('Pilot inputs'!$AQ$15:$AQ$44,MATCH(B151,'Pilot inputs'!$B$15:$B$44,0))=1,ISNUMBER($F$12),$F$12&gt;=0,$F$12&lt;1),INDEX('Pilot inputs'!$AM$15:$AM$44,MATCH(B151,'Pilot inputs'!$B$15:$B$44,0)),"Unranked"),"Unranked")</f>
        <v>50</v>
      </c>
      <c r="K151" s="145">
        <f t="array" ref="K151">IFERROR(IF(AND(INDEX('Pilot inputs'!$AQ$15:$AQ$44,MATCH(B151,'Pilot inputs'!$B$15:$B$44,0))=1,ISNUMBER($F$12),$F$12&gt;=0,$F$12&lt;1),INDEX('Pilot inputs'!$AP$15:$AP$44,MATCH(B151,'Pilot inputs'!$B$15:$B$44,0)),"Unranked"),"Unranked")</f>
        <v>75</v>
      </c>
      <c r="L151" s="145">
        <f t="shared" si="129"/>
        <v>43.75</v>
      </c>
      <c r="M151" s="145">
        <f>IFERROR(__xludf.DUMMYFUNCTION("IFERROR(IF(ISNUMBER(L151),1+COUNTIF(FILTER($G$15:$G$24,$A$15:$A$24&lt;&gt;B151),""&gt;""&amp;L151)+COUNTIF(FILTER($G$15:$G$24,$A$15:$A$24&lt;&gt;B151),L151)/2,""Unranked""),""Unranked"")"),9.0)</f>
        <v>9</v>
      </c>
      <c r="N151" s="145">
        <f t="shared" si="130"/>
        <v>50</v>
      </c>
      <c r="O151" s="145">
        <f>IFERROR(__xludf.DUMMYFUNCTION("IFERROR(IF(ISNUMBER(N151),1+COUNTIF(FILTER($I$15:$I$24,$A$15:$A$24&lt;&gt;B151),""&gt;""&amp;N151)+COUNTIF(FILTER($I$15:$I$24,$A$15:$A$24&lt;&gt;B151),N151)/2,""Unranked""),""Unranked"")"),8.0)</f>
        <v>8</v>
      </c>
      <c r="P151" s="145">
        <f t="shared" si="131"/>
        <v>36.25</v>
      </c>
      <c r="Q151" s="145">
        <f>IFERROR(__xludf.DUMMYFUNCTION("IFERROR(IF(ISNUMBER(P151),1+COUNTIF(FILTER($K$15:$K$24,$A$15:$A$24&lt;&gt;B151),""&gt;""&amp;P151)+COUNTIF(FILTER($K$15:$K$24,$A$15:$A$24&lt;&gt;B151),P151)/2,""Unranked""),""Unranked"")"),10.0)</f>
        <v>10</v>
      </c>
      <c r="R151" s="145">
        <f t="shared" si="132"/>
        <v>0</v>
      </c>
      <c r="S151" s="145">
        <f t="shared" si="133"/>
        <v>0</v>
      </c>
      <c r="T151" s="145">
        <f t="shared" si="134"/>
        <v>0</v>
      </c>
      <c r="U151" s="93" t="s">
        <v>1717</v>
      </c>
      <c r="V151" s="93" t="s">
        <v>1718</v>
      </c>
      <c r="W151" s="93"/>
      <c r="X151" s="93"/>
    </row>
    <row r="152" ht="24.0" customHeight="1">
      <c r="A152" s="93">
        <v>8.0</v>
      </c>
      <c r="B152" s="93" t="s">
        <v>1264</v>
      </c>
      <c r="C152" s="93" t="s">
        <v>294</v>
      </c>
      <c r="D152" s="93" t="s">
        <v>1740</v>
      </c>
      <c r="E152" s="145">
        <v>1.0</v>
      </c>
      <c r="F152" s="145">
        <f t="array" ref="F152">INDEX('Pilot inputs'!$L$15:$L$44,MATCH(B152,'Pilot inputs'!$B$15:$B$44,0))</f>
        <v>16.62</v>
      </c>
      <c r="G152" s="145">
        <f t="shared" si="128"/>
        <v>17.451</v>
      </c>
      <c r="H152" s="145">
        <f t="array" ref="H152">IFERROR(IF(AND(INDEX('Pilot inputs'!$AQ$15:$AQ$44,MATCH(B152,'Pilot inputs'!$B$15:$B$44,0))=1,ISNUMBER($F$12),$F$12&gt;=0,$F$12&lt;1),INDEX('Pilot inputs'!$AG$15:$AG$44,MATCH(B152,'Pilot inputs'!$B$15:$B$44,0)),"Unranked"),"Unranked")</f>
        <v>50</v>
      </c>
      <c r="I152" s="145">
        <f>IFERROR(__xludf.DUMMYFUNCTION("IFERROR(IF(AND(INDEX('Pilot inputs'!$AQ$15:$AQ$44,MATCH(B152,'Pilot inputs'!$B$15:$B$44,0))=1,ISNUMBER($F$12),$F$12&gt;=0,$F$12&lt;1),INDEX('Pilot inputs'!$AL$15:$AL$44,MATCH(B152,'Pilot inputs'!$B$15:$B$44,0))+IF(C152=""Utilities"",0.4,0.35)*((100-LET(peer_val"&amp;"ues,FILTER('Pilot inputs'!$L$15:$L$44,'Pilot inputs'!$D$15:$D$44=INDEX('Pilot inputs'!$D$15:$D$44,MATCH(B152,'Pilot inputs'!$B$15:$B$44,0)),'Pilot inputs'!$B$15:$B$44&lt;&gt;B152,'Pilot inputs'!$AA$15:$AA$44=1),peer_count,ROWS(peer_values),IF(peer_count+1&lt;MAX(3"&amp;",Rules!$B$12),""Unranked"",100*(SUMPRODUCT(N(peer_values&lt;G152))+SUMPRODUCT(N(peer_values=G152))/2)/peer_count)))-INDEX('Pilot inputs'!$AI$15:$AI$44,MATCH(B152,'Pilot inputs'!$B$15:$B$44,0))),""Unranked""),""Unranked"")"),0.0)</f>
        <v>0</v>
      </c>
      <c r="J152" s="145">
        <f t="array" ref="J152">IFERROR(IF(AND(INDEX('Pilot inputs'!$AQ$15:$AQ$44,MATCH(B152,'Pilot inputs'!$B$15:$B$44,0))=1,ISNUMBER($F$12),$F$12&gt;=0,$F$12&lt;1),INDEX('Pilot inputs'!$AM$15:$AM$44,MATCH(B152,'Pilot inputs'!$B$15:$B$44,0)),"Unranked"),"Unranked")</f>
        <v>50</v>
      </c>
      <c r="K152" s="145">
        <f t="array" ref="K152">IFERROR(IF(AND(INDEX('Pilot inputs'!$AQ$15:$AQ$44,MATCH(B152,'Pilot inputs'!$B$15:$B$44,0))=1,ISNUMBER($F$12),$F$12&gt;=0,$F$12&lt;1),INDEX('Pilot inputs'!$AP$15:$AP$44,MATCH(B152,'Pilot inputs'!$B$15:$B$44,0)),"Unranked"),"Unranked")</f>
        <v>75</v>
      </c>
      <c r="L152" s="145">
        <f t="shared" si="129"/>
        <v>43.75</v>
      </c>
      <c r="M152" s="145">
        <f>IFERROR(__xludf.DUMMYFUNCTION("IFERROR(IF(ISNUMBER(L152),1+COUNTIF(FILTER($G$15:$G$24,$A$15:$A$24&lt;&gt;B152),""&gt;""&amp;L152)+COUNTIF(FILTER($G$15:$G$24,$A$15:$A$24&lt;&gt;B152),L152)/2,""Unranked""),""Unranked"")"),9.0)</f>
        <v>9</v>
      </c>
      <c r="N152" s="145">
        <f t="shared" si="130"/>
        <v>50</v>
      </c>
      <c r="O152" s="145">
        <f>IFERROR(__xludf.DUMMYFUNCTION("IFERROR(IF(ISNUMBER(N152),1+COUNTIF(FILTER($I$15:$I$24,$A$15:$A$24&lt;&gt;B152),""&gt;""&amp;N152)+COUNTIF(FILTER($I$15:$I$24,$A$15:$A$24&lt;&gt;B152),N152)/2,""Unranked""),""Unranked"")"),8.0)</f>
        <v>8</v>
      </c>
      <c r="P152" s="145">
        <f t="shared" si="131"/>
        <v>36.25</v>
      </c>
      <c r="Q152" s="145">
        <f>IFERROR(__xludf.DUMMYFUNCTION("IFERROR(IF(ISNUMBER(P152),1+COUNTIF(FILTER($K$15:$K$24,$A$15:$A$24&lt;&gt;B152),""&gt;""&amp;P152)+COUNTIF(FILTER($K$15:$K$24,$A$15:$A$24&lt;&gt;B152),P152)/2,""Unranked""),""Unranked"")"),10.0)</f>
        <v>10</v>
      </c>
      <c r="R152" s="145">
        <f t="shared" si="132"/>
        <v>0</v>
      </c>
      <c r="S152" s="145">
        <f t="shared" si="133"/>
        <v>0</v>
      </c>
      <c r="T152" s="145">
        <f t="shared" si="134"/>
        <v>0</v>
      </c>
      <c r="U152" s="93" t="s">
        <v>1717</v>
      </c>
      <c r="V152" s="93" t="s">
        <v>1718</v>
      </c>
      <c r="W152" s="93"/>
      <c r="X152" s="93"/>
    </row>
    <row r="153" ht="24.0" customHeight="1">
      <c r="A153" s="93">
        <v>9.0</v>
      </c>
      <c r="B153" s="93" t="s">
        <v>1264</v>
      </c>
      <c r="C153" s="93" t="s">
        <v>294</v>
      </c>
      <c r="D153" s="93" t="s">
        <v>1741</v>
      </c>
      <c r="E153" s="145">
        <v>-1.0</v>
      </c>
      <c r="F153" s="145">
        <f t="array" ref="F153">INDEX('Pilot inputs'!$M$15:$M$44,MATCH(B153,'Pilot inputs'!$B$15:$B$44,0))</f>
        <v>-0.002</v>
      </c>
      <c r="G153" s="145">
        <f t="shared" si="128"/>
        <v>-0.0021</v>
      </c>
      <c r="H153" s="145">
        <f t="array" ref="H153">IFERROR(IF(AND(INDEX('Pilot inputs'!$AQ$15:$AQ$44,MATCH(B153,'Pilot inputs'!$B$15:$B$44,0))=1,ISNUMBER($F$12),$F$12&gt;=0,$F$12&lt;1),INDEX('Pilot inputs'!$AG$15:$AG$44,MATCH(B153,'Pilot inputs'!$B$15:$B$44,0)),"Unranked"),"Unranked")</f>
        <v>50</v>
      </c>
      <c r="I153" s="145">
        <f>IFERROR(__xludf.DUMMYFUNCTION("IFERROR(IF(AND(INDEX('Pilot inputs'!$AQ$15:$AQ$44,MATCH(B153,'Pilot inputs'!$B$15:$B$44,0))=1,ISNUMBER($F$12),$F$12&gt;=0,$F$12&lt;1),INDEX('Pilot inputs'!$AL$15:$AL$44,MATCH(B153,'Pilot inputs'!$B$15:$B$44,0))+0.3*((LET(peer_values,FILTER('Pilot inputs'!$M$15:"&amp;"$M$44,'Pilot inputs'!$D$15:$D$44=INDEX('Pilot inputs'!$D$15:$D$44,MATCH(B153,'Pilot inputs'!$B$15:$B$44,0)),'Pilot inputs'!$B$15:$B$44&lt;&gt;B153,'Pilot inputs'!$AA$15:$AA$44=1),peer_count,ROWS(peer_values),IF(peer_count+1&lt;MAX(3,Rules!$B$12),""Unranked"",100*("&amp;"SUMPRODUCT(N(peer_values&lt;G153))+SUMPRODUCT(N(peer_values=G153))/2)/peer_count)))-INDEX('Pilot inputs'!$AJ$15:$AJ$44,MATCH(B153,'Pilot inputs'!$B$15:$B$44,0))),""Unranked""),""Unranked"")"),0.0)</f>
        <v>0</v>
      </c>
      <c r="J153" s="145">
        <f t="array" ref="J153">IFERROR(IF(AND(INDEX('Pilot inputs'!$AQ$15:$AQ$44,MATCH(B153,'Pilot inputs'!$B$15:$B$44,0))=1,ISNUMBER($F$12),$F$12&gt;=0,$F$12&lt;1),INDEX('Pilot inputs'!$AM$15:$AM$44,MATCH(B153,'Pilot inputs'!$B$15:$B$44,0)),"Unranked"),"Unranked")</f>
        <v>50</v>
      </c>
      <c r="K153" s="145">
        <f t="array" ref="K153">IFERROR(IF(AND(INDEX('Pilot inputs'!$AQ$15:$AQ$44,MATCH(B153,'Pilot inputs'!$B$15:$B$44,0))=1,ISNUMBER($F$12),$F$12&gt;=0,$F$12&lt;1),INDEX('Pilot inputs'!$AP$15:$AP$44,MATCH(B153,'Pilot inputs'!$B$15:$B$44,0)),"Unranked"),"Unranked")</f>
        <v>75</v>
      </c>
      <c r="L153" s="145">
        <f t="shared" si="129"/>
        <v>43.75</v>
      </c>
      <c r="M153" s="145">
        <f>IFERROR(__xludf.DUMMYFUNCTION("IFERROR(IF(ISNUMBER(L153),1+COUNTIF(FILTER($G$15:$G$24,$A$15:$A$24&lt;&gt;B153),""&gt;""&amp;L153)+COUNTIF(FILTER($G$15:$G$24,$A$15:$A$24&lt;&gt;B153),L153)/2,""Unranked""),""Unranked"")"),9.0)</f>
        <v>9</v>
      </c>
      <c r="N153" s="145">
        <f t="shared" si="130"/>
        <v>50</v>
      </c>
      <c r="O153" s="145">
        <f>IFERROR(__xludf.DUMMYFUNCTION("IFERROR(IF(ISNUMBER(N153),1+COUNTIF(FILTER($I$15:$I$24,$A$15:$A$24&lt;&gt;B153),""&gt;""&amp;N153)+COUNTIF(FILTER($I$15:$I$24,$A$15:$A$24&lt;&gt;B153),N153)/2,""Unranked""),""Unranked"")"),8.0)</f>
        <v>8</v>
      </c>
      <c r="P153" s="145">
        <f t="shared" si="131"/>
        <v>36.25</v>
      </c>
      <c r="Q153" s="145">
        <f>IFERROR(__xludf.DUMMYFUNCTION("IFERROR(IF(ISNUMBER(P153),1+COUNTIF(FILTER($K$15:$K$24,$A$15:$A$24&lt;&gt;B153),""&gt;""&amp;P153)+COUNTIF(FILTER($K$15:$K$24,$A$15:$A$24&lt;&gt;B153),P153)/2,""Unranked""),""Unranked"")"),10.0)</f>
        <v>10</v>
      </c>
      <c r="R153" s="145">
        <f t="shared" si="132"/>
        <v>0</v>
      </c>
      <c r="S153" s="145">
        <f t="shared" si="133"/>
        <v>0</v>
      </c>
      <c r="T153" s="145">
        <f t="shared" si="134"/>
        <v>0</v>
      </c>
      <c r="U153" s="93" t="s">
        <v>1717</v>
      </c>
      <c r="V153" s="93" t="s">
        <v>1718</v>
      </c>
      <c r="W153" s="93"/>
      <c r="X153" s="93"/>
    </row>
    <row r="154" ht="24.0" customHeight="1">
      <c r="A154" s="93">
        <v>10.0</v>
      </c>
      <c r="B154" s="93" t="s">
        <v>1264</v>
      </c>
      <c r="C154" s="93" t="s">
        <v>294</v>
      </c>
      <c r="D154" s="93" t="s">
        <v>1741</v>
      </c>
      <c r="E154" s="145">
        <v>1.0</v>
      </c>
      <c r="F154" s="145">
        <f t="array" ref="F154">INDEX('Pilot inputs'!$M$15:$M$44,MATCH(B154,'Pilot inputs'!$B$15:$B$44,0))</f>
        <v>-0.002</v>
      </c>
      <c r="G154" s="145">
        <f t="shared" si="128"/>
        <v>-0.0019</v>
      </c>
      <c r="H154" s="145">
        <f t="array" ref="H154">IFERROR(IF(AND(INDEX('Pilot inputs'!$AQ$15:$AQ$44,MATCH(B154,'Pilot inputs'!$B$15:$B$44,0))=1,ISNUMBER($F$12),$F$12&gt;=0,$F$12&lt;1),INDEX('Pilot inputs'!$AG$15:$AG$44,MATCH(B154,'Pilot inputs'!$B$15:$B$44,0)),"Unranked"),"Unranked")</f>
        <v>50</v>
      </c>
      <c r="I154" s="145">
        <f>IFERROR(__xludf.DUMMYFUNCTION("IFERROR(IF(AND(INDEX('Pilot inputs'!$AQ$15:$AQ$44,MATCH(B154,'Pilot inputs'!$B$15:$B$44,0))=1,ISNUMBER($F$12),$F$12&gt;=0,$F$12&lt;1),INDEX('Pilot inputs'!$AL$15:$AL$44,MATCH(B154,'Pilot inputs'!$B$15:$B$44,0))+0.3*((LET(peer_values,FILTER('Pilot inputs'!$M$15:"&amp;"$M$44,'Pilot inputs'!$D$15:$D$44=INDEX('Pilot inputs'!$D$15:$D$44,MATCH(B154,'Pilot inputs'!$B$15:$B$44,0)),'Pilot inputs'!$B$15:$B$44&lt;&gt;B154,'Pilot inputs'!$AA$15:$AA$44=1),peer_count,ROWS(peer_values),IF(peer_count+1&lt;MAX(3,Rules!$B$12),""Unranked"",100*("&amp;"SUMPRODUCT(N(peer_values&lt;G154))+SUMPRODUCT(N(peer_values=G154))/2)/peer_count)))-INDEX('Pilot inputs'!$AJ$15:$AJ$44,MATCH(B154,'Pilot inputs'!$B$15:$B$44,0))),""Unranked""),""Unranked"")"),0.0)</f>
        <v>0</v>
      </c>
      <c r="J154" s="145">
        <f t="array" ref="J154">IFERROR(IF(AND(INDEX('Pilot inputs'!$AQ$15:$AQ$44,MATCH(B154,'Pilot inputs'!$B$15:$B$44,0))=1,ISNUMBER($F$12),$F$12&gt;=0,$F$12&lt;1),INDEX('Pilot inputs'!$AM$15:$AM$44,MATCH(B154,'Pilot inputs'!$B$15:$B$44,0)),"Unranked"),"Unranked")</f>
        <v>50</v>
      </c>
      <c r="K154" s="145">
        <f t="array" ref="K154">IFERROR(IF(AND(INDEX('Pilot inputs'!$AQ$15:$AQ$44,MATCH(B154,'Pilot inputs'!$B$15:$B$44,0))=1,ISNUMBER($F$12),$F$12&gt;=0,$F$12&lt;1),INDEX('Pilot inputs'!$AP$15:$AP$44,MATCH(B154,'Pilot inputs'!$B$15:$B$44,0)),"Unranked"),"Unranked")</f>
        <v>75</v>
      </c>
      <c r="L154" s="145">
        <f t="shared" si="129"/>
        <v>43.75</v>
      </c>
      <c r="M154" s="145">
        <f>IFERROR(__xludf.DUMMYFUNCTION("IFERROR(IF(ISNUMBER(L154),1+COUNTIF(FILTER($G$15:$G$24,$A$15:$A$24&lt;&gt;B154),""&gt;""&amp;L154)+COUNTIF(FILTER($G$15:$G$24,$A$15:$A$24&lt;&gt;B154),L154)/2,""Unranked""),""Unranked"")"),9.0)</f>
        <v>9</v>
      </c>
      <c r="N154" s="145">
        <f t="shared" si="130"/>
        <v>50</v>
      </c>
      <c r="O154" s="145">
        <f>IFERROR(__xludf.DUMMYFUNCTION("IFERROR(IF(ISNUMBER(N154),1+COUNTIF(FILTER($I$15:$I$24,$A$15:$A$24&lt;&gt;B154),""&gt;""&amp;N154)+COUNTIF(FILTER($I$15:$I$24,$A$15:$A$24&lt;&gt;B154),N154)/2,""Unranked""),""Unranked"")"),8.0)</f>
        <v>8</v>
      </c>
      <c r="P154" s="145">
        <f t="shared" si="131"/>
        <v>36.25</v>
      </c>
      <c r="Q154" s="145">
        <f>IFERROR(__xludf.DUMMYFUNCTION("IFERROR(IF(ISNUMBER(P154),1+COUNTIF(FILTER($K$15:$K$24,$A$15:$A$24&lt;&gt;B154),""&gt;""&amp;P154)+COUNTIF(FILTER($K$15:$K$24,$A$15:$A$24&lt;&gt;B154),P154)/2,""Unranked""),""Unranked"")"),10.0)</f>
        <v>10</v>
      </c>
      <c r="R154" s="145">
        <f t="shared" si="132"/>
        <v>0</v>
      </c>
      <c r="S154" s="145">
        <f t="shared" si="133"/>
        <v>0</v>
      </c>
      <c r="T154" s="145">
        <f t="shared" si="134"/>
        <v>0</v>
      </c>
      <c r="U154" s="93" t="s">
        <v>1717</v>
      </c>
      <c r="V154" s="93" t="s">
        <v>1718</v>
      </c>
      <c r="W154" s="93"/>
      <c r="X154" s="93"/>
    </row>
    <row r="155" ht="24.0" customHeight="1">
      <c r="A155" s="93">
        <v>11.0</v>
      </c>
      <c r="B155" s="93" t="s">
        <v>1264</v>
      </c>
      <c r="C155" s="93" t="s">
        <v>294</v>
      </c>
      <c r="D155" s="93" t="s">
        <v>1235</v>
      </c>
      <c r="E155" s="145">
        <v>-1.0</v>
      </c>
      <c r="F155" s="145">
        <f t="array" ref="F155">INDEX('Pilot inputs'!$O$15:$O$44,MATCH(B155,'Pilot inputs'!$B$15:$B$44,0))</f>
        <v>0.0795</v>
      </c>
      <c r="G155" s="145">
        <f t="shared" si="128"/>
        <v>0.075525</v>
      </c>
      <c r="H155" s="145">
        <f t="array" ref="H155">IFERROR(IF(AND(INDEX('Pilot inputs'!$AQ$15:$AQ$44,MATCH(B155,'Pilot inputs'!$B$15:$B$44,0))=1,ISNUMBER($F$12),$F$12&gt;=0,$F$12&lt;1),INDEX('Pilot inputs'!$AG$15:$AG$44,MATCH(B155,'Pilot inputs'!$B$15:$B$44,0)),"Unranked"),"Unranked")</f>
        <v>50</v>
      </c>
      <c r="I155" s="145">
        <f t="array" ref="I155">IFERROR(IF(AND(INDEX('Pilot inputs'!$AQ$15:$AQ$44,MATCH(B155,'Pilot inputs'!$B$15:$B$44,0))=1,ISNUMBER($F$12),$F$12&gt;=0,$F$12&lt;1),INDEX('Pilot inputs'!$AL$15:$AL$44,MATCH(B155,'Pilot inputs'!$B$15:$B$44,0)),"Unranked"),"Unranked")</f>
        <v>0</v>
      </c>
      <c r="J155" s="145">
        <f t="array" ref="J155">IFERROR(IF(AND(INDEX('Pilot inputs'!$AQ$15:$AQ$44,MATCH(B155,'Pilot inputs'!$B$15:$B$44,0))=1,ISNUMBER($F$12),$F$12&gt;=0,$F$12&lt;1),INDEX('Pilot inputs'!$AM$15:$AM$44,MATCH(B155,'Pilot inputs'!$B$15:$B$44,0)),"Unranked"),"Unranked")</f>
        <v>50</v>
      </c>
      <c r="K155" s="145">
        <f>IFERROR(__xludf.DUMMYFUNCTION("IFERROR(IF(AND(INDEX('Pilot inputs'!$AQ$15:$AQ$44,MATCH(B155,'Pilot inputs'!$B$15:$B$44,0))=1,ISNUMBER($F$12),$F$12&gt;=0,$F$12&lt;1),(LET(peer_values,FILTER('Pilot inputs'!$O$15:$O$44,'Pilot inputs'!$D$15:$D$44=INDEX('Pilot inputs'!$D$15:$D$44,MATCH(B155,'Pilo"&amp;"t inputs'!$B$15:$B$44,0)),'Pilot inputs'!$B$15:$B$44&lt;&gt;B155,'Pilot inputs'!$AA$15:$AA$44=1),peer_count,ROWS(peer_values),IF(peer_count+1&lt;MAX(3,Rules!$B$12),""Unranked"",100*(SUMPRODUCT(N(peer_values&lt;G155))+SUMPRODUCT(N(peer_values=G155))/2)/peer_count))+IN"&amp;"DEX('Pilot inputs'!$AO$15:$AO$44,MATCH(B155,'Pilot inputs'!$B$15:$B$44,0)))/2,""Unranked""),""Unranked"")"),75.0)</f>
        <v>75</v>
      </c>
      <c r="L155" s="145">
        <f t="shared" si="129"/>
        <v>43.75</v>
      </c>
      <c r="M155" s="145">
        <f>IFERROR(__xludf.DUMMYFUNCTION("IFERROR(IF(ISNUMBER(L155),1+COUNTIF(FILTER($G$15:$G$24,$A$15:$A$24&lt;&gt;B155),""&gt;""&amp;L155)+COUNTIF(FILTER($G$15:$G$24,$A$15:$A$24&lt;&gt;B155),L155)/2,""Unranked""),""Unranked"")"),9.0)</f>
        <v>9</v>
      </c>
      <c r="N155" s="145">
        <f t="shared" si="130"/>
        <v>50</v>
      </c>
      <c r="O155" s="145">
        <f>IFERROR(__xludf.DUMMYFUNCTION("IFERROR(IF(ISNUMBER(N155),1+COUNTIF(FILTER($I$15:$I$24,$A$15:$A$24&lt;&gt;B155),""&gt;""&amp;N155)+COUNTIF(FILTER($I$15:$I$24,$A$15:$A$24&lt;&gt;B155),N155)/2,""Unranked""),""Unranked"")"),8.0)</f>
        <v>8</v>
      </c>
      <c r="P155" s="145">
        <f t="shared" si="131"/>
        <v>36.25</v>
      </c>
      <c r="Q155" s="145">
        <f>IFERROR(__xludf.DUMMYFUNCTION("IFERROR(IF(ISNUMBER(P155),1+COUNTIF(FILTER($K$15:$K$24,$A$15:$A$24&lt;&gt;B155),""&gt;""&amp;P155)+COUNTIF(FILTER($K$15:$K$24,$A$15:$A$24&lt;&gt;B155),P155)/2,""Unranked""),""Unranked"")"),10.0)</f>
        <v>10</v>
      </c>
      <c r="R155" s="145">
        <f t="shared" si="132"/>
        <v>0</v>
      </c>
      <c r="S155" s="145">
        <f t="shared" si="133"/>
        <v>0</v>
      </c>
      <c r="T155" s="145">
        <f t="shared" si="134"/>
        <v>0</v>
      </c>
      <c r="U155" s="93" t="s">
        <v>1717</v>
      </c>
      <c r="V155" s="93" t="s">
        <v>1718</v>
      </c>
      <c r="W155" s="93"/>
      <c r="X155" s="93"/>
    </row>
    <row r="156" ht="24.0" customHeight="1">
      <c r="A156" s="93">
        <v>12.0</v>
      </c>
      <c r="B156" s="93" t="s">
        <v>1264</v>
      </c>
      <c r="C156" s="93" t="s">
        <v>294</v>
      </c>
      <c r="D156" s="93" t="s">
        <v>1235</v>
      </c>
      <c r="E156" s="145">
        <v>1.0</v>
      </c>
      <c r="F156" s="145">
        <f t="array" ref="F156">INDEX('Pilot inputs'!$O$15:$O$44,MATCH(B156,'Pilot inputs'!$B$15:$B$44,0))</f>
        <v>0.0795</v>
      </c>
      <c r="G156" s="145">
        <f t="shared" si="128"/>
        <v>0.083475</v>
      </c>
      <c r="H156" s="145">
        <f t="array" ref="H156">IFERROR(IF(AND(INDEX('Pilot inputs'!$AQ$15:$AQ$44,MATCH(B156,'Pilot inputs'!$B$15:$B$44,0))=1,ISNUMBER($F$12),$F$12&gt;=0,$F$12&lt;1),INDEX('Pilot inputs'!$AG$15:$AG$44,MATCH(B156,'Pilot inputs'!$B$15:$B$44,0)),"Unranked"),"Unranked")</f>
        <v>50</v>
      </c>
      <c r="I156" s="145">
        <f t="array" ref="I156">IFERROR(IF(AND(INDEX('Pilot inputs'!$AQ$15:$AQ$44,MATCH(B156,'Pilot inputs'!$B$15:$B$44,0))=1,ISNUMBER($F$12),$F$12&gt;=0,$F$12&lt;1),INDEX('Pilot inputs'!$AL$15:$AL$44,MATCH(B156,'Pilot inputs'!$B$15:$B$44,0)),"Unranked"),"Unranked")</f>
        <v>0</v>
      </c>
      <c r="J156" s="145">
        <f t="array" ref="J156">IFERROR(IF(AND(INDEX('Pilot inputs'!$AQ$15:$AQ$44,MATCH(B156,'Pilot inputs'!$B$15:$B$44,0))=1,ISNUMBER($F$12),$F$12&gt;=0,$F$12&lt;1),INDEX('Pilot inputs'!$AM$15:$AM$44,MATCH(B156,'Pilot inputs'!$B$15:$B$44,0)),"Unranked"),"Unranked")</f>
        <v>50</v>
      </c>
      <c r="K156" s="145">
        <f>IFERROR(__xludf.DUMMYFUNCTION("IFERROR(IF(AND(INDEX('Pilot inputs'!$AQ$15:$AQ$44,MATCH(B156,'Pilot inputs'!$B$15:$B$44,0))=1,ISNUMBER($F$12),$F$12&gt;=0,$F$12&lt;1),(LET(peer_values,FILTER('Pilot inputs'!$O$15:$O$44,'Pilot inputs'!$D$15:$D$44=INDEX('Pilot inputs'!$D$15:$D$44,MATCH(B156,'Pilo"&amp;"t inputs'!$B$15:$B$44,0)),'Pilot inputs'!$B$15:$B$44&lt;&gt;B156,'Pilot inputs'!$AA$15:$AA$44=1),peer_count,ROWS(peer_values),IF(peer_count+1&lt;MAX(3,Rules!$B$12),""Unranked"",100*(SUMPRODUCT(N(peer_values&lt;G156))+SUMPRODUCT(N(peer_values=G156))/2)/peer_count))+IN"&amp;"DEX('Pilot inputs'!$AO$15:$AO$44,MATCH(B156,'Pilot inputs'!$B$15:$B$44,0)))/2,""Unranked""),""Unranked"")"),75.0)</f>
        <v>75</v>
      </c>
      <c r="L156" s="145">
        <f t="shared" si="129"/>
        <v>43.75</v>
      </c>
      <c r="M156" s="145">
        <f>IFERROR(__xludf.DUMMYFUNCTION("IFERROR(IF(ISNUMBER(L156),1+COUNTIF(FILTER($G$15:$G$24,$A$15:$A$24&lt;&gt;B156),""&gt;""&amp;L156)+COUNTIF(FILTER($G$15:$G$24,$A$15:$A$24&lt;&gt;B156),L156)/2,""Unranked""),""Unranked"")"),9.0)</f>
        <v>9</v>
      </c>
      <c r="N156" s="145">
        <f t="shared" si="130"/>
        <v>50</v>
      </c>
      <c r="O156" s="145">
        <f>IFERROR(__xludf.DUMMYFUNCTION("IFERROR(IF(ISNUMBER(N156),1+COUNTIF(FILTER($I$15:$I$24,$A$15:$A$24&lt;&gt;B156),""&gt;""&amp;N156)+COUNTIF(FILTER($I$15:$I$24,$A$15:$A$24&lt;&gt;B156),N156)/2,""Unranked""),""Unranked"")"),8.0)</f>
        <v>8</v>
      </c>
      <c r="P156" s="145">
        <f t="shared" si="131"/>
        <v>36.25</v>
      </c>
      <c r="Q156" s="145">
        <f>IFERROR(__xludf.DUMMYFUNCTION("IFERROR(IF(ISNUMBER(P156),1+COUNTIF(FILTER($K$15:$K$24,$A$15:$A$24&lt;&gt;B156),""&gt;""&amp;P156)+COUNTIF(FILTER($K$15:$K$24,$A$15:$A$24&lt;&gt;B156),P156)/2,""Unranked""),""Unranked"")"),10.0)</f>
        <v>10</v>
      </c>
      <c r="R156" s="145">
        <f t="shared" si="132"/>
        <v>0</v>
      </c>
      <c r="S156" s="145">
        <f t="shared" si="133"/>
        <v>0</v>
      </c>
      <c r="T156" s="145">
        <f t="shared" si="134"/>
        <v>0</v>
      </c>
      <c r="U156" s="93" t="s">
        <v>1717</v>
      </c>
      <c r="V156" s="93" t="s">
        <v>1718</v>
      </c>
      <c r="W156" s="93"/>
      <c r="X156" s="93"/>
    </row>
    <row r="157" ht="24.0" customHeight="1">
      <c r="A157" s="93">
        <v>13.0</v>
      </c>
      <c r="B157" s="93" t="s">
        <v>1264</v>
      </c>
      <c r="C157" s="93" t="s">
        <v>294</v>
      </c>
      <c r="D157" s="93" t="s">
        <v>1742</v>
      </c>
      <c r="E157" s="145">
        <v>-1.0</v>
      </c>
      <c r="F157" s="145">
        <f t="array" ref="F157">INDEX('Pilot inputs'!$P$15:$P$44,MATCH(B157,'Pilot inputs'!$B$15:$B$44,0))</f>
        <v>0.3814</v>
      </c>
      <c r="G157" s="145">
        <f t="shared" si="128"/>
        <v>0.36233</v>
      </c>
      <c r="H157" s="145">
        <f t="array" ref="H157">IFERROR(IF(AND(INDEX('Pilot inputs'!$AQ$15:$AQ$44,MATCH(B157,'Pilot inputs'!$B$15:$B$44,0))=1,ISNUMBER($F$12),$F$12&gt;=0,$F$12&lt;1),INDEX('Pilot inputs'!$AG$15:$AG$44,MATCH(B157,'Pilot inputs'!$B$15:$B$44,0)),"Unranked"),"Unranked")</f>
        <v>50</v>
      </c>
      <c r="I157" s="145">
        <f t="array" ref="I157">IFERROR(IF(AND(INDEX('Pilot inputs'!$AQ$15:$AQ$44,MATCH(B157,'Pilot inputs'!$B$15:$B$44,0))=1,ISNUMBER($F$12),$F$12&gt;=0,$F$12&lt;1),INDEX('Pilot inputs'!$AL$15:$AL$44,MATCH(B157,'Pilot inputs'!$B$15:$B$44,0)),"Unranked"),"Unranked")</f>
        <v>0</v>
      </c>
      <c r="J157" s="145">
        <f t="array" ref="J157">IFERROR(IF(AND(INDEX('Pilot inputs'!$AQ$15:$AQ$44,MATCH(B157,'Pilot inputs'!$B$15:$B$44,0))=1,ISNUMBER($F$12),$F$12&gt;=0,$F$12&lt;1),INDEX('Pilot inputs'!$AM$15:$AM$44,MATCH(B157,'Pilot inputs'!$B$15:$B$44,0)),"Unranked"),"Unranked")</f>
        <v>50</v>
      </c>
      <c r="K157" s="145">
        <f>IFERROR(__xludf.DUMMYFUNCTION("IFERROR(IF(AND(INDEX('Pilot inputs'!$AQ$15:$AQ$44,MATCH(B157,'Pilot inputs'!$B$15:$B$44,0))=1,ISNUMBER($F$12),$F$12&gt;=0,$F$12&lt;1),(LET(peer_values,FILTER('Pilot inputs'!$P$15:$P$44,'Pilot inputs'!$D$15:$D$44=INDEX('Pilot inputs'!$D$15:$D$44,MATCH(B157,'Pilo"&amp;"t inputs'!$B$15:$B$44,0)),'Pilot inputs'!$B$15:$B$44&lt;&gt;B157,'Pilot inputs'!$AA$15:$AA$44=1),peer_count,ROWS(peer_values),IF(peer_count+1&lt;MAX(3,Rules!$B$12),""Unranked"",100*(SUMPRODUCT(N(peer_values&lt;G157))+SUMPRODUCT(N(peer_values=G157))/2)/peer_count))+IN"&amp;"DEX('Pilot inputs'!$AN$15:$AN$44,MATCH(B157,'Pilot inputs'!$B$15:$B$44,0)))/2,""Unranked""),""Unranked"")"),75.0)</f>
        <v>75</v>
      </c>
      <c r="L157" s="145">
        <f t="shared" si="129"/>
        <v>43.75</v>
      </c>
      <c r="M157" s="145">
        <f>IFERROR(__xludf.DUMMYFUNCTION("IFERROR(IF(ISNUMBER(L157),1+COUNTIF(FILTER($G$15:$G$24,$A$15:$A$24&lt;&gt;B157),""&gt;""&amp;L157)+COUNTIF(FILTER($G$15:$G$24,$A$15:$A$24&lt;&gt;B157),L157)/2,""Unranked""),""Unranked"")"),9.0)</f>
        <v>9</v>
      </c>
      <c r="N157" s="145">
        <f t="shared" si="130"/>
        <v>50</v>
      </c>
      <c r="O157" s="145">
        <f>IFERROR(__xludf.DUMMYFUNCTION("IFERROR(IF(ISNUMBER(N157),1+COUNTIF(FILTER($I$15:$I$24,$A$15:$A$24&lt;&gt;B157),""&gt;""&amp;N157)+COUNTIF(FILTER($I$15:$I$24,$A$15:$A$24&lt;&gt;B157),N157)/2,""Unranked""),""Unranked"")"),8.0)</f>
        <v>8</v>
      </c>
      <c r="P157" s="145">
        <f t="shared" si="131"/>
        <v>36.25</v>
      </c>
      <c r="Q157" s="145">
        <f>IFERROR(__xludf.DUMMYFUNCTION("IFERROR(IF(ISNUMBER(P157),1+COUNTIF(FILTER($K$15:$K$24,$A$15:$A$24&lt;&gt;B157),""&gt;""&amp;P157)+COUNTIF(FILTER($K$15:$K$24,$A$15:$A$24&lt;&gt;B157),P157)/2,""Unranked""),""Unranked"")"),10.0)</f>
        <v>10</v>
      </c>
      <c r="R157" s="145">
        <f t="shared" si="132"/>
        <v>0</v>
      </c>
      <c r="S157" s="145">
        <f t="shared" si="133"/>
        <v>0</v>
      </c>
      <c r="T157" s="145">
        <f t="shared" si="134"/>
        <v>0</v>
      </c>
      <c r="U157" s="93" t="s">
        <v>1717</v>
      </c>
      <c r="V157" s="93" t="s">
        <v>1718</v>
      </c>
      <c r="W157" s="93"/>
      <c r="X157" s="93"/>
    </row>
    <row r="158" ht="24.0" customHeight="1">
      <c r="A158" s="93">
        <v>14.0</v>
      </c>
      <c r="B158" s="93" t="s">
        <v>1264</v>
      </c>
      <c r="C158" s="93" t="s">
        <v>294</v>
      </c>
      <c r="D158" s="93" t="s">
        <v>1742</v>
      </c>
      <c r="E158" s="145">
        <v>1.0</v>
      </c>
      <c r="F158" s="145">
        <f t="array" ref="F158">INDEX('Pilot inputs'!$P$15:$P$44,MATCH(B158,'Pilot inputs'!$B$15:$B$44,0))</f>
        <v>0.3814</v>
      </c>
      <c r="G158" s="145">
        <f t="shared" si="128"/>
        <v>0.40047</v>
      </c>
      <c r="H158" s="145">
        <f t="array" ref="H158">IFERROR(IF(AND(INDEX('Pilot inputs'!$AQ$15:$AQ$44,MATCH(B158,'Pilot inputs'!$B$15:$B$44,0))=1,ISNUMBER($F$12),$F$12&gt;=0,$F$12&lt;1),INDEX('Pilot inputs'!$AG$15:$AG$44,MATCH(B158,'Pilot inputs'!$B$15:$B$44,0)),"Unranked"),"Unranked")</f>
        <v>50</v>
      </c>
      <c r="I158" s="145">
        <f t="array" ref="I158">IFERROR(IF(AND(INDEX('Pilot inputs'!$AQ$15:$AQ$44,MATCH(B158,'Pilot inputs'!$B$15:$B$44,0))=1,ISNUMBER($F$12),$F$12&gt;=0,$F$12&lt;1),INDEX('Pilot inputs'!$AL$15:$AL$44,MATCH(B158,'Pilot inputs'!$B$15:$B$44,0)),"Unranked"),"Unranked")</f>
        <v>0</v>
      </c>
      <c r="J158" s="145">
        <f t="array" ref="J158">IFERROR(IF(AND(INDEX('Pilot inputs'!$AQ$15:$AQ$44,MATCH(B158,'Pilot inputs'!$B$15:$B$44,0))=1,ISNUMBER($F$12),$F$12&gt;=0,$F$12&lt;1),INDEX('Pilot inputs'!$AM$15:$AM$44,MATCH(B158,'Pilot inputs'!$B$15:$B$44,0)),"Unranked"),"Unranked")</f>
        <v>50</v>
      </c>
      <c r="K158" s="145">
        <f>IFERROR(__xludf.DUMMYFUNCTION("IFERROR(IF(AND(INDEX('Pilot inputs'!$AQ$15:$AQ$44,MATCH(B158,'Pilot inputs'!$B$15:$B$44,0))=1,ISNUMBER($F$12),$F$12&gt;=0,$F$12&lt;1),(LET(peer_values,FILTER('Pilot inputs'!$P$15:$P$44,'Pilot inputs'!$D$15:$D$44=INDEX('Pilot inputs'!$D$15:$D$44,MATCH(B158,'Pilo"&amp;"t inputs'!$B$15:$B$44,0)),'Pilot inputs'!$B$15:$B$44&lt;&gt;B158,'Pilot inputs'!$AA$15:$AA$44=1),peer_count,ROWS(peer_values),IF(peer_count+1&lt;MAX(3,Rules!$B$12),""Unranked"",100*(SUMPRODUCT(N(peer_values&lt;G158))+SUMPRODUCT(N(peer_values=G158))/2)/peer_count))+IN"&amp;"DEX('Pilot inputs'!$AN$15:$AN$44,MATCH(B158,'Pilot inputs'!$B$15:$B$44,0)))/2,""Unranked""),""Unranked"")"),75.0)</f>
        <v>75</v>
      </c>
      <c r="L158" s="145">
        <f t="shared" si="129"/>
        <v>43.75</v>
      </c>
      <c r="M158" s="145">
        <f>IFERROR(__xludf.DUMMYFUNCTION("IFERROR(IF(ISNUMBER(L158),1+COUNTIF(FILTER($G$15:$G$24,$A$15:$A$24&lt;&gt;B158),""&gt;""&amp;L158)+COUNTIF(FILTER($G$15:$G$24,$A$15:$A$24&lt;&gt;B158),L158)/2,""Unranked""),""Unranked"")"),9.0)</f>
        <v>9</v>
      </c>
      <c r="N158" s="145">
        <f t="shared" si="130"/>
        <v>50</v>
      </c>
      <c r="O158" s="145">
        <f>IFERROR(__xludf.DUMMYFUNCTION("IFERROR(IF(ISNUMBER(N158),1+COUNTIF(FILTER($I$15:$I$24,$A$15:$A$24&lt;&gt;B158),""&gt;""&amp;N158)+COUNTIF(FILTER($I$15:$I$24,$A$15:$A$24&lt;&gt;B158),N158)/2,""Unranked""),""Unranked"")"),8.0)</f>
        <v>8</v>
      </c>
      <c r="P158" s="145">
        <f t="shared" si="131"/>
        <v>36.25</v>
      </c>
      <c r="Q158" s="145">
        <f>IFERROR(__xludf.DUMMYFUNCTION("IFERROR(IF(ISNUMBER(P158),1+COUNTIF(FILTER($K$15:$K$24,$A$15:$A$24&lt;&gt;B158),""&gt;""&amp;P158)+COUNTIF(FILTER($K$15:$K$24,$A$15:$A$24&lt;&gt;B158),P158)/2,""Unranked""),""Unranked"")"),10.0)</f>
        <v>10</v>
      </c>
      <c r="R158" s="145">
        <f t="shared" si="132"/>
        <v>0</v>
      </c>
      <c r="S158" s="145">
        <f t="shared" si="133"/>
        <v>0</v>
      </c>
      <c r="T158" s="145">
        <f t="shared" si="134"/>
        <v>0</v>
      </c>
      <c r="U158" s="93" t="s">
        <v>1717</v>
      </c>
      <c r="V158" s="93" t="s">
        <v>1718</v>
      </c>
      <c r="W158" s="93"/>
      <c r="X158" s="93"/>
    </row>
    <row r="159" ht="24.0" customHeight="1">
      <c r="A159" s="93">
        <v>15.0</v>
      </c>
      <c r="B159" s="93" t="s">
        <v>1264</v>
      </c>
      <c r="C159" s="93" t="s">
        <v>294</v>
      </c>
      <c r="D159" s="93" t="s">
        <v>1743</v>
      </c>
      <c r="E159" s="145">
        <v>-1.0</v>
      </c>
      <c r="F159" s="145">
        <f t="array" ref="F159">INDEX('Pilot inputs'!$R$15:$R$44,MATCH(B159,'Pilot inputs'!$B$15:$B$44,0))</f>
        <v>11.83</v>
      </c>
      <c r="G159" s="145">
        <f t="shared" si="128"/>
        <v>11.2385</v>
      </c>
      <c r="H159" s="145">
        <f t="array" ref="H159">IFERROR(IF(AND(INDEX('Pilot inputs'!$AQ$15:$AQ$44,MATCH(B159,'Pilot inputs'!$B$15:$B$44,0))=1,ISNUMBER($F$12),$F$12&gt;=0,$F$12&lt;1),INDEX('Pilot inputs'!$AG$15:$AG$44,MATCH(B159,'Pilot inputs'!$B$15:$B$44,0)),"Unranked"),"Unranked")</f>
        <v>50</v>
      </c>
      <c r="I159" s="145">
        <f t="array" ref="I159">IFERROR(IF(AND(INDEX('Pilot inputs'!$AQ$15:$AQ$44,MATCH(B159,'Pilot inputs'!$B$15:$B$44,0))=1,ISNUMBER($F$12),$F$12&gt;=0,$F$12&lt;1),INDEX('Pilot inputs'!$AL$15:$AL$44,MATCH(B159,'Pilot inputs'!$B$15:$B$44,0)),"Unranked"),"Unranked")</f>
        <v>0</v>
      </c>
      <c r="J159" s="145">
        <f>IFERROR(__xludf.DUMMYFUNCTION("IFERROR(IF(AND(INDEX('Pilot inputs'!$AQ$15:$AQ$44,MATCH(B159,'Pilot inputs'!$B$15:$B$44,0))=1,ISNUMBER($F$12),$F$12&gt;=0,$F$12&lt;1),LET(peer_values,FILTER('Pilot inputs'!$AB$15:$AB$44,'Pilot inputs'!$D$15:$D$44=INDEX('Pilot inputs'!$D$15:$D$44,MATCH(B159,'Pil"&amp;"ot inputs'!$B$15:$B$44,0)),'Pilot inputs'!$B$15:$B$44&lt;&gt;B159,'Pilot inputs'!$AA$15:$AA$44=1),peer_count,ROWS(peer_values),IF(peer_count+1&lt;MAX(3,Rules!$B$12),""Unranked"",100*(SUMPRODUCT(N(peer_values&lt;((G159/INDEX('Pilot inputs'!$T$15:$T$44,MATCH(B159,'Pilo"&amp;"t inputs'!$B$15:$B$44,0)))^(1/3)-1)))+SUMPRODUCT(N(peer_values=((G159/INDEX('Pilot inputs'!$T$15:$T$44,MATCH(B159,'Pilot inputs'!$B$15:$B$44,0)))^(1/3)-1)))/2)/peer_count)),""Unranked""),""Unranked"")"),50.0)</f>
        <v>50</v>
      </c>
      <c r="K159" s="145">
        <f t="array" ref="K159">IFERROR(IF(AND(INDEX('Pilot inputs'!$AQ$15:$AQ$44,MATCH(B159,'Pilot inputs'!$B$15:$B$44,0))=1,ISNUMBER($F$12),$F$12&gt;=0,$F$12&lt;1),INDEX('Pilot inputs'!$AP$15:$AP$44,MATCH(B159,'Pilot inputs'!$B$15:$B$44,0)),"Unranked"),"Unranked")</f>
        <v>75</v>
      </c>
      <c r="L159" s="145">
        <f t="shared" si="129"/>
        <v>43.75</v>
      </c>
      <c r="M159" s="145">
        <f>IFERROR(__xludf.DUMMYFUNCTION("IFERROR(IF(ISNUMBER(L159),1+COUNTIF(FILTER($G$15:$G$24,$A$15:$A$24&lt;&gt;B159),""&gt;""&amp;L159)+COUNTIF(FILTER($G$15:$G$24,$A$15:$A$24&lt;&gt;B159),L159)/2,""Unranked""),""Unranked"")"),9.0)</f>
        <v>9</v>
      </c>
      <c r="N159" s="145">
        <f t="shared" si="130"/>
        <v>50</v>
      </c>
      <c r="O159" s="145">
        <f>IFERROR(__xludf.DUMMYFUNCTION("IFERROR(IF(ISNUMBER(N159),1+COUNTIF(FILTER($I$15:$I$24,$A$15:$A$24&lt;&gt;B159),""&gt;""&amp;N159)+COUNTIF(FILTER($I$15:$I$24,$A$15:$A$24&lt;&gt;B159),N159)/2,""Unranked""),""Unranked"")"),8.0)</f>
        <v>8</v>
      </c>
      <c r="P159" s="145">
        <f t="shared" si="131"/>
        <v>36.25</v>
      </c>
      <c r="Q159" s="145">
        <f>IFERROR(__xludf.DUMMYFUNCTION("IFERROR(IF(ISNUMBER(P159),1+COUNTIF(FILTER($K$15:$K$24,$A$15:$A$24&lt;&gt;B159),""&gt;""&amp;P159)+COUNTIF(FILTER($K$15:$K$24,$A$15:$A$24&lt;&gt;B159),P159)/2,""Unranked""),""Unranked"")"),10.0)</f>
        <v>10</v>
      </c>
      <c r="R159" s="145">
        <f t="shared" si="132"/>
        <v>0</v>
      </c>
      <c r="S159" s="145">
        <f t="shared" si="133"/>
        <v>0</v>
      </c>
      <c r="T159" s="145">
        <f t="shared" si="134"/>
        <v>0</v>
      </c>
      <c r="U159" s="93" t="s">
        <v>1717</v>
      </c>
      <c r="V159" s="93" t="s">
        <v>1718</v>
      </c>
      <c r="W159" s="93"/>
      <c r="X159" s="93"/>
    </row>
    <row r="160" ht="24.0" customHeight="1">
      <c r="A160" s="93">
        <v>16.0</v>
      </c>
      <c r="B160" s="93" t="s">
        <v>1264</v>
      </c>
      <c r="C160" s="93" t="s">
        <v>294</v>
      </c>
      <c r="D160" s="93" t="s">
        <v>1743</v>
      </c>
      <c r="E160" s="145">
        <v>1.0</v>
      </c>
      <c r="F160" s="145">
        <f t="array" ref="F160">INDEX('Pilot inputs'!$R$15:$R$44,MATCH(B160,'Pilot inputs'!$B$15:$B$44,0))</f>
        <v>11.83</v>
      </c>
      <c r="G160" s="145">
        <f t="shared" si="128"/>
        <v>12.4215</v>
      </c>
      <c r="H160" s="145">
        <f t="array" ref="H160">IFERROR(IF(AND(INDEX('Pilot inputs'!$AQ$15:$AQ$44,MATCH(B160,'Pilot inputs'!$B$15:$B$44,0))=1,ISNUMBER($F$12),$F$12&gt;=0,$F$12&lt;1),INDEX('Pilot inputs'!$AG$15:$AG$44,MATCH(B160,'Pilot inputs'!$B$15:$B$44,0)),"Unranked"),"Unranked")</f>
        <v>50</v>
      </c>
      <c r="I160" s="145">
        <f t="array" ref="I160">IFERROR(IF(AND(INDEX('Pilot inputs'!$AQ$15:$AQ$44,MATCH(B160,'Pilot inputs'!$B$15:$B$44,0))=1,ISNUMBER($F$12),$F$12&gt;=0,$F$12&lt;1),INDEX('Pilot inputs'!$AL$15:$AL$44,MATCH(B160,'Pilot inputs'!$B$15:$B$44,0)),"Unranked"),"Unranked")</f>
        <v>0</v>
      </c>
      <c r="J160" s="145">
        <f>IFERROR(__xludf.DUMMYFUNCTION("IFERROR(IF(AND(INDEX('Pilot inputs'!$AQ$15:$AQ$44,MATCH(B160,'Pilot inputs'!$B$15:$B$44,0))=1,ISNUMBER($F$12),$F$12&gt;=0,$F$12&lt;1),LET(peer_values,FILTER('Pilot inputs'!$AB$15:$AB$44,'Pilot inputs'!$D$15:$D$44=INDEX('Pilot inputs'!$D$15:$D$44,MATCH(B160,'Pil"&amp;"ot inputs'!$B$15:$B$44,0)),'Pilot inputs'!$B$15:$B$44&lt;&gt;B160,'Pilot inputs'!$AA$15:$AA$44=1),peer_count,ROWS(peer_values),IF(peer_count+1&lt;MAX(3,Rules!$B$12),""Unranked"",100*(SUMPRODUCT(N(peer_values&lt;((G160/INDEX('Pilot inputs'!$T$15:$T$44,MATCH(B160,'Pilo"&amp;"t inputs'!$B$15:$B$44,0)))^(1/3)-1)))+SUMPRODUCT(N(peer_values=((G160/INDEX('Pilot inputs'!$T$15:$T$44,MATCH(B160,'Pilot inputs'!$B$15:$B$44,0)))^(1/3)-1)))/2)/peer_count)),""Unranked""),""Unranked"")"),50.0)</f>
        <v>50</v>
      </c>
      <c r="K160" s="145">
        <f t="array" ref="K160">IFERROR(IF(AND(INDEX('Pilot inputs'!$AQ$15:$AQ$44,MATCH(B160,'Pilot inputs'!$B$15:$B$44,0))=1,ISNUMBER($F$12),$F$12&gt;=0,$F$12&lt;1),INDEX('Pilot inputs'!$AP$15:$AP$44,MATCH(B160,'Pilot inputs'!$B$15:$B$44,0)),"Unranked"),"Unranked")</f>
        <v>75</v>
      </c>
      <c r="L160" s="145">
        <f t="shared" si="129"/>
        <v>43.75</v>
      </c>
      <c r="M160" s="145">
        <f>IFERROR(__xludf.DUMMYFUNCTION("IFERROR(IF(ISNUMBER(L160),1+COUNTIF(FILTER($G$15:$G$24,$A$15:$A$24&lt;&gt;B160),""&gt;""&amp;L160)+COUNTIF(FILTER($G$15:$G$24,$A$15:$A$24&lt;&gt;B160),L160)/2,""Unranked""),""Unranked"")"),9.0)</f>
        <v>9</v>
      </c>
      <c r="N160" s="145">
        <f t="shared" si="130"/>
        <v>50</v>
      </c>
      <c r="O160" s="145">
        <f>IFERROR(__xludf.DUMMYFUNCTION("IFERROR(IF(ISNUMBER(N160),1+COUNTIF(FILTER($I$15:$I$24,$A$15:$A$24&lt;&gt;B160),""&gt;""&amp;N160)+COUNTIF(FILTER($I$15:$I$24,$A$15:$A$24&lt;&gt;B160),N160)/2,""Unranked""),""Unranked"")"),8.0)</f>
        <v>8</v>
      </c>
      <c r="P160" s="145">
        <f t="shared" si="131"/>
        <v>36.25</v>
      </c>
      <c r="Q160" s="145">
        <f>IFERROR(__xludf.DUMMYFUNCTION("IFERROR(IF(ISNUMBER(P160),1+COUNTIF(FILTER($K$15:$K$24,$A$15:$A$24&lt;&gt;B160),""&gt;""&amp;P160)+COUNTIF(FILTER($K$15:$K$24,$A$15:$A$24&lt;&gt;B160),P160)/2,""Unranked""),""Unranked"")"),10.0)</f>
        <v>10</v>
      </c>
      <c r="R160" s="145">
        <f t="shared" si="132"/>
        <v>0</v>
      </c>
      <c r="S160" s="145">
        <f t="shared" si="133"/>
        <v>0</v>
      </c>
      <c r="T160" s="145">
        <f t="shared" si="134"/>
        <v>0</v>
      </c>
      <c r="U160" s="93" t="s">
        <v>1717</v>
      </c>
      <c r="V160" s="93" t="s">
        <v>1718</v>
      </c>
      <c r="W160" s="93"/>
      <c r="X160" s="93"/>
    </row>
    <row r="161" ht="24.0" customHeight="1">
      <c r="A161" s="93">
        <v>17.0</v>
      </c>
      <c r="B161" s="93" t="s">
        <v>299</v>
      </c>
      <c r="C161" s="93" t="s">
        <v>301</v>
      </c>
      <c r="D161" s="93" t="s">
        <v>68</v>
      </c>
      <c r="E161" s="145">
        <v>-1.0</v>
      </c>
      <c r="F161" s="145">
        <f t="array" ref="F161">INDEX('Pilot inputs'!$F$15:$F$44,MATCH(B161,'Pilot inputs'!$B$15:$B$44,0))</f>
        <v>617.01</v>
      </c>
      <c r="G161" s="145">
        <f t="shared" si="128"/>
        <v>586.1595</v>
      </c>
      <c r="H161" s="145">
        <f>IFERROR(__xludf.DUMMYFUNCTION("IFERROR(IF(AND(INDEX('Pilot inputs'!$AQ$15:$AQ$44,MATCH(B161,'Pilot inputs'!$B$15:$B$44,0))=1,ISNUMBER($F$12),$F$12&gt;=0,$F$12&lt;1),(LET(peer_values,FILTER('Pilot inputs'!$F$15:$F$44,'Pilot inputs'!$D$15:$D$44=INDEX('Pilot inputs'!$D$15:$D$44,MATCH(B161,'Pilo"&amp;"t inputs'!$B$15:$B$44,0)),'Pilot inputs'!$B$15:$B$44&lt;&gt;B161,'Pilot inputs'!$AA$15:$AA$44=1),peer_count,ROWS(peer_values),IF(peer_count+1&lt;MAX(3,Rules!$B$12),""Unranked"",100*(SUMPRODUCT(N(peer_values&lt;G161))+SUMPRODUCT(N(peer_values=G161))/2)/peer_count))+IN"&amp;"DEX('Pilot inputs'!$AF$15:$AF$44,MATCH(B161,'Pilot inputs'!$B$15:$B$44,0)))/2,""Unranked""),""Unranked"")"),100.0)</f>
        <v>100</v>
      </c>
      <c r="I161" s="145">
        <f t="array" ref="I161">IFERROR(IF(AND(INDEX('Pilot inputs'!$AQ$15:$AQ$44,MATCH(B161,'Pilot inputs'!$B$15:$B$44,0))=1,ISNUMBER($F$12),$F$12&gt;=0,$F$12&lt;1),INDEX('Pilot inputs'!$AL$15:$AL$44,MATCH(B161,'Pilot inputs'!$B$15:$B$44,0)),"Unranked"),"Unranked")</f>
        <v>35</v>
      </c>
      <c r="J161" s="145">
        <f t="array" ref="J161">IFERROR(IF(AND(INDEX('Pilot inputs'!$AQ$15:$AQ$44,MATCH(B161,'Pilot inputs'!$B$15:$B$44,0))=1,ISNUMBER($F$12),$F$12&gt;=0,$F$12&lt;1),INDEX('Pilot inputs'!$AM$15:$AM$44,MATCH(B161,'Pilot inputs'!$B$15:$B$44,0)),"Unranked"),"Unranked")</f>
        <v>100</v>
      </c>
      <c r="K161" s="145">
        <f t="array" ref="K161">IFERROR(IF(AND(INDEX('Pilot inputs'!$AQ$15:$AQ$44,MATCH(B161,'Pilot inputs'!$B$15:$B$44,0))=1,ISNUMBER($F$12),$F$12&gt;=0,$F$12&lt;1),INDEX('Pilot inputs'!$AP$15:$AP$44,MATCH(B161,'Pilot inputs'!$B$15:$B$44,0)),"Unranked"),"Unranked")</f>
        <v>50</v>
      </c>
      <c r="L161" s="145">
        <f t="shared" si="129"/>
        <v>71.25</v>
      </c>
      <c r="M161" s="145">
        <f>IFERROR(__xludf.DUMMYFUNCTION("IFERROR(IF(ISNUMBER(L161),1+COUNTIF(FILTER($G$15:$G$24,$A$15:$A$24&lt;&gt;B161),""&gt;""&amp;L161)+COUNTIF(FILTER($G$15:$G$24,$A$15:$A$24&lt;&gt;B161),L161)/2,""Unranked""),""Unranked"")"),1.0)</f>
        <v>1</v>
      </c>
      <c r="N161" s="145">
        <f t="shared" si="130"/>
        <v>67</v>
      </c>
      <c r="O161" s="145">
        <f>IFERROR(__xludf.DUMMYFUNCTION("IFERROR(IF(ISNUMBER(N161),1+COUNTIF(FILTER($I$15:$I$24,$A$15:$A$24&lt;&gt;B161),""&gt;""&amp;N161)+COUNTIF(FILTER($I$15:$I$24,$A$15:$A$24&lt;&gt;B161),N161)/2,""Unranked""),""Unranked"")"),3.0)</f>
        <v>3</v>
      </c>
      <c r="P161" s="145">
        <f t="shared" si="131"/>
        <v>61.5</v>
      </c>
      <c r="Q161" s="145">
        <f>IFERROR(__xludf.DUMMYFUNCTION("IFERROR(IF(ISNUMBER(P161),1+COUNTIF(FILTER($K$15:$K$24,$A$15:$A$24&lt;&gt;B161),""&gt;""&amp;P161)+COUNTIF(FILTER($K$15:$K$24,$A$15:$A$24&lt;&gt;B161),P161)/2,""Unranked""),""Unranked"")"),4.0)</f>
        <v>4</v>
      </c>
      <c r="R161" s="145">
        <f t="shared" si="132"/>
        <v>0</v>
      </c>
      <c r="S161" s="145">
        <f t="shared" si="133"/>
        <v>0</v>
      </c>
      <c r="T161" s="145">
        <f t="shared" si="134"/>
        <v>0</v>
      </c>
      <c r="U161" s="93" t="s">
        <v>1717</v>
      </c>
      <c r="V161" s="93" t="s">
        <v>1718</v>
      </c>
      <c r="W161" s="93"/>
      <c r="X161" s="93"/>
    </row>
    <row r="162" ht="24.0" customHeight="1">
      <c r="A162" s="93">
        <v>18.0</v>
      </c>
      <c r="B162" s="93" t="s">
        <v>299</v>
      </c>
      <c r="C162" s="93" t="s">
        <v>301</v>
      </c>
      <c r="D162" s="93" t="s">
        <v>68</v>
      </c>
      <c r="E162" s="145">
        <v>1.0</v>
      </c>
      <c r="F162" s="145">
        <f t="array" ref="F162">INDEX('Pilot inputs'!$F$15:$F$44,MATCH(B162,'Pilot inputs'!$B$15:$B$44,0))</f>
        <v>617.01</v>
      </c>
      <c r="G162" s="145">
        <f t="shared" si="128"/>
        <v>647.8605</v>
      </c>
      <c r="H162" s="145">
        <f>IFERROR(__xludf.DUMMYFUNCTION("IFERROR(IF(AND(INDEX('Pilot inputs'!$AQ$15:$AQ$44,MATCH(B162,'Pilot inputs'!$B$15:$B$44,0))=1,ISNUMBER($F$12),$F$12&gt;=0,$F$12&lt;1),(LET(peer_values,FILTER('Pilot inputs'!$F$15:$F$44,'Pilot inputs'!$D$15:$D$44=INDEX('Pilot inputs'!$D$15:$D$44,MATCH(B162,'Pilo"&amp;"t inputs'!$B$15:$B$44,0)),'Pilot inputs'!$B$15:$B$44&lt;&gt;B162,'Pilot inputs'!$AA$15:$AA$44=1),peer_count,ROWS(peer_values),IF(peer_count+1&lt;MAX(3,Rules!$B$12),""Unranked"",100*(SUMPRODUCT(N(peer_values&lt;G162))+SUMPRODUCT(N(peer_values=G162))/2)/peer_count))+IN"&amp;"DEX('Pilot inputs'!$AF$15:$AF$44,MATCH(B162,'Pilot inputs'!$B$15:$B$44,0)))/2,""Unranked""),""Unranked"")"),100.0)</f>
        <v>100</v>
      </c>
      <c r="I162" s="145">
        <f t="array" ref="I162">IFERROR(IF(AND(INDEX('Pilot inputs'!$AQ$15:$AQ$44,MATCH(B162,'Pilot inputs'!$B$15:$B$44,0))=1,ISNUMBER($F$12),$F$12&gt;=0,$F$12&lt;1),INDEX('Pilot inputs'!$AL$15:$AL$44,MATCH(B162,'Pilot inputs'!$B$15:$B$44,0)),"Unranked"),"Unranked")</f>
        <v>35</v>
      </c>
      <c r="J162" s="145">
        <f t="array" ref="J162">IFERROR(IF(AND(INDEX('Pilot inputs'!$AQ$15:$AQ$44,MATCH(B162,'Pilot inputs'!$B$15:$B$44,0))=1,ISNUMBER($F$12),$F$12&gt;=0,$F$12&lt;1),INDEX('Pilot inputs'!$AM$15:$AM$44,MATCH(B162,'Pilot inputs'!$B$15:$B$44,0)),"Unranked"),"Unranked")</f>
        <v>100</v>
      </c>
      <c r="K162" s="145">
        <f t="array" ref="K162">IFERROR(IF(AND(INDEX('Pilot inputs'!$AQ$15:$AQ$44,MATCH(B162,'Pilot inputs'!$B$15:$B$44,0))=1,ISNUMBER($F$12),$F$12&gt;=0,$F$12&lt;1),INDEX('Pilot inputs'!$AP$15:$AP$44,MATCH(B162,'Pilot inputs'!$B$15:$B$44,0)),"Unranked"),"Unranked")</f>
        <v>50</v>
      </c>
      <c r="L162" s="145">
        <f t="shared" si="129"/>
        <v>71.25</v>
      </c>
      <c r="M162" s="145">
        <f>IFERROR(__xludf.DUMMYFUNCTION("IFERROR(IF(ISNUMBER(L162),1+COUNTIF(FILTER($G$15:$G$24,$A$15:$A$24&lt;&gt;B162),""&gt;""&amp;L162)+COUNTIF(FILTER($G$15:$G$24,$A$15:$A$24&lt;&gt;B162),L162)/2,""Unranked""),""Unranked"")"),1.0)</f>
        <v>1</v>
      </c>
      <c r="N162" s="145">
        <f t="shared" si="130"/>
        <v>67</v>
      </c>
      <c r="O162" s="145">
        <f>IFERROR(__xludf.DUMMYFUNCTION("IFERROR(IF(ISNUMBER(N162),1+COUNTIF(FILTER($I$15:$I$24,$A$15:$A$24&lt;&gt;B162),""&gt;""&amp;N162)+COUNTIF(FILTER($I$15:$I$24,$A$15:$A$24&lt;&gt;B162),N162)/2,""Unranked""),""Unranked"")"),3.0)</f>
        <v>3</v>
      </c>
      <c r="P162" s="145">
        <f t="shared" si="131"/>
        <v>61.5</v>
      </c>
      <c r="Q162" s="145">
        <f>IFERROR(__xludf.DUMMYFUNCTION("IFERROR(IF(ISNUMBER(P162),1+COUNTIF(FILTER($K$15:$K$24,$A$15:$A$24&lt;&gt;B162),""&gt;""&amp;P162)+COUNTIF(FILTER($K$15:$K$24,$A$15:$A$24&lt;&gt;B162),P162)/2,""Unranked""),""Unranked"")"),4.0)</f>
        <v>4</v>
      </c>
      <c r="R162" s="145">
        <f t="shared" si="132"/>
        <v>0</v>
      </c>
      <c r="S162" s="145">
        <f t="shared" si="133"/>
        <v>0</v>
      </c>
      <c r="T162" s="145">
        <f t="shared" si="134"/>
        <v>0</v>
      </c>
      <c r="U162" s="93" t="s">
        <v>1717</v>
      </c>
      <c r="V162" s="93" t="s">
        <v>1718</v>
      </c>
      <c r="W162" s="93"/>
      <c r="X162" s="93"/>
    </row>
    <row r="163" ht="24.0" customHeight="1">
      <c r="A163" s="93">
        <v>19.0</v>
      </c>
      <c r="B163" s="93" t="s">
        <v>299</v>
      </c>
      <c r="C163" s="93" t="s">
        <v>301</v>
      </c>
      <c r="D163" s="93" t="s">
        <v>1720</v>
      </c>
      <c r="E163" s="145">
        <v>-1.0</v>
      </c>
      <c r="F163" s="145">
        <f t="array" ref="F163">INDEX('Pilot inputs'!$H$15:$H$44,MATCH(B163,'Pilot inputs'!$B$15:$B$44,0))</f>
        <v>97.929</v>
      </c>
      <c r="G163" s="145">
        <f t="shared" si="128"/>
        <v>93.03255</v>
      </c>
      <c r="H163" s="145">
        <f>IFERROR(__xludf.DUMMYFUNCTION("IFERROR(IF(AND(INDEX('Pilot inputs'!$AQ$15:$AQ$44,MATCH(B163,'Pilot inputs'!$B$15:$B$44,0))=1,ISNUMBER($F$12),$F$12&gt;=0,$F$12&lt;1),(LET(peer_values,FILTER('Pilot inputs'!$H$15:$H$44,'Pilot inputs'!$D$15:$D$44=INDEX('Pilot inputs'!$D$15:$D$44,MATCH(B163,'Pilo"&amp;"t inputs'!$B$15:$B$44,0)),'Pilot inputs'!$B$15:$B$44&lt;&gt;B163,'Pilot inputs'!$AA$15:$AA$44=1),peer_count,ROWS(peer_values),IF(peer_count+1&lt;MAX(3,Rules!$B$12),""Unranked"",100*(SUMPRODUCT(N(peer_values&lt;G163))+SUMPRODUCT(N(peer_values=G163))/2)/peer_count))+IN"&amp;"DEX('Pilot inputs'!$AE$15:$AE$44,MATCH(B163,'Pilot inputs'!$B$15:$B$44,0)))/2,""Unranked""),""Unranked"")"),100.0)</f>
        <v>100</v>
      </c>
      <c r="I163" s="145">
        <f t="array" ref="I163">IFERROR(IF(AND(INDEX('Pilot inputs'!$AQ$15:$AQ$44,MATCH(B163,'Pilot inputs'!$B$15:$B$44,0))=1,ISNUMBER($F$12),$F$12&gt;=0,$F$12&lt;1),INDEX('Pilot inputs'!$AL$15:$AL$44,MATCH(B163,'Pilot inputs'!$B$15:$B$44,0)),"Unranked"),"Unranked")</f>
        <v>35</v>
      </c>
      <c r="J163" s="145">
        <f t="array" ref="J163">IFERROR(IF(AND(INDEX('Pilot inputs'!$AQ$15:$AQ$44,MATCH(B163,'Pilot inputs'!$B$15:$B$44,0))=1,ISNUMBER($F$12),$F$12&gt;=0,$F$12&lt;1),INDEX('Pilot inputs'!$AM$15:$AM$44,MATCH(B163,'Pilot inputs'!$B$15:$B$44,0)),"Unranked"),"Unranked")</f>
        <v>100</v>
      </c>
      <c r="K163" s="145">
        <f t="array" ref="K163">IFERROR(IF(AND(INDEX('Pilot inputs'!$AQ$15:$AQ$44,MATCH(B163,'Pilot inputs'!$B$15:$B$44,0))=1,ISNUMBER($F$12),$F$12&gt;=0,$F$12&lt;1),INDEX('Pilot inputs'!$AP$15:$AP$44,MATCH(B163,'Pilot inputs'!$B$15:$B$44,0)),"Unranked"),"Unranked")</f>
        <v>50</v>
      </c>
      <c r="L163" s="145">
        <f t="shared" si="129"/>
        <v>71.25</v>
      </c>
      <c r="M163" s="145">
        <f>IFERROR(__xludf.DUMMYFUNCTION("IFERROR(IF(ISNUMBER(L163),1+COUNTIF(FILTER($G$15:$G$24,$A$15:$A$24&lt;&gt;B163),""&gt;""&amp;L163)+COUNTIF(FILTER($G$15:$G$24,$A$15:$A$24&lt;&gt;B163),L163)/2,""Unranked""),""Unranked"")"),1.0)</f>
        <v>1</v>
      </c>
      <c r="N163" s="145">
        <f t="shared" si="130"/>
        <v>67</v>
      </c>
      <c r="O163" s="145">
        <f>IFERROR(__xludf.DUMMYFUNCTION("IFERROR(IF(ISNUMBER(N163),1+COUNTIF(FILTER($I$15:$I$24,$A$15:$A$24&lt;&gt;B163),""&gt;""&amp;N163)+COUNTIF(FILTER($I$15:$I$24,$A$15:$A$24&lt;&gt;B163),N163)/2,""Unranked""),""Unranked"")"),3.0)</f>
        <v>3</v>
      </c>
      <c r="P163" s="145">
        <f t="shared" si="131"/>
        <v>61.5</v>
      </c>
      <c r="Q163" s="145">
        <f>IFERROR(__xludf.DUMMYFUNCTION("IFERROR(IF(ISNUMBER(P163),1+COUNTIF(FILTER($K$15:$K$24,$A$15:$A$24&lt;&gt;B163),""&gt;""&amp;P163)+COUNTIF(FILTER($K$15:$K$24,$A$15:$A$24&lt;&gt;B163),P163)/2,""Unranked""),""Unranked"")"),4.0)</f>
        <v>4</v>
      </c>
      <c r="R163" s="145">
        <f t="shared" si="132"/>
        <v>0</v>
      </c>
      <c r="S163" s="145">
        <f t="shared" si="133"/>
        <v>0</v>
      </c>
      <c r="T163" s="145">
        <f t="shared" si="134"/>
        <v>0</v>
      </c>
      <c r="U163" s="93" t="s">
        <v>1717</v>
      </c>
      <c r="V163" s="93" t="s">
        <v>1718</v>
      </c>
      <c r="W163" s="93"/>
      <c r="X163" s="93"/>
    </row>
    <row r="164" ht="24.0" customHeight="1">
      <c r="A164" s="93">
        <v>20.0</v>
      </c>
      <c r="B164" s="93" t="s">
        <v>299</v>
      </c>
      <c r="C164" s="93" t="s">
        <v>301</v>
      </c>
      <c r="D164" s="93" t="s">
        <v>1720</v>
      </c>
      <c r="E164" s="145">
        <v>1.0</v>
      </c>
      <c r="F164" s="145">
        <f t="array" ref="F164">INDEX('Pilot inputs'!$H$15:$H$44,MATCH(B164,'Pilot inputs'!$B$15:$B$44,0))</f>
        <v>97.929</v>
      </c>
      <c r="G164" s="145">
        <f t="shared" si="128"/>
        <v>102.82545</v>
      </c>
      <c r="H164" s="145">
        <f>IFERROR(__xludf.DUMMYFUNCTION("IFERROR(IF(AND(INDEX('Pilot inputs'!$AQ$15:$AQ$44,MATCH(B164,'Pilot inputs'!$B$15:$B$44,0))=1,ISNUMBER($F$12),$F$12&gt;=0,$F$12&lt;1),(LET(peer_values,FILTER('Pilot inputs'!$H$15:$H$44,'Pilot inputs'!$D$15:$D$44=INDEX('Pilot inputs'!$D$15:$D$44,MATCH(B164,'Pilo"&amp;"t inputs'!$B$15:$B$44,0)),'Pilot inputs'!$B$15:$B$44&lt;&gt;B164,'Pilot inputs'!$AA$15:$AA$44=1),peer_count,ROWS(peer_values),IF(peer_count+1&lt;MAX(3,Rules!$B$12),""Unranked"",100*(SUMPRODUCT(N(peer_values&lt;G164))+SUMPRODUCT(N(peer_values=G164))/2)/peer_count))+IN"&amp;"DEX('Pilot inputs'!$AE$15:$AE$44,MATCH(B164,'Pilot inputs'!$B$15:$B$44,0)))/2,""Unranked""),""Unranked"")"),100.0)</f>
        <v>100</v>
      </c>
      <c r="I164" s="145">
        <f t="array" ref="I164">IFERROR(IF(AND(INDEX('Pilot inputs'!$AQ$15:$AQ$44,MATCH(B164,'Pilot inputs'!$B$15:$B$44,0))=1,ISNUMBER($F$12),$F$12&gt;=0,$F$12&lt;1),INDEX('Pilot inputs'!$AL$15:$AL$44,MATCH(B164,'Pilot inputs'!$B$15:$B$44,0)),"Unranked"),"Unranked")</f>
        <v>35</v>
      </c>
      <c r="J164" s="145">
        <f t="array" ref="J164">IFERROR(IF(AND(INDEX('Pilot inputs'!$AQ$15:$AQ$44,MATCH(B164,'Pilot inputs'!$B$15:$B$44,0))=1,ISNUMBER($F$12),$F$12&gt;=0,$F$12&lt;1),INDEX('Pilot inputs'!$AM$15:$AM$44,MATCH(B164,'Pilot inputs'!$B$15:$B$44,0)),"Unranked"),"Unranked")</f>
        <v>100</v>
      </c>
      <c r="K164" s="145">
        <f t="array" ref="K164">IFERROR(IF(AND(INDEX('Pilot inputs'!$AQ$15:$AQ$44,MATCH(B164,'Pilot inputs'!$B$15:$B$44,0))=1,ISNUMBER($F$12),$F$12&gt;=0,$F$12&lt;1),INDEX('Pilot inputs'!$AP$15:$AP$44,MATCH(B164,'Pilot inputs'!$B$15:$B$44,0)),"Unranked"),"Unranked")</f>
        <v>50</v>
      </c>
      <c r="L164" s="145">
        <f t="shared" si="129"/>
        <v>71.25</v>
      </c>
      <c r="M164" s="145">
        <f>IFERROR(__xludf.DUMMYFUNCTION("IFERROR(IF(ISNUMBER(L164),1+COUNTIF(FILTER($G$15:$G$24,$A$15:$A$24&lt;&gt;B164),""&gt;""&amp;L164)+COUNTIF(FILTER($G$15:$G$24,$A$15:$A$24&lt;&gt;B164),L164)/2,""Unranked""),""Unranked"")"),1.0)</f>
        <v>1</v>
      </c>
      <c r="N164" s="145">
        <f t="shared" si="130"/>
        <v>67</v>
      </c>
      <c r="O164" s="145">
        <f>IFERROR(__xludf.DUMMYFUNCTION("IFERROR(IF(ISNUMBER(N164),1+COUNTIF(FILTER($I$15:$I$24,$A$15:$A$24&lt;&gt;B164),""&gt;""&amp;N164)+COUNTIF(FILTER($I$15:$I$24,$A$15:$A$24&lt;&gt;B164),N164)/2,""Unranked""),""Unranked"")"),3.0)</f>
        <v>3</v>
      </c>
      <c r="P164" s="145">
        <f t="shared" si="131"/>
        <v>61.5</v>
      </c>
      <c r="Q164" s="145">
        <f>IFERROR(__xludf.DUMMYFUNCTION("IFERROR(IF(ISNUMBER(P164),1+COUNTIF(FILTER($K$15:$K$24,$A$15:$A$24&lt;&gt;B164),""&gt;""&amp;P164)+COUNTIF(FILTER($K$15:$K$24,$A$15:$A$24&lt;&gt;B164),P164)/2,""Unranked""),""Unranked"")"),4.0)</f>
        <v>4</v>
      </c>
      <c r="R164" s="145">
        <f t="shared" si="132"/>
        <v>0</v>
      </c>
      <c r="S164" s="145">
        <f t="shared" si="133"/>
        <v>0</v>
      </c>
      <c r="T164" s="145">
        <f t="shared" si="134"/>
        <v>0</v>
      </c>
      <c r="U164" s="93" t="s">
        <v>1717</v>
      </c>
      <c r="V164" s="93" t="s">
        <v>1718</v>
      </c>
      <c r="W164" s="93"/>
      <c r="X164" s="93"/>
    </row>
    <row r="165" ht="24.0" customHeight="1">
      <c r="A165" s="93">
        <v>21.0</v>
      </c>
      <c r="B165" s="93" t="s">
        <v>299</v>
      </c>
      <c r="C165" s="93" t="s">
        <v>301</v>
      </c>
      <c r="D165" s="93" t="s">
        <v>1230</v>
      </c>
      <c r="E165" s="145">
        <v>-1.0</v>
      </c>
      <c r="F165" s="145">
        <f t="array" ref="F165">INDEX('Pilot inputs'!$K$15:$K$44,MATCH(B165,'Pilot inputs'!$B$15:$B$44,0))</f>
        <v>29.68</v>
      </c>
      <c r="G165" s="145">
        <f t="shared" si="128"/>
        <v>28.196</v>
      </c>
      <c r="H165" s="145">
        <f t="array" ref="H165">IFERROR(IF(AND(INDEX('Pilot inputs'!$AQ$15:$AQ$44,MATCH(B165,'Pilot inputs'!$B$15:$B$44,0))=1,ISNUMBER($F$12),$F$12&gt;=0,$F$12&lt;1),INDEX('Pilot inputs'!$AG$15:$AG$44,MATCH(B165,'Pilot inputs'!$B$15:$B$44,0)),"Unranked"),"Unranked")</f>
        <v>100</v>
      </c>
      <c r="I165" s="145">
        <f>IFERROR(__xludf.DUMMYFUNCTION("IFERROR(IF(AND(INDEX('Pilot inputs'!$AQ$15:$AQ$44,MATCH(B165,'Pilot inputs'!$B$15:$B$44,0))=1,ISNUMBER($F$12),$F$12&gt;=0,$F$12&lt;1),INDEX('Pilot inputs'!$AL$15:$AL$44,MATCH(B165,'Pilot inputs'!$B$15:$B$44,0))+IF(C165=""Utilities"",0.4,0.35)*((100-LET(peer_val"&amp;"ues,FILTER('Pilot inputs'!$K$15:$K$44,'Pilot inputs'!$D$15:$D$44=INDEX('Pilot inputs'!$D$15:$D$44,MATCH(B165,'Pilot inputs'!$B$15:$B$44,0)),'Pilot inputs'!$B$15:$B$44&lt;&gt;B165,'Pilot inputs'!$AA$15:$AA$44=1),peer_count,ROWS(peer_values),IF(peer_count+1&lt;MAX(3"&amp;",Rules!$B$12),""Unranked"",100*(SUMPRODUCT(N(peer_values&lt;G165))+SUMPRODUCT(N(peer_values=G165))/2)/peer_count)))-INDEX('Pilot inputs'!$AH$15:$AH$44,MATCH(B165,'Pilot inputs'!$B$15:$B$44,0))),""Unranked""),""Unranked"")"),35.0)</f>
        <v>35</v>
      </c>
      <c r="J165" s="145">
        <f t="array" ref="J165">IFERROR(IF(AND(INDEX('Pilot inputs'!$AQ$15:$AQ$44,MATCH(B165,'Pilot inputs'!$B$15:$B$44,0))=1,ISNUMBER($F$12),$F$12&gt;=0,$F$12&lt;1),INDEX('Pilot inputs'!$AM$15:$AM$44,MATCH(B165,'Pilot inputs'!$B$15:$B$44,0)),"Unranked"),"Unranked")</f>
        <v>100</v>
      </c>
      <c r="K165" s="145">
        <f t="array" ref="K165">IFERROR(IF(AND(INDEX('Pilot inputs'!$AQ$15:$AQ$44,MATCH(B165,'Pilot inputs'!$B$15:$B$44,0))=1,ISNUMBER($F$12),$F$12&gt;=0,$F$12&lt;1),INDEX('Pilot inputs'!$AP$15:$AP$44,MATCH(B165,'Pilot inputs'!$B$15:$B$44,0)),"Unranked"),"Unranked")</f>
        <v>50</v>
      </c>
      <c r="L165" s="145">
        <f t="shared" si="129"/>
        <v>71.25</v>
      </c>
      <c r="M165" s="145">
        <f>IFERROR(__xludf.DUMMYFUNCTION("IFERROR(IF(ISNUMBER(L165),1+COUNTIF(FILTER($G$15:$G$24,$A$15:$A$24&lt;&gt;B165),""&gt;""&amp;L165)+COUNTIF(FILTER($G$15:$G$24,$A$15:$A$24&lt;&gt;B165),L165)/2,""Unranked""),""Unranked"")"),1.0)</f>
        <v>1</v>
      </c>
      <c r="N165" s="145">
        <f t="shared" si="130"/>
        <v>67</v>
      </c>
      <c r="O165" s="145">
        <f>IFERROR(__xludf.DUMMYFUNCTION("IFERROR(IF(ISNUMBER(N165),1+COUNTIF(FILTER($I$15:$I$24,$A$15:$A$24&lt;&gt;B165),""&gt;""&amp;N165)+COUNTIF(FILTER($I$15:$I$24,$A$15:$A$24&lt;&gt;B165),N165)/2,""Unranked""),""Unranked"")"),3.0)</f>
        <v>3</v>
      </c>
      <c r="P165" s="145">
        <f t="shared" si="131"/>
        <v>61.5</v>
      </c>
      <c r="Q165" s="145">
        <f>IFERROR(__xludf.DUMMYFUNCTION("IFERROR(IF(ISNUMBER(P165),1+COUNTIF(FILTER($K$15:$K$24,$A$15:$A$24&lt;&gt;B165),""&gt;""&amp;P165)+COUNTIF(FILTER($K$15:$K$24,$A$15:$A$24&lt;&gt;B165),P165)/2,""Unranked""),""Unranked"")"),4.0)</f>
        <v>4</v>
      </c>
      <c r="R165" s="145">
        <f t="shared" si="132"/>
        <v>0</v>
      </c>
      <c r="S165" s="145">
        <f t="shared" si="133"/>
        <v>0</v>
      </c>
      <c r="T165" s="145">
        <f t="shared" si="134"/>
        <v>0</v>
      </c>
      <c r="U165" s="93" t="s">
        <v>1717</v>
      </c>
      <c r="V165" s="93" t="s">
        <v>1718</v>
      </c>
      <c r="W165" s="93"/>
      <c r="X165" s="93"/>
    </row>
    <row r="166" ht="24.0" customHeight="1">
      <c r="A166" s="93">
        <v>22.0</v>
      </c>
      <c r="B166" s="93" t="s">
        <v>299</v>
      </c>
      <c r="C166" s="93" t="s">
        <v>301</v>
      </c>
      <c r="D166" s="93" t="s">
        <v>1230</v>
      </c>
      <c r="E166" s="145">
        <v>1.0</v>
      </c>
      <c r="F166" s="145">
        <f t="array" ref="F166">INDEX('Pilot inputs'!$K$15:$K$44,MATCH(B166,'Pilot inputs'!$B$15:$B$44,0))</f>
        <v>29.68</v>
      </c>
      <c r="G166" s="145">
        <f t="shared" si="128"/>
        <v>31.164</v>
      </c>
      <c r="H166" s="145">
        <f t="array" ref="H166">IFERROR(IF(AND(INDEX('Pilot inputs'!$AQ$15:$AQ$44,MATCH(B166,'Pilot inputs'!$B$15:$B$44,0))=1,ISNUMBER($F$12),$F$12&gt;=0,$F$12&lt;1),INDEX('Pilot inputs'!$AG$15:$AG$44,MATCH(B166,'Pilot inputs'!$B$15:$B$44,0)),"Unranked"),"Unranked")</f>
        <v>100</v>
      </c>
      <c r="I166" s="145">
        <f>IFERROR(__xludf.DUMMYFUNCTION("IFERROR(IF(AND(INDEX('Pilot inputs'!$AQ$15:$AQ$44,MATCH(B166,'Pilot inputs'!$B$15:$B$44,0))=1,ISNUMBER($F$12),$F$12&gt;=0,$F$12&lt;1),INDEX('Pilot inputs'!$AL$15:$AL$44,MATCH(B166,'Pilot inputs'!$B$15:$B$44,0))+IF(C166=""Utilities"",0.4,0.35)*((100-LET(peer_val"&amp;"ues,FILTER('Pilot inputs'!$K$15:$K$44,'Pilot inputs'!$D$15:$D$44=INDEX('Pilot inputs'!$D$15:$D$44,MATCH(B166,'Pilot inputs'!$B$15:$B$44,0)),'Pilot inputs'!$B$15:$B$44&lt;&gt;B166,'Pilot inputs'!$AA$15:$AA$44=1),peer_count,ROWS(peer_values),IF(peer_count+1&lt;MAX(3"&amp;",Rules!$B$12),""Unranked"",100*(SUMPRODUCT(N(peer_values&lt;G166))+SUMPRODUCT(N(peer_values=G166))/2)/peer_count)))-INDEX('Pilot inputs'!$AH$15:$AH$44,MATCH(B166,'Pilot inputs'!$B$15:$B$44,0))),""Unranked""),""Unranked"")"),35.0)</f>
        <v>35</v>
      </c>
      <c r="J166" s="145">
        <f t="array" ref="J166">IFERROR(IF(AND(INDEX('Pilot inputs'!$AQ$15:$AQ$44,MATCH(B166,'Pilot inputs'!$B$15:$B$44,0))=1,ISNUMBER($F$12),$F$12&gt;=0,$F$12&lt;1),INDEX('Pilot inputs'!$AM$15:$AM$44,MATCH(B166,'Pilot inputs'!$B$15:$B$44,0)),"Unranked"),"Unranked")</f>
        <v>100</v>
      </c>
      <c r="K166" s="145">
        <f t="array" ref="K166">IFERROR(IF(AND(INDEX('Pilot inputs'!$AQ$15:$AQ$44,MATCH(B166,'Pilot inputs'!$B$15:$B$44,0))=1,ISNUMBER($F$12),$F$12&gt;=0,$F$12&lt;1),INDEX('Pilot inputs'!$AP$15:$AP$44,MATCH(B166,'Pilot inputs'!$B$15:$B$44,0)),"Unranked"),"Unranked")</f>
        <v>50</v>
      </c>
      <c r="L166" s="145">
        <f t="shared" si="129"/>
        <v>71.25</v>
      </c>
      <c r="M166" s="145">
        <f>IFERROR(__xludf.DUMMYFUNCTION("IFERROR(IF(ISNUMBER(L166),1+COUNTIF(FILTER($G$15:$G$24,$A$15:$A$24&lt;&gt;B166),""&gt;""&amp;L166)+COUNTIF(FILTER($G$15:$G$24,$A$15:$A$24&lt;&gt;B166),L166)/2,""Unranked""),""Unranked"")"),1.0)</f>
        <v>1</v>
      </c>
      <c r="N166" s="145">
        <f t="shared" si="130"/>
        <v>67</v>
      </c>
      <c r="O166" s="145">
        <f>IFERROR(__xludf.DUMMYFUNCTION("IFERROR(IF(ISNUMBER(N166),1+COUNTIF(FILTER($I$15:$I$24,$A$15:$A$24&lt;&gt;B166),""&gt;""&amp;N166)+COUNTIF(FILTER($I$15:$I$24,$A$15:$A$24&lt;&gt;B166),N166)/2,""Unranked""),""Unranked"")"),3.0)</f>
        <v>3</v>
      </c>
      <c r="P166" s="145">
        <f t="shared" si="131"/>
        <v>61.5</v>
      </c>
      <c r="Q166" s="145">
        <f>IFERROR(__xludf.DUMMYFUNCTION("IFERROR(IF(ISNUMBER(P166),1+COUNTIF(FILTER($K$15:$K$24,$A$15:$A$24&lt;&gt;B166),""&gt;""&amp;P166)+COUNTIF(FILTER($K$15:$K$24,$A$15:$A$24&lt;&gt;B166),P166)/2,""Unranked""),""Unranked"")"),4.0)</f>
        <v>4</v>
      </c>
      <c r="R166" s="145">
        <f t="shared" si="132"/>
        <v>0</v>
      </c>
      <c r="S166" s="145">
        <f t="shared" si="133"/>
        <v>0</v>
      </c>
      <c r="T166" s="145">
        <f t="shared" si="134"/>
        <v>0</v>
      </c>
      <c r="U166" s="93" t="s">
        <v>1717</v>
      </c>
      <c r="V166" s="93" t="s">
        <v>1718</v>
      </c>
      <c r="W166" s="93"/>
      <c r="X166" s="93"/>
    </row>
    <row r="167" ht="24.0" customHeight="1">
      <c r="A167" s="93">
        <v>23.0</v>
      </c>
      <c r="B167" s="93" t="s">
        <v>299</v>
      </c>
      <c r="C167" s="93" t="s">
        <v>301</v>
      </c>
      <c r="D167" s="93" t="s">
        <v>1740</v>
      </c>
      <c r="E167" s="145">
        <v>-1.0</v>
      </c>
      <c r="F167" s="145">
        <f t="array" ref="F167">INDEX('Pilot inputs'!$L$15:$L$44,MATCH(B167,'Pilot inputs'!$B$15:$B$44,0))</f>
        <v>18.5</v>
      </c>
      <c r="G167" s="145">
        <f t="shared" si="128"/>
        <v>17.575</v>
      </c>
      <c r="H167" s="145">
        <f t="array" ref="H167">IFERROR(IF(AND(INDEX('Pilot inputs'!$AQ$15:$AQ$44,MATCH(B167,'Pilot inputs'!$B$15:$B$44,0))=1,ISNUMBER($F$12),$F$12&gt;=0,$F$12&lt;1),INDEX('Pilot inputs'!$AG$15:$AG$44,MATCH(B167,'Pilot inputs'!$B$15:$B$44,0)),"Unranked"),"Unranked")</f>
        <v>100</v>
      </c>
      <c r="I167" s="145">
        <f>IFERROR(__xludf.DUMMYFUNCTION("IFERROR(IF(AND(INDEX('Pilot inputs'!$AQ$15:$AQ$44,MATCH(B167,'Pilot inputs'!$B$15:$B$44,0))=1,ISNUMBER($F$12),$F$12&gt;=0,$F$12&lt;1),INDEX('Pilot inputs'!$AL$15:$AL$44,MATCH(B167,'Pilot inputs'!$B$15:$B$44,0))+IF(C167=""Utilities"",0.4,0.35)*((100-LET(peer_val"&amp;"ues,FILTER('Pilot inputs'!$L$15:$L$44,'Pilot inputs'!$D$15:$D$44=INDEX('Pilot inputs'!$D$15:$D$44,MATCH(B167,'Pilot inputs'!$B$15:$B$44,0)),'Pilot inputs'!$B$15:$B$44&lt;&gt;B167,'Pilot inputs'!$AA$15:$AA$44=1),peer_count,ROWS(peer_values),IF(peer_count+1&lt;MAX(3"&amp;",Rules!$B$12),""Unranked"",100*(SUMPRODUCT(N(peer_values&lt;G167))+SUMPRODUCT(N(peer_values=G167))/2)/peer_count)))-INDEX('Pilot inputs'!$AI$15:$AI$44,MATCH(B167,'Pilot inputs'!$B$15:$B$44,0))),""Unranked""),""Unranked"")"),35.0)</f>
        <v>35</v>
      </c>
      <c r="J167" s="145">
        <f t="array" ref="J167">IFERROR(IF(AND(INDEX('Pilot inputs'!$AQ$15:$AQ$44,MATCH(B167,'Pilot inputs'!$B$15:$B$44,0))=1,ISNUMBER($F$12),$F$12&gt;=0,$F$12&lt;1),INDEX('Pilot inputs'!$AM$15:$AM$44,MATCH(B167,'Pilot inputs'!$B$15:$B$44,0)),"Unranked"),"Unranked")</f>
        <v>100</v>
      </c>
      <c r="K167" s="145">
        <f t="array" ref="K167">IFERROR(IF(AND(INDEX('Pilot inputs'!$AQ$15:$AQ$44,MATCH(B167,'Pilot inputs'!$B$15:$B$44,0))=1,ISNUMBER($F$12),$F$12&gt;=0,$F$12&lt;1),INDEX('Pilot inputs'!$AP$15:$AP$44,MATCH(B167,'Pilot inputs'!$B$15:$B$44,0)),"Unranked"),"Unranked")</f>
        <v>50</v>
      </c>
      <c r="L167" s="145">
        <f t="shared" si="129"/>
        <v>71.25</v>
      </c>
      <c r="M167" s="145">
        <f>IFERROR(__xludf.DUMMYFUNCTION("IFERROR(IF(ISNUMBER(L167),1+COUNTIF(FILTER($G$15:$G$24,$A$15:$A$24&lt;&gt;B167),""&gt;""&amp;L167)+COUNTIF(FILTER($G$15:$G$24,$A$15:$A$24&lt;&gt;B167),L167)/2,""Unranked""),""Unranked"")"),1.0)</f>
        <v>1</v>
      </c>
      <c r="N167" s="145">
        <f t="shared" si="130"/>
        <v>67</v>
      </c>
      <c r="O167" s="145">
        <f>IFERROR(__xludf.DUMMYFUNCTION("IFERROR(IF(ISNUMBER(N167),1+COUNTIF(FILTER($I$15:$I$24,$A$15:$A$24&lt;&gt;B167),""&gt;""&amp;N167)+COUNTIF(FILTER($I$15:$I$24,$A$15:$A$24&lt;&gt;B167),N167)/2,""Unranked""),""Unranked"")"),3.0)</f>
        <v>3</v>
      </c>
      <c r="P167" s="145">
        <f t="shared" si="131"/>
        <v>61.5</v>
      </c>
      <c r="Q167" s="145">
        <f>IFERROR(__xludf.DUMMYFUNCTION("IFERROR(IF(ISNUMBER(P167),1+COUNTIF(FILTER($K$15:$K$24,$A$15:$A$24&lt;&gt;B167),""&gt;""&amp;P167)+COUNTIF(FILTER($K$15:$K$24,$A$15:$A$24&lt;&gt;B167),P167)/2,""Unranked""),""Unranked"")"),4.0)</f>
        <v>4</v>
      </c>
      <c r="R167" s="145">
        <f t="shared" si="132"/>
        <v>0</v>
      </c>
      <c r="S167" s="145">
        <f t="shared" si="133"/>
        <v>0</v>
      </c>
      <c r="T167" s="145">
        <f t="shared" si="134"/>
        <v>0</v>
      </c>
      <c r="U167" s="93" t="s">
        <v>1717</v>
      </c>
      <c r="V167" s="93" t="s">
        <v>1718</v>
      </c>
      <c r="W167" s="93"/>
      <c r="X167" s="93"/>
    </row>
    <row r="168" ht="24.0" customHeight="1">
      <c r="A168" s="93">
        <v>24.0</v>
      </c>
      <c r="B168" s="93" t="s">
        <v>299</v>
      </c>
      <c r="C168" s="93" t="s">
        <v>301</v>
      </c>
      <c r="D168" s="93" t="s">
        <v>1740</v>
      </c>
      <c r="E168" s="145">
        <v>1.0</v>
      </c>
      <c r="F168" s="145">
        <f t="array" ref="F168">INDEX('Pilot inputs'!$L$15:$L$44,MATCH(B168,'Pilot inputs'!$B$15:$B$44,0))</f>
        <v>18.5</v>
      </c>
      <c r="G168" s="145">
        <f t="shared" si="128"/>
        <v>19.425</v>
      </c>
      <c r="H168" s="145">
        <f t="array" ref="H168">IFERROR(IF(AND(INDEX('Pilot inputs'!$AQ$15:$AQ$44,MATCH(B168,'Pilot inputs'!$B$15:$B$44,0))=1,ISNUMBER($F$12),$F$12&gt;=0,$F$12&lt;1),INDEX('Pilot inputs'!$AG$15:$AG$44,MATCH(B168,'Pilot inputs'!$B$15:$B$44,0)),"Unranked"),"Unranked")</f>
        <v>100</v>
      </c>
      <c r="I168" s="145">
        <f>IFERROR(__xludf.DUMMYFUNCTION("IFERROR(IF(AND(INDEX('Pilot inputs'!$AQ$15:$AQ$44,MATCH(B168,'Pilot inputs'!$B$15:$B$44,0))=1,ISNUMBER($F$12),$F$12&gt;=0,$F$12&lt;1),INDEX('Pilot inputs'!$AL$15:$AL$44,MATCH(B168,'Pilot inputs'!$B$15:$B$44,0))+IF(C168=""Utilities"",0.4,0.35)*((100-LET(peer_val"&amp;"ues,FILTER('Pilot inputs'!$L$15:$L$44,'Pilot inputs'!$D$15:$D$44=INDEX('Pilot inputs'!$D$15:$D$44,MATCH(B168,'Pilot inputs'!$B$15:$B$44,0)),'Pilot inputs'!$B$15:$B$44&lt;&gt;B168,'Pilot inputs'!$AA$15:$AA$44=1),peer_count,ROWS(peer_values),IF(peer_count+1&lt;MAX(3"&amp;",Rules!$B$12),""Unranked"",100*(SUMPRODUCT(N(peer_values&lt;G168))+SUMPRODUCT(N(peer_values=G168))/2)/peer_count)))-INDEX('Pilot inputs'!$AI$15:$AI$44,MATCH(B168,'Pilot inputs'!$B$15:$B$44,0))),""Unranked""),""Unranked"")"),35.0)</f>
        <v>35</v>
      </c>
      <c r="J168" s="145">
        <f t="array" ref="J168">IFERROR(IF(AND(INDEX('Pilot inputs'!$AQ$15:$AQ$44,MATCH(B168,'Pilot inputs'!$B$15:$B$44,0))=1,ISNUMBER($F$12),$F$12&gt;=0,$F$12&lt;1),INDEX('Pilot inputs'!$AM$15:$AM$44,MATCH(B168,'Pilot inputs'!$B$15:$B$44,0)),"Unranked"),"Unranked")</f>
        <v>100</v>
      </c>
      <c r="K168" s="145">
        <f t="array" ref="K168">IFERROR(IF(AND(INDEX('Pilot inputs'!$AQ$15:$AQ$44,MATCH(B168,'Pilot inputs'!$B$15:$B$44,0))=1,ISNUMBER($F$12),$F$12&gt;=0,$F$12&lt;1),INDEX('Pilot inputs'!$AP$15:$AP$44,MATCH(B168,'Pilot inputs'!$B$15:$B$44,0)),"Unranked"),"Unranked")</f>
        <v>50</v>
      </c>
      <c r="L168" s="145">
        <f t="shared" si="129"/>
        <v>71.25</v>
      </c>
      <c r="M168" s="145">
        <f>IFERROR(__xludf.DUMMYFUNCTION("IFERROR(IF(ISNUMBER(L168),1+COUNTIF(FILTER($G$15:$G$24,$A$15:$A$24&lt;&gt;B168),""&gt;""&amp;L168)+COUNTIF(FILTER($G$15:$G$24,$A$15:$A$24&lt;&gt;B168),L168)/2,""Unranked""),""Unranked"")"),1.0)</f>
        <v>1</v>
      </c>
      <c r="N168" s="145">
        <f t="shared" si="130"/>
        <v>67</v>
      </c>
      <c r="O168" s="145">
        <f>IFERROR(__xludf.DUMMYFUNCTION("IFERROR(IF(ISNUMBER(N168),1+COUNTIF(FILTER($I$15:$I$24,$A$15:$A$24&lt;&gt;B168),""&gt;""&amp;N168)+COUNTIF(FILTER($I$15:$I$24,$A$15:$A$24&lt;&gt;B168),N168)/2,""Unranked""),""Unranked"")"),3.0)</f>
        <v>3</v>
      </c>
      <c r="P168" s="145">
        <f t="shared" si="131"/>
        <v>61.5</v>
      </c>
      <c r="Q168" s="145">
        <f>IFERROR(__xludf.DUMMYFUNCTION("IFERROR(IF(ISNUMBER(P168),1+COUNTIF(FILTER($K$15:$K$24,$A$15:$A$24&lt;&gt;B168),""&gt;""&amp;P168)+COUNTIF(FILTER($K$15:$K$24,$A$15:$A$24&lt;&gt;B168),P168)/2,""Unranked""),""Unranked"")"),4.0)</f>
        <v>4</v>
      </c>
      <c r="R168" s="145">
        <f t="shared" si="132"/>
        <v>0</v>
      </c>
      <c r="S168" s="145">
        <f t="shared" si="133"/>
        <v>0</v>
      </c>
      <c r="T168" s="145">
        <f t="shared" si="134"/>
        <v>0</v>
      </c>
      <c r="U168" s="93" t="s">
        <v>1717</v>
      </c>
      <c r="V168" s="93" t="s">
        <v>1718</v>
      </c>
      <c r="W168" s="93"/>
      <c r="X168" s="93"/>
    </row>
    <row r="169" ht="24.0" customHeight="1">
      <c r="A169" s="93">
        <v>25.0</v>
      </c>
      <c r="B169" s="93" t="s">
        <v>299</v>
      </c>
      <c r="C169" s="93" t="s">
        <v>301</v>
      </c>
      <c r="D169" s="93" t="s">
        <v>1741</v>
      </c>
      <c r="E169" s="145">
        <v>-1.0</v>
      </c>
      <c r="F169" s="145">
        <f t="array" ref="F169">INDEX('Pilot inputs'!$M$15:$M$44,MATCH(B169,'Pilot inputs'!$B$15:$B$44,0))</f>
        <v>0.0361</v>
      </c>
      <c r="G169" s="145">
        <f t="shared" si="128"/>
        <v>0.034295</v>
      </c>
      <c r="H169" s="145">
        <f t="array" ref="H169">IFERROR(IF(AND(INDEX('Pilot inputs'!$AQ$15:$AQ$44,MATCH(B169,'Pilot inputs'!$B$15:$B$44,0))=1,ISNUMBER($F$12),$F$12&gt;=0,$F$12&lt;1),INDEX('Pilot inputs'!$AG$15:$AG$44,MATCH(B169,'Pilot inputs'!$B$15:$B$44,0)),"Unranked"),"Unranked")</f>
        <v>100</v>
      </c>
      <c r="I169" s="145">
        <f>IFERROR(__xludf.DUMMYFUNCTION("IFERROR(IF(AND(INDEX('Pilot inputs'!$AQ$15:$AQ$44,MATCH(B169,'Pilot inputs'!$B$15:$B$44,0))=1,ISNUMBER($F$12),$F$12&gt;=0,$F$12&lt;1),INDEX('Pilot inputs'!$AL$15:$AL$44,MATCH(B169,'Pilot inputs'!$B$15:$B$44,0))+0.3*((LET(peer_values,FILTER('Pilot inputs'!$M$15:"&amp;"$M$44,'Pilot inputs'!$D$15:$D$44=INDEX('Pilot inputs'!$D$15:$D$44,MATCH(B169,'Pilot inputs'!$B$15:$B$44,0)),'Pilot inputs'!$B$15:$B$44&lt;&gt;B169,'Pilot inputs'!$AA$15:$AA$44=1),peer_count,ROWS(peer_values),IF(peer_count+1&lt;MAX(3,Rules!$B$12),""Unranked"",100*("&amp;"SUMPRODUCT(N(peer_values&lt;G169))+SUMPRODUCT(N(peer_values=G169))/2)/peer_count)))-INDEX('Pilot inputs'!$AJ$15:$AJ$44,MATCH(B169,'Pilot inputs'!$B$15:$B$44,0))),""Unranked""),""Unranked"")"),35.0)</f>
        <v>35</v>
      </c>
      <c r="J169" s="145">
        <f t="array" ref="J169">IFERROR(IF(AND(INDEX('Pilot inputs'!$AQ$15:$AQ$44,MATCH(B169,'Pilot inputs'!$B$15:$B$44,0))=1,ISNUMBER($F$12),$F$12&gt;=0,$F$12&lt;1),INDEX('Pilot inputs'!$AM$15:$AM$44,MATCH(B169,'Pilot inputs'!$B$15:$B$44,0)),"Unranked"),"Unranked")</f>
        <v>100</v>
      </c>
      <c r="K169" s="145">
        <f t="array" ref="K169">IFERROR(IF(AND(INDEX('Pilot inputs'!$AQ$15:$AQ$44,MATCH(B169,'Pilot inputs'!$B$15:$B$44,0))=1,ISNUMBER($F$12),$F$12&gt;=0,$F$12&lt;1),INDEX('Pilot inputs'!$AP$15:$AP$44,MATCH(B169,'Pilot inputs'!$B$15:$B$44,0)),"Unranked"),"Unranked")</f>
        <v>50</v>
      </c>
      <c r="L169" s="145">
        <f t="shared" si="129"/>
        <v>71.25</v>
      </c>
      <c r="M169" s="145">
        <f>IFERROR(__xludf.DUMMYFUNCTION("IFERROR(IF(ISNUMBER(L169),1+COUNTIF(FILTER($G$15:$G$24,$A$15:$A$24&lt;&gt;B169),""&gt;""&amp;L169)+COUNTIF(FILTER($G$15:$G$24,$A$15:$A$24&lt;&gt;B169),L169)/2,""Unranked""),""Unranked"")"),1.0)</f>
        <v>1</v>
      </c>
      <c r="N169" s="145">
        <f t="shared" si="130"/>
        <v>67</v>
      </c>
      <c r="O169" s="145">
        <f>IFERROR(__xludf.DUMMYFUNCTION("IFERROR(IF(ISNUMBER(N169),1+COUNTIF(FILTER($I$15:$I$24,$A$15:$A$24&lt;&gt;B169),""&gt;""&amp;N169)+COUNTIF(FILTER($I$15:$I$24,$A$15:$A$24&lt;&gt;B169),N169)/2,""Unranked""),""Unranked"")"),3.0)</f>
        <v>3</v>
      </c>
      <c r="P169" s="145">
        <f t="shared" si="131"/>
        <v>61.5</v>
      </c>
      <c r="Q169" s="145">
        <f>IFERROR(__xludf.DUMMYFUNCTION("IFERROR(IF(ISNUMBER(P169),1+COUNTIF(FILTER($K$15:$K$24,$A$15:$A$24&lt;&gt;B169),""&gt;""&amp;P169)+COUNTIF(FILTER($K$15:$K$24,$A$15:$A$24&lt;&gt;B169),P169)/2,""Unranked""),""Unranked"")"),4.0)</f>
        <v>4</v>
      </c>
      <c r="R169" s="145">
        <f t="shared" si="132"/>
        <v>0</v>
      </c>
      <c r="S169" s="145">
        <f t="shared" si="133"/>
        <v>0</v>
      </c>
      <c r="T169" s="145">
        <f t="shared" si="134"/>
        <v>0</v>
      </c>
      <c r="U169" s="93" t="s">
        <v>1717</v>
      </c>
      <c r="V169" s="93" t="s">
        <v>1718</v>
      </c>
      <c r="W169" s="93"/>
      <c r="X169" s="93"/>
    </row>
    <row r="170" ht="24.0" customHeight="1">
      <c r="A170" s="93">
        <v>26.0</v>
      </c>
      <c r="B170" s="93" t="s">
        <v>299</v>
      </c>
      <c r="C170" s="93" t="s">
        <v>301</v>
      </c>
      <c r="D170" s="93" t="s">
        <v>1741</v>
      </c>
      <c r="E170" s="145">
        <v>1.0</v>
      </c>
      <c r="F170" s="145">
        <f t="array" ref="F170">INDEX('Pilot inputs'!$M$15:$M$44,MATCH(B170,'Pilot inputs'!$B$15:$B$44,0))</f>
        <v>0.0361</v>
      </c>
      <c r="G170" s="145">
        <f t="shared" si="128"/>
        <v>0.037905</v>
      </c>
      <c r="H170" s="145">
        <f t="array" ref="H170">IFERROR(IF(AND(INDEX('Pilot inputs'!$AQ$15:$AQ$44,MATCH(B170,'Pilot inputs'!$B$15:$B$44,0))=1,ISNUMBER($F$12),$F$12&gt;=0,$F$12&lt;1),INDEX('Pilot inputs'!$AG$15:$AG$44,MATCH(B170,'Pilot inputs'!$B$15:$B$44,0)),"Unranked"),"Unranked")</f>
        <v>100</v>
      </c>
      <c r="I170" s="145">
        <f>IFERROR(__xludf.DUMMYFUNCTION("IFERROR(IF(AND(INDEX('Pilot inputs'!$AQ$15:$AQ$44,MATCH(B170,'Pilot inputs'!$B$15:$B$44,0))=1,ISNUMBER($F$12),$F$12&gt;=0,$F$12&lt;1),INDEX('Pilot inputs'!$AL$15:$AL$44,MATCH(B170,'Pilot inputs'!$B$15:$B$44,0))+0.3*((LET(peer_values,FILTER('Pilot inputs'!$M$15:"&amp;"$M$44,'Pilot inputs'!$D$15:$D$44=INDEX('Pilot inputs'!$D$15:$D$44,MATCH(B170,'Pilot inputs'!$B$15:$B$44,0)),'Pilot inputs'!$B$15:$B$44&lt;&gt;B170,'Pilot inputs'!$AA$15:$AA$44=1),peer_count,ROWS(peer_values),IF(peer_count+1&lt;MAX(3,Rules!$B$12),""Unranked"",100*("&amp;"SUMPRODUCT(N(peer_values&lt;G170))+SUMPRODUCT(N(peer_values=G170))/2)/peer_count)))-INDEX('Pilot inputs'!$AJ$15:$AJ$44,MATCH(B170,'Pilot inputs'!$B$15:$B$44,0))),""Unranked""),""Unranked"")"),35.0)</f>
        <v>35</v>
      </c>
      <c r="J170" s="145">
        <f t="array" ref="J170">IFERROR(IF(AND(INDEX('Pilot inputs'!$AQ$15:$AQ$44,MATCH(B170,'Pilot inputs'!$B$15:$B$44,0))=1,ISNUMBER($F$12),$F$12&gt;=0,$F$12&lt;1),INDEX('Pilot inputs'!$AM$15:$AM$44,MATCH(B170,'Pilot inputs'!$B$15:$B$44,0)),"Unranked"),"Unranked")</f>
        <v>100</v>
      </c>
      <c r="K170" s="145">
        <f t="array" ref="K170">IFERROR(IF(AND(INDEX('Pilot inputs'!$AQ$15:$AQ$44,MATCH(B170,'Pilot inputs'!$B$15:$B$44,0))=1,ISNUMBER($F$12),$F$12&gt;=0,$F$12&lt;1),INDEX('Pilot inputs'!$AP$15:$AP$44,MATCH(B170,'Pilot inputs'!$B$15:$B$44,0)),"Unranked"),"Unranked")</f>
        <v>50</v>
      </c>
      <c r="L170" s="145">
        <f t="shared" si="129"/>
        <v>71.25</v>
      </c>
      <c r="M170" s="145">
        <f>IFERROR(__xludf.DUMMYFUNCTION("IFERROR(IF(ISNUMBER(L170),1+COUNTIF(FILTER($G$15:$G$24,$A$15:$A$24&lt;&gt;B170),""&gt;""&amp;L170)+COUNTIF(FILTER($G$15:$G$24,$A$15:$A$24&lt;&gt;B170),L170)/2,""Unranked""),""Unranked"")"),1.0)</f>
        <v>1</v>
      </c>
      <c r="N170" s="145">
        <f t="shared" si="130"/>
        <v>67</v>
      </c>
      <c r="O170" s="145">
        <f>IFERROR(__xludf.DUMMYFUNCTION("IFERROR(IF(ISNUMBER(N170),1+COUNTIF(FILTER($I$15:$I$24,$A$15:$A$24&lt;&gt;B170),""&gt;""&amp;N170)+COUNTIF(FILTER($I$15:$I$24,$A$15:$A$24&lt;&gt;B170),N170)/2,""Unranked""),""Unranked"")"),3.0)</f>
        <v>3</v>
      </c>
      <c r="P170" s="145">
        <f t="shared" si="131"/>
        <v>61.5</v>
      </c>
      <c r="Q170" s="145">
        <f>IFERROR(__xludf.DUMMYFUNCTION("IFERROR(IF(ISNUMBER(P170),1+COUNTIF(FILTER($K$15:$K$24,$A$15:$A$24&lt;&gt;B170),""&gt;""&amp;P170)+COUNTIF(FILTER($K$15:$K$24,$A$15:$A$24&lt;&gt;B170),P170)/2,""Unranked""),""Unranked"")"),4.0)</f>
        <v>4</v>
      </c>
      <c r="R170" s="145">
        <f t="shared" si="132"/>
        <v>0</v>
      </c>
      <c r="S170" s="145">
        <f t="shared" si="133"/>
        <v>0</v>
      </c>
      <c r="T170" s="145">
        <f t="shared" si="134"/>
        <v>0</v>
      </c>
      <c r="U170" s="93" t="s">
        <v>1717</v>
      </c>
      <c r="V170" s="93" t="s">
        <v>1718</v>
      </c>
      <c r="W170" s="93"/>
      <c r="X170" s="93"/>
    </row>
    <row r="171" ht="24.0" customHeight="1">
      <c r="A171" s="93">
        <v>27.0</v>
      </c>
      <c r="B171" s="93" t="s">
        <v>299</v>
      </c>
      <c r="C171" s="93" t="s">
        <v>301</v>
      </c>
      <c r="D171" s="93" t="s">
        <v>1235</v>
      </c>
      <c r="E171" s="145">
        <v>-1.0</v>
      </c>
      <c r="F171" s="145">
        <f t="array" ref="F171">INDEX('Pilot inputs'!$O$15:$O$44,MATCH(B171,'Pilot inputs'!$B$15:$B$44,0))</f>
        <v>0.1992</v>
      </c>
      <c r="G171" s="145">
        <f t="shared" si="128"/>
        <v>0.18924</v>
      </c>
      <c r="H171" s="145">
        <f t="array" ref="H171">IFERROR(IF(AND(INDEX('Pilot inputs'!$AQ$15:$AQ$44,MATCH(B171,'Pilot inputs'!$B$15:$B$44,0))=1,ISNUMBER($F$12),$F$12&gt;=0,$F$12&lt;1),INDEX('Pilot inputs'!$AG$15:$AG$44,MATCH(B171,'Pilot inputs'!$B$15:$B$44,0)),"Unranked"),"Unranked")</f>
        <v>100</v>
      </c>
      <c r="I171" s="145">
        <f t="array" ref="I171">IFERROR(IF(AND(INDEX('Pilot inputs'!$AQ$15:$AQ$44,MATCH(B171,'Pilot inputs'!$B$15:$B$44,0))=1,ISNUMBER($F$12),$F$12&gt;=0,$F$12&lt;1),INDEX('Pilot inputs'!$AL$15:$AL$44,MATCH(B171,'Pilot inputs'!$B$15:$B$44,0)),"Unranked"),"Unranked")</f>
        <v>35</v>
      </c>
      <c r="J171" s="145">
        <f t="array" ref="J171">IFERROR(IF(AND(INDEX('Pilot inputs'!$AQ$15:$AQ$44,MATCH(B171,'Pilot inputs'!$B$15:$B$44,0))=1,ISNUMBER($F$12),$F$12&gt;=0,$F$12&lt;1),INDEX('Pilot inputs'!$AM$15:$AM$44,MATCH(B171,'Pilot inputs'!$B$15:$B$44,0)),"Unranked"),"Unranked")</f>
        <v>100</v>
      </c>
      <c r="K171" s="145">
        <f>IFERROR(__xludf.DUMMYFUNCTION("IFERROR(IF(AND(INDEX('Pilot inputs'!$AQ$15:$AQ$44,MATCH(B171,'Pilot inputs'!$B$15:$B$44,0))=1,ISNUMBER($F$12),$F$12&gt;=0,$F$12&lt;1),(LET(peer_values,FILTER('Pilot inputs'!$O$15:$O$44,'Pilot inputs'!$D$15:$D$44=INDEX('Pilot inputs'!$D$15:$D$44,MATCH(B171,'Pilo"&amp;"t inputs'!$B$15:$B$44,0)),'Pilot inputs'!$B$15:$B$44&lt;&gt;B171,'Pilot inputs'!$AA$15:$AA$44=1),peer_count,ROWS(peer_values),IF(peer_count+1&lt;MAX(3,Rules!$B$12),""Unranked"",100*(SUMPRODUCT(N(peer_values&lt;G171))+SUMPRODUCT(N(peer_values=G171))/2)/peer_count))+IN"&amp;"DEX('Pilot inputs'!$AO$15:$AO$44,MATCH(B171,'Pilot inputs'!$B$15:$B$44,0)))/2,""Unranked""),""Unranked"")"),50.0)</f>
        <v>50</v>
      </c>
      <c r="L171" s="145">
        <f t="shared" si="129"/>
        <v>71.25</v>
      </c>
      <c r="M171" s="145">
        <f>IFERROR(__xludf.DUMMYFUNCTION("IFERROR(IF(ISNUMBER(L171),1+COUNTIF(FILTER($G$15:$G$24,$A$15:$A$24&lt;&gt;B171),""&gt;""&amp;L171)+COUNTIF(FILTER($G$15:$G$24,$A$15:$A$24&lt;&gt;B171),L171)/2,""Unranked""),""Unranked"")"),1.0)</f>
        <v>1</v>
      </c>
      <c r="N171" s="145">
        <f t="shared" si="130"/>
        <v>67</v>
      </c>
      <c r="O171" s="145">
        <f>IFERROR(__xludf.DUMMYFUNCTION("IFERROR(IF(ISNUMBER(N171),1+COUNTIF(FILTER($I$15:$I$24,$A$15:$A$24&lt;&gt;B171),""&gt;""&amp;N171)+COUNTIF(FILTER($I$15:$I$24,$A$15:$A$24&lt;&gt;B171),N171)/2,""Unranked""),""Unranked"")"),3.0)</f>
        <v>3</v>
      </c>
      <c r="P171" s="145">
        <f t="shared" si="131"/>
        <v>61.5</v>
      </c>
      <c r="Q171" s="145">
        <f>IFERROR(__xludf.DUMMYFUNCTION("IFERROR(IF(ISNUMBER(P171),1+COUNTIF(FILTER($K$15:$K$24,$A$15:$A$24&lt;&gt;B171),""&gt;""&amp;P171)+COUNTIF(FILTER($K$15:$K$24,$A$15:$A$24&lt;&gt;B171),P171)/2,""Unranked""),""Unranked"")"),4.0)</f>
        <v>4</v>
      </c>
      <c r="R171" s="145">
        <f t="shared" si="132"/>
        <v>0</v>
      </c>
      <c r="S171" s="145">
        <f t="shared" si="133"/>
        <v>0</v>
      </c>
      <c r="T171" s="145">
        <f t="shared" si="134"/>
        <v>0</v>
      </c>
      <c r="U171" s="93" t="s">
        <v>1717</v>
      </c>
      <c r="V171" s="93" t="s">
        <v>1718</v>
      </c>
      <c r="W171" s="93"/>
      <c r="X171" s="93"/>
    </row>
    <row r="172" ht="24.0" customHeight="1">
      <c r="A172" s="93">
        <v>28.0</v>
      </c>
      <c r="B172" s="93" t="s">
        <v>299</v>
      </c>
      <c r="C172" s="93" t="s">
        <v>301</v>
      </c>
      <c r="D172" s="93" t="s">
        <v>1235</v>
      </c>
      <c r="E172" s="145">
        <v>1.0</v>
      </c>
      <c r="F172" s="145">
        <f t="array" ref="F172">INDEX('Pilot inputs'!$O$15:$O$44,MATCH(B172,'Pilot inputs'!$B$15:$B$44,0))</f>
        <v>0.1992</v>
      </c>
      <c r="G172" s="145">
        <f t="shared" si="128"/>
        <v>0.20916</v>
      </c>
      <c r="H172" s="145">
        <f t="array" ref="H172">IFERROR(IF(AND(INDEX('Pilot inputs'!$AQ$15:$AQ$44,MATCH(B172,'Pilot inputs'!$B$15:$B$44,0))=1,ISNUMBER($F$12),$F$12&gt;=0,$F$12&lt;1),INDEX('Pilot inputs'!$AG$15:$AG$44,MATCH(B172,'Pilot inputs'!$B$15:$B$44,0)),"Unranked"),"Unranked")</f>
        <v>100</v>
      </c>
      <c r="I172" s="145">
        <f t="array" ref="I172">IFERROR(IF(AND(INDEX('Pilot inputs'!$AQ$15:$AQ$44,MATCH(B172,'Pilot inputs'!$B$15:$B$44,0))=1,ISNUMBER($F$12),$F$12&gt;=0,$F$12&lt;1),INDEX('Pilot inputs'!$AL$15:$AL$44,MATCH(B172,'Pilot inputs'!$B$15:$B$44,0)),"Unranked"),"Unranked")</f>
        <v>35</v>
      </c>
      <c r="J172" s="145">
        <f t="array" ref="J172">IFERROR(IF(AND(INDEX('Pilot inputs'!$AQ$15:$AQ$44,MATCH(B172,'Pilot inputs'!$B$15:$B$44,0))=1,ISNUMBER($F$12),$F$12&gt;=0,$F$12&lt;1),INDEX('Pilot inputs'!$AM$15:$AM$44,MATCH(B172,'Pilot inputs'!$B$15:$B$44,0)),"Unranked"),"Unranked")</f>
        <v>100</v>
      </c>
      <c r="K172" s="145">
        <f>IFERROR(__xludf.DUMMYFUNCTION("IFERROR(IF(AND(INDEX('Pilot inputs'!$AQ$15:$AQ$44,MATCH(B172,'Pilot inputs'!$B$15:$B$44,0))=1,ISNUMBER($F$12),$F$12&gt;=0,$F$12&lt;1),(LET(peer_values,FILTER('Pilot inputs'!$O$15:$O$44,'Pilot inputs'!$D$15:$D$44=INDEX('Pilot inputs'!$D$15:$D$44,MATCH(B172,'Pilo"&amp;"t inputs'!$B$15:$B$44,0)),'Pilot inputs'!$B$15:$B$44&lt;&gt;B172,'Pilot inputs'!$AA$15:$AA$44=1),peer_count,ROWS(peer_values),IF(peer_count+1&lt;MAX(3,Rules!$B$12),""Unranked"",100*(SUMPRODUCT(N(peer_values&lt;G172))+SUMPRODUCT(N(peer_values=G172))/2)/peer_count))+IN"&amp;"DEX('Pilot inputs'!$AO$15:$AO$44,MATCH(B172,'Pilot inputs'!$B$15:$B$44,0)))/2,""Unranked""),""Unranked"")"),50.0)</f>
        <v>50</v>
      </c>
      <c r="L172" s="145">
        <f t="shared" si="129"/>
        <v>71.25</v>
      </c>
      <c r="M172" s="145">
        <f>IFERROR(__xludf.DUMMYFUNCTION("IFERROR(IF(ISNUMBER(L172),1+COUNTIF(FILTER($G$15:$G$24,$A$15:$A$24&lt;&gt;B172),""&gt;""&amp;L172)+COUNTIF(FILTER($G$15:$G$24,$A$15:$A$24&lt;&gt;B172),L172)/2,""Unranked""),""Unranked"")"),1.0)</f>
        <v>1</v>
      </c>
      <c r="N172" s="145">
        <f t="shared" si="130"/>
        <v>67</v>
      </c>
      <c r="O172" s="145">
        <f>IFERROR(__xludf.DUMMYFUNCTION("IFERROR(IF(ISNUMBER(N172),1+COUNTIF(FILTER($I$15:$I$24,$A$15:$A$24&lt;&gt;B172),""&gt;""&amp;N172)+COUNTIF(FILTER($I$15:$I$24,$A$15:$A$24&lt;&gt;B172),N172)/2,""Unranked""),""Unranked"")"),3.0)</f>
        <v>3</v>
      </c>
      <c r="P172" s="145">
        <f t="shared" si="131"/>
        <v>61.5</v>
      </c>
      <c r="Q172" s="145">
        <f>IFERROR(__xludf.DUMMYFUNCTION("IFERROR(IF(ISNUMBER(P172),1+COUNTIF(FILTER($K$15:$K$24,$A$15:$A$24&lt;&gt;B172),""&gt;""&amp;P172)+COUNTIF(FILTER($K$15:$K$24,$A$15:$A$24&lt;&gt;B172),P172)/2,""Unranked""),""Unranked"")"),4.0)</f>
        <v>4</v>
      </c>
      <c r="R172" s="145">
        <f t="shared" si="132"/>
        <v>0</v>
      </c>
      <c r="S172" s="145">
        <f t="shared" si="133"/>
        <v>0</v>
      </c>
      <c r="T172" s="145">
        <f t="shared" si="134"/>
        <v>0</v>
      </c>
      <c r="U172" s="93" t="s">
        <v>1717</v>
      </c>
      <c r="V172" s="93" t="s">
        <v>1718</v>
      </c>
      <c r="W172" s="93"/>
      <c r="X172" s="93"/>
    </row>
    <row r="173" ht="24.0" customHeight="1">
      <c r="A173" s="93">
        <v>29.0</v>
      </c>
      <c r="B173" s="93" t="s">
        <v>299</v>
      </c>
      <c r="C173" s="93" t="s">
        <v>301</v>
      </c>
      <c r="D173" s="93" t="s">
        <v>1742</v>
      </c>
      <c r="E173" s="145">
        <v>-1.0</v>
      </c>
      <c r="F173" s="145">
        <f t="array" ref="F173">INDEX('Pilot inputs'!$P$15:$P$44,MATCH(B173,'Pilot inputs'!$B$15:$B$44,0))</f>
        <v>0.2769</v>
      </c>
      <c r="G173" s="145">
        <f t="shared" si="128"/>
        <v>0.263055</v>
      </c>
      <c r="H173" s="145">
        <f t="array" ref="H173">IFERROR(IF(AND(INDEX('Pilot inputs'!$AQ$15:$AQ$44,MATCH(B173,'Pilot inputs'!$B$15:$B$44,0))=1,ISNUMBER($F$12),$F$12&gt;=0,$F$12&lt;1),INDEX('Pilot inputs'!$AG$15:$AG$44,MATCH(B173,'Pilot inputs'!$B$15:$B$44,0)),"Unranked"),"Unranked")</f>
        <v>100</v>
      </c>
      <c r="I173" s="145">
        <f t="array" ref="I173">IFERROR(IF(AND(INDEX('Pilot inputs'!$AQ$15:$AQ$44,MATCH(B173,'Pilot inputs'!$B$15:$B$44,0))=1,ISNUMBER($F$12),$F$12&gt;=0,$F$12&lt;1),INDEX('Pilot inputs'!$AL$15:$AL$44,MATCH(B173,'Pilot inputs'!$B$15:$B$44,0)),"Unranked"),"Unranked")</f>
        <v>35</v>
      </c>
      <c r="J173" s="145">
        <f t="array" ref="J173">IFERROR(IF(AND(INDEX('Pilot inputs'!$AQ$15:$AQ$44,MATCH(B173,'Pilot inputs'!$B$15:$B$44,0))=1,ISNUMBER($F$12),$F$12&gt;=0,$F$12&lt;1),INDEX('Pilot inputs'!$AM$15:$AM$44,MATCH(B173,'Pilot inputs'!$B$15:$B$44,0)),"Unranked"),"Unranked")</f>
        <v>100</v>
      </c>
      <c r="K173" s="145">
        <f>IFERROR(__xludf.DUMMYFUNCTION("IFERROR(IF(AND(INDEX('Pilot inputs'!$AQ$15:$AQ$44,MATCH(B173,'Pilot inputs'!$B$15:$B$44,0))=1,ISNUMBER($F$12),$F$12&gt;=0,$F$12&lt;1),(LET(peer_values,FILTER('Pilot inputs'!$P$15:$P$44,'Pilot inputs'!$D$15:$D$44=INDEX('Pilot inputs'!$D$15:$D$44,MATCH(B173,'Pilo"&amp;"t inputs'!$B$15:$B$44,0)),'Pilot inputs'!$B$15:$B$44&lt;&gt;B173,'Pilot inputs'!$AA$15:$AA$44=1),peer_count,ROWS(peer_values),IF(peer_count+1&lt;MAX(3,Rules!$B$12),""Unranked"",100*(SUMPRODUCT(N(peer_values&lt;G173))+SUMPRODUCT(N(peer_values=G173))/2)/peer_count))+IN"&amp;"DEX('Pilot inputs'!$AN$15:$AN$44,MATCH(B173,'Pilot inputs'!$B$15:$B$44,0)))/2,""Unranked""),""Unranked"")"),50.0)</f>
        <v>50</v>
      </c>
      <c r="L173" s="145">
        <f t="shared" si="129"/>
        <v>71.25</v>
      </c>
      <c r="M173" s="145">
        <f>IFERROR(__xludf.DUMMYFUNCTION("IFERROR(IF(ISNUMBER(L173),1+COUNTIF(FILTER($G$15:$G$24,$A$15:$A$24&lt;&gt;B173),""&gt;""&amp;L173)+COUNTIF(FILTER($G$15:$G$24,$A$15:$A$24&lt;&gt;B173),L173)/2,""Unranked""),""Unranked"")"),1.0)</f>
        <v>1</v>
      </c>
      <c r="N173" s="145">
        <f t="shared" si="130"/>
        <v>67</v>
      </c>
      <c r="O173" s="145">
        <f>IFERROR(__xludf.DUMMYFUNCTION("IFERROR(IF(ISNUMBER(N173),1+COUNTIF(FILTER($I$15:$I$24,$A$15:$A$24&lt;&gt;B173),""&gt;""&amp;N173)+COUNTIF(FILTER($I$15:$I$24,$A$15:$A$24&lt;&gt;B173),N173)/2,""Unranked""),""Unranked"")"),3.0)</f>
        <v>3</v>
      </c>
      <c r="P173" s="145">
        <f t="shared" si="131"/>
        <v>61.5</v>
      </c>
      <c r="Q173" s="145">
        <f>IFERROR(__xludf.DUMMYFUNCTION("IFERROR(IF(ISNUMBER(P173),1+COUNTIF(FILTER($K$15:$K$24,$A$15:$A$24&lt;&gt;B173),""&gt;""&amp;P173)+COUNTIF(FILTER($K$15:$K$24,$A$15:$A$24&lt;&gt;B173),P173)/2,""Unranked""),""Unranked"")"),4.0)</f>
        <v>4</v>
      </c>
      <c r="R173" s="145">
        <f t="shared" si="132"/>
        <v>0</v>
      </c>
      <c r="S173" s="145">
        <f t="shared" si="133"/>
        <v>0</v>
      </c>
      <c r="T173" s="145">
        <f t="shared" si="134"/>
        <v>0</v>
      </c>
      <c r="U173" s="93" t="s">
        <v>1717</v>
      </c>
      <c r="V173" s="93" t="s">
        <v>1718</v>
      </c>
      <c r="W173" s="93"/>
      <c r="X173" s="93"/>
    </row>
    <row r="174" ht="24.0" customHeight="1">
      <c r="A174" s="93">
        <v>30.0</v>
      </c>
      <c r="B174" s="93" t="s">
        <v>299</v>
      </c>
      <c r="C174" s="93" t="s">
        <v>301</v>
      </c>
      <c r="D174" s="93" t="s">
        <v>1742</v>
      </c>
      <c r="E174" s="145">
        <v>1.0</v>
      </c>
      <c r="F174" s="145">
        <f t="array" ref="F174">INDEX('Pilot inputs'!$P$15:$P$44,MATCH(B174,'Pilot inputs'!$B$15:$B$44,0))</f>
        <v>0.2769</v>
      </c>
      <c r="G174" s="145">
        <f t="shared" si="128"/>
        <v>0.290745</v>
      </c>
      <c r="H174" s="145">
        <f t="array" ref="H174">IFERROR(IF(AND(INDEX('Pilot inputs'!$AQ$15:$AQ$44,MATCH(B174,'Pilot inputs'!$B$15:$B$44,0))=1,ISNUMBER($F$12),$F$12&gt;=0,$F$12&lt;1),INDEX('Pilot inputs'!$AG$15:$AG$44,MATCH(B174,'Pilot inputs'!$B$15:$B$44,0)),"Unranked"),"Unranked")</f>
        <v>100</v>
      </c>
      <c r="I174" s="145">
        <f t="array" ref="I174">IFERROR(IF(AND(INDEX('Pilot inputs'!$AQ$15:$AQ$44,MATCH(B174,'Pilot inputs'!$B$15:$B$44,0))=1,ISNUMBER($F$12),$F$12&gt;=0,$F$12&lt;1),INDEX('Pilot inputs'!$AL$15:$AL$44,MATCH(B174,'Pilot inputs'!$B$15:$B$44,0)),"Unranked"),"Unranked")</f>
        <v>35</v>
      </c>
      <c r="J174" s="145">
        <f t="array" ref="J174">IFERROR(IF(AND(INDEX('Pilot inputs'!$AQ$15:$AQ$44,MATCH(B174,'Pilot inputs'!$B$15:$B$44,0))=1,ISNUMBER($F$12),$F$12&gt;=0,$F$12&lt;1),INDEX('Pilot inputs'!$AM$15:$AM$44,MATCH(B174,'Pilot inputs'!$B$15:$B$44,0)),"Unranked"),"Unranked")</f>
        <v>100</v>
      </c>
      <c r="K174" s="145">
        <f>IFERROR(__xludf.DUMMYFUNCTION("IFERROR(IF(AND(INDEX('Pilot inputs'!$AQ$15:$AQ$44,MATCH(B174,'Pilot inputs'!$B$15:$B$44,0))=1,ISNUMBER($F$12),$F$12&gt;=0,$F$12&lt;1),(LET(peer_values,FILTER('Pilot inputs'!$P$15:$P$44,'Pilot inputs'!$D$15:$D$44=INDEX('Pilot inputs'!$D$15:$D$44,MATCH(B174,'Pilo"&amp;"t inputs'!$B$15:$B$44,0)),'Pilot inputs'!$B$15:$B$44&lt;&gt;B174,'Pilot inputs'!$AA$15:$AA$44=1),peer_count,ROWS(peer_values),IF(peer_count+1&lt;MAX(3,Rules!$B$12),""Unranked"",100*(SUMPRODUCT(N(peer_values&lt;G174))+SUMPRODUCT(N(peer_values=G174))/2)/peer_count))+IN"&amp;"DEX('Pilot inputs'!$AN$15:$AN$44,MATCH(B174,'Pilot inputs'!$B$15:$B$44,0)))/2,""Unranked""),""Unranked"")"),50.0)</f>
        <v>50</v>
      </c>
      <c r="L174" s="145">
        <f t="shared" si="129"/>
        <v>71.25</v>
      </c>
      <c r="M174" s="145">
        <f>IFERROR(__xludf.DUMMYFUNCTION("IFERROR(IF(ISNUMBER(L174),1+COUNTIF(FILTER($G$15:$G$24,$A$15:$A$24&lt;&gt;B174),""&gt;""&amp;L174)+COUNTIF(FILTER($G$15:$G$24,$A$15:$A$24&lt;&gt;B174),L174)/2,""Unranked""),""Unranked"")"),1.0)</f>
        <v>1</v>
      </c>
      <c r="N174" s="145">
        <f t="shared" si="130"/>
        <v>67</v>
      </c>
      <c r="O174" s="145">
        <f>IFERROR(__xludf.DUMMYFUNCTION("IFERROR(IF(ISNUMBER(N174),1+COUNTIF(FILTER($I$15:$I$24,$A$15:$A$24&lt;&gt;B174),""&gt;""&amp;N174)+COUNTIF(FILTER($I$15:$I$24,$A$15:$A$24&lt;&gt;B174),N174)/2,""Unranked""),""Unranked"")"),3.0)</f>
        <v>3</v>
      </c>
      <c r="P174" s="145">
        <f t="shared" si="131"/>
        <v>61.5</v>
      </c>
      <c r="Q174" s="145">
        <f>IFERROR(__xludf.DUMMYFUNCTION("IFERROR(IF(ISNUMBER(P174),1+COUNTIF(FILTER($K$15:$K$24,$A$15:$A$24&lt;&gt;B174),""&gt;""&amp;P174)+COUNTIF(FILTER($K$15:$K$24,$A$15:$A$24&lt;&gt;B174),P174)/2,""Unranked""),""Unranked"")"),4.0)</f>
        <v>4</v>
      </c>
      <c r="R174" s="145">
        <f t="shared" si="132"/>
        <v>0</v>
      </c>
      <c r="S174" s="145">
        <f t="shared" si="133"/>
        <v>0</v>
      </c>
      <c r="T174" s="145">
        <f t="shared" si="134"/>
        <v>0</v>
      </c>
      <c r="U174" s="93" t="s">
        <v>1717</v>
      </c>
      <c r="V174" s="93" t="s">
        <v>1718</v>
      </c>
      <c r="W174" s="93"/>
      <c r="X174" s="93"/>
    </row>
    <row r="175" ht="24.0" customHeight="1">
      <c r="A175" s="93">
        <v>31.0</v>
      </c>
      <c r="B175" s="93" t="s">
        <v>299</v>
      </c>
      <c r="C175" s="93" t="s">
        <v>301</v>
      </c>
      <c r="D175" s="93" t="s">
        <v>1743</v>
      </c>
      <c r="E175" s="145">
        <v>-1.0</v>
      </c>
      <c r="F175" s="145">
        <f t="array" ref="F175">INDEX('Pilot inputs'!$R$15:$R$44,MATCH(B175,'Pilot inputs'!$B$15:$B$44,0))</f>
        <v>94.193</v>
      </c>
      <c r="G175" s="145">
        <f t="shared" si="128"/>
        <v>89.48335</v>
      </c>
      <c r="H175" s="145">
        <f t="array" ref="H175">IFERROR(IF(AND(INDEX('Pilot inputs'!$AQ$15:$AQ$44,MATCH(B175,'Pilot inputs'!$B$15:$B$44,0))=1,ISNUMBER($F$12),$F$12&gt;=0,$F$12&lt;1),INDEX('Pilot inputs'!$AG$15:$AG$44,MATCH(B175,'Pilot inputs'!$B$15:$B$44,0)),"Unranked"),"Unranked")</f>
        <v>100</v>
      </c>
      <c r="I175" s="145">
        <f t="array" ref="I175">IFERROR(IF(AND(INDEX('Pilot inputs'!$AQ$15:$AQ$44,MATCH(B175,'Pilot inputs'!$B$15:$B$44,0))=1,ISNUMBER($F$12),$F$12&gt;=0,$F$12&lt;1),INDEX('Pilot inputs'!$AL$15:$AL$44,MATCH(B175,'Pilot inputs'!$B$15:$B$44,0)),"Unranked"),"Unranked")</f>
        <v>35</v>
      </c>
      <c r="J175" s="145">
        <f>IFERROR(__xludf.DUMMYFUNCTION("IFERROR(IF(AND(INDEX('Pilot inputs'!$AQ$15:$AQ$44,MATCH(B175,'Pilot inputs'!$B$15:$B$44,0))=1,ISNUMBER($F$12),$F$12&gt;=0,$F$12&lt;1),LET(peer_values,FILTER('Pilot inputs'!$AB$15:$AB$44,'Pilot inputs'!$D$15:$D$44=INDEX('Pilot inputs'!$D$15:$D$44,MATCH(B175,'Pil"&amp;"ot inputs'!$B$15:$B$44,0)),'Pilot inputs'!$B$15:$B$44&lt;&gt;B175,'Pilot inputs'!$AA$15:$AA$44=1),peer_count,ROWS(peer_values),IF(peer_count+1&lt;MAX(3,Rules!$B$12),""Unranked"",100*(SUMPRODUCT(N(peer_values&lt;((G175/INDEX('Pilot inputs'!$T$15:$T$44,MATCH(B175,'Pilo"&amp;"t inputs'!$B$15:$B$44,0)))^(1/3)-1)))+SUMPRODUCT(N(peer_values=((G175/INDEX('Pilot inputs'!$T$15:$T$44,MATCH(B175,'Pilot inputs'!$B$15:$B$44,0)))^(1/3)-1)))/2)/peer_count)),""Unranked""),""Unranked"")"),100.0)</f>
        <v>100</v>
      </c>
      <c r="K175" s="145">
        <f t="array" ref="K175">IFERROR(IF(AND(INDEX('Pilot inputs'!$AQ$15:$AQ$44,MATCH(B175,'Pilot inputs'!$B$15:$B$44,0))=1,ISNUMBER($F$12),$F$12&gt;=0,$F$12&lt;1),INDEX('Pilot inputs'!$AP$15:$AP$44,MATCH(B175,'Pilot inputs'!$B$15:$B$44,0)),"Unranked"),"Unranked")</f>
        <v>50</v>
      </c>
      <c r="L175" s="145">
        <f t="shared" si="129"/>
        <v>71.25</v>
      </c>
      <c r="M175" s="145">
        <f>IFERROR(__xludf.DUMMYFUNCTION("IFERROR(IF(ISNUMBER(L175),1+COUNTIF(FILTER($G$15:$G$24,$A$15:$A$24&lt;&gt;B175),""&gt;""&amp;L175)+COUNTIF(FILTER($G$15:$G$24,$A$15:$A$24&lt;&gt;B175),L175)/2,""Unranked""),""Unranked"")"),1.0)</f>
        <v>1</v>
      </c>
      <c r="N175" s="145">
        <f t="shared" si="130"/>
        <v>67</v>
      </c>
      <c r="O175" s="145">
        <f>IFERROR(__xludf.DUMMYFUNCTION("IFERROR(IF(ISNUMBER(N175),1+COUNTIF(FILTER($I$15:$I$24,$A$15:$A$24&lt;&gt;B175),""&gt;""&amp;N175)+COUNTIF(FILTER($I$15:$I$24,$A$15:$A$24&lt;&gt;B175),N175)/2,""Unranked""),""Unranked"")"),3.0)</f>
        <v>3</v>
      </c>
      <c r="P175" s="145">
        <f t="shared" si="131"/>
        <v>61.5</v>
      </c>
      <c r="Q175" s="145">
        <f>IFERROR(__xludf.DUMMYFUNCTION("IFERROR(IF(ISNUMBER(P175),1+COUNTIF(FILTER($K$15:$K$24,$A$15:$A$24&lt;&gt;B175),""&gt;""&amp;P175)+COUNTIF(FILTER($K$15:$K$24,$A$15:$A$24&lt;&gt;B175),P175)/2,""Unranked""),""Unranked"")"),4.0)</f>
        <v>4</v>
      </c>
      <c r="R175" s="145">
        <f t="shared" si="132"/>
        <v>0</v>
      </c>
      <c r="S175" s="145">
        <f t="shared" si="133"/>
        <v>0</v>
      </c>
      <c r="T175" s="145">
        <f t="shared" si="134"/>
        <v>0</v>
      </c>
      <c r="U175" s="93" t="s">
        <v>1717</v>
      </c>
      <c r="V175" s="93" t="s">
        <v>1718</v>
      </c>
      <c r="W175" s="93"/>
      <c r="X175" s="93"/>
    </row>
    <row r="176" ht="24.0" customHeight="1">
      <c r="A176" s="93">
        <v>32.0</v>
      </c>
      <c r="B176" s="93" t="s">
        <v>299</v>
      </c>
      <c r="C176" s="93" t="s">
        <v>301</v>
      </c>
      <c r="D176" s="93" t="s">
        <v>1743</v>
      </c>
      <c r="E176" s="145">
        <v>1.0</v>
      </c>
      <c r="F176" s="145">
        <f t="array" ref="F176">INDEX('Pilot inputs'!$R$15:$R$44,MATCH(B176,'Pilot inputs'!$B$15:$B$44,0))</f>
        <v>94.193</v>
      </c>
      <c r="G176" s="145">
        <f t="shared" si="128"/>
        <v>98.90265</v>
      </c>
      <c r="H176" s="145">
        <f t="array" ref="H176">IFERROR(IF(AND(INDEX('Pilot inputs'!$AQ$15:$AQ$44,MATCH(B176,'Pilot inputs'!$B$15:$B$44,0))=1,ISNUMBER($F$12),$F$12&gt;=0,$F$12&lt;1),INDEX('Pilot inputs'!$AG$15:$AG$44,MATCH(B176,'Pilot inputs'!$B$15:$B$44,0)),"Unranked"),"Unranked")</f>
        <v>100</v>
      </c>
      <c r="I176" s="145">
        <f t="array" ref="I176">IFERROR(IF(AND(INDEX('Pilot inputs'!$AQ$15:$AQ$44,MATCH(B176,'Pilot inputs'!$B$15:$B$44,0))=1,ISNUMBER($F$12),$F$12&gt;=0,$F$12&lt;1),INDEX('Pilot inputs'!$AL$15:$AL$44,MATCH(B176,'Pilot inputs'!$B$15:$B$44,0)),"Unranked"),"Unranked")</f>
        <v>35</v>
      </c>
      <c r="J176" s="145">
        <f>IFERROR(__xludf.DUMMYFUNCTION("IFERROR(IF(AND(INDEX('Pilot inputs'!$AQ$15:$AQ$44,MATCH(B176,'Pilot inputs'!$B$15:$B$44,0))=1,ISNUMBER($F$12),$F$12&gt;=0,$F$12&lt;1),LET(peer_values,FILTER('Pilot inputs'!$AB$15:$AB$44,'Pilot inputs'!$D$15:$D$44=INDEX('Pilot inputs'!$D$15:$D$44,MATCH(B176,'Pil"&amp;"ot inputs'!$B$15:$B$44,0)),'Pilot inputs'!$B$15:$B$44&lt;&gt;B176,'Pilot inputs'!$AA$15:$AA$44=1),peer_count,ROWS(peer_values),IF(peer_count+1&lt;MAX(3,Rules!$B$12),""Unranked"",100*(SUMPRODUCT(N(peer_values&lt;((G176/INDEX('Pilot inputs'!$T$15:$T$44,MATCH(B176,'Pilo"&amp;"t inputs'!$B$15:$B$44,0)))^(1/3)-1)))+SUMPRODUCT(N(peer_values=((G176/INDEX('Pilot inputs'!$T$15:$T$44,MATCH(B176,'Pilot inputs'!$B$15:$B$44,0)))^(1/3)-1)))/2)/peer_count)),""Unranked""),""Unranked"")"),100.0)</f>
        <v>100</v>
      </c>
      <c r="K176" s="145">
        <f t="array" ref="K176">IFERROR(IF(AND(INDEX('Pilot inputs'!$AQ$15:$AQ$44,MATCH(B176,'Pilot inputs'!$B$15:$B$44,0))=1,ISNUMBER($F$12),$F$12&gt;=0,$F$12&lt;1),INDEX('Pilot inputs'!$AP$15:$AP$44,MATCH(B176,'Pilot inputs'!$B$15:$B$44,0)),"Unranked"),"Unranked")</f>
        <v>50</v>
      </c>
      <c r="L176" s="145">
        <f t="shared" si="129"/>
        <v>71.25</v>
      </c>
      <c r="M176" s="145">
        <f>IFERROR(__xludf.DUMMYFUNCTION("IFERROR(IF(ISNUMBER(L176),1+COUNTIF(FILTER($G$15:$G$24,$A$15:$A$24&lt;&gt;B176),""&gt;""&amp;L176)+COUNTIF(FILTER($G$15:$G$24,$A$15:$A$24&lt;&gt;B176),L176)/2,""Unranked""),""Unranked"")"),1.0)</f>
        <v>1</v>
      </c>
      <c r="N176" s="145">
        <f t="shared" si="130"/>
        <v>67</v>
      </c>
      <c r="O176" s="145">
        <f>IFERROR(__xludf.DUMMYFUNCTION("IFERROR(IF(ISNUMBER(N176),1+COUNTIF(FILTER($I$15:$I$24,$A$15:$A$24&lt;&gt;B176),""&gt;""&amp;N176)+COUNTIF(FILTER($I$15:$I$24,$A$15:$A$24&lt;&gt;B176),N176)/2,""Unranked""),""Unranked"")"),3.0)</f>
        <v>3</v>
      </c>
      <c r="P176" s="145">
        <f t="shared" si="131"/>
        <v>61.5</v>
      </c>
      <c r="Q176" s="145">
        <f>IFERROR(__xludf.DUMMYFUNCTION("IFERROR(IF(ISNUMBER(P176),1+COUNTIF(FILTER($K$15:$K$24,$A$15:$A$24&lt;&gt;B176),""&gt;""&amp;P176)+COUNTIF(FILTER($K$15:$K$24,$A$15:$A$24&lt;&gt;B176),P176)/2,""Unranked""),""Unranked"")"),4.0)</f>
        <v>4</v>
      </c>
      <c r="R176" s="145">
        <f t="shared" si="132"/>
        <v>0</v>
      </c>
      <c r="S176" s="145">
        <f t="shared" si="133"/>
        <v>0</v>
      </c>
      <c r="T176" s="145">
        <f t="shared" si="134"/>
        <v>0</v>
      </c>
      <c r="U176" s="93" t="s">
        <v>1717</v>
      </c>
      <c r="V176" s="93" t="s">
        <v>1718</v>
      </c>
      <c r="W176" s="93"/>
      <c r="X176" s="93"/>
    </row>
    <row r="177" ht="24.0" customHeight="1">
      <c r="A177" s="93">
        <v>33.0</v>
      </c>
      <c r="B177" s="93" t="s">
        <v>305</v>
      </c>
      <c r="C177" s="93" t="s">
        <v>307</v>
      </c>
      <c r="D177" s="93" t="s">
        <v>68</v>
      </c>
      <c r="E177" s="145">
        <v>-1.0</v>
      </c>
      <c r="F177" s="145">
        <f t="array" ref="F177">INDEX('Pilot inputs'!$F$15:$F$44,MATCH(B177,'Pilot inputs'!$B$15:$B$44,0))</f>
        <v>336.58</v>
      </c>
      <c r="G177" s="145">
        <f t="shared" si="128"/>
        <v>319.751</v>
      </c>
      <c r="H177" s="145">
        <f>IFERROR(__xludf.DUMMYFUNCTION("IFERROR(IF(AND(INDEX('Pilot inputs'!$AQ$15:$AQ$44,MATCH(B177,'Pilot inputs'!$B$15:$B$44,0))=1,ISNUMBER($F$12),$F$12&gt;=0,$F$12&lt;1),(LET(peer_values,FILTER('Pilot inputs'!$F$15:$F$44,'Pilot inputs'!$D$15:$D$44=INDEX('Pilot inputs'!$D$15:$D$44,MATCH(B177,'Pilo"&amp;"t inputs'!$B$15:$B$44,0)),'Pilot inputs'!$B$15:$B$44&lt;&gt;B177,'Pilot inputs'!$AA$15:$AA$44=1),peer_count,ROWS(peer_values),IF(peer_count+1&lt;MAX(3,Rules!$B$12),""Unranked"",100*(SUMPRODUCT(N(peer_values&lt;G177))+SUMPRODUCT(N(peer_values=G177))/2)/peer_count))+IN"&amp;"DEX('Pilot inputs'!$AF$15:$AF$44,MATCH(B177,'Pilot inputs'!$B$15:$B$44,0)))/2,""Unranked""),""Unranked"")"),100.0)</f>
        <v>100</v>
      </c>
      <c r="I177" s="145">
        <f t="array" ref="I177">IFERROR(IF(AND(INDEX('Pilot inputs'!$AQ$15:$AQ$44,MATCH(B177,'Pilot inputs'!$B$15:$B$44,0))=1,ISNUMBER($F$12),$F$12&gt;=0,$F$12&lt;1),INDEX('Pilot inputs'!$AL$15:$AL$44,MATCH(B177,'Pilot inputs'!$B$15:$B$44,0)),"Unranked"),"Unranked")</f>
        <v>70</v>
      </c>
      <c r="J177" s="145">
        <f t="array" ref="J177">IFERROR(IF(AND(INDEX('Pilot inputs'!$AQ$15:$AQ$44,MATCH(B177,'Pilot inputs'!$B$15:$B$44,0))=1,ISNUMBER($F$12),$F$12&gt;=0,$F$12&lt;1),INDEX('Pilot inputs'!$AM$15:$AM$44,MATCH(B177,'Pilot inputs'!$B$15:$B$44,0)),"Unranked"),"Unranked")</f>
        <v>0</v>
      </c>
      <c r="K177" s="145">
        <f t="array" ref="K177">IFERROR(IF(AND(INDEX('Pilot inputs'!$AQ$15:$AQ$44,MATCH(B177,'Pilot inputs'!$B$15:$B$44,0))=1,ISNUMBER($F$12),$F$12&gt;=0,$F$12&lt;1),INDEX('Pilot inputs'!$AP$15:$AP$44,MATCH(B177,'Pilot inputs'!$B$15:$B$44,0)),"Unranked"),"Unranked")</f>
        <v>75</v>
      </c>
      <c r="L177" s="145">
        <f t="shared" si="129"/>
        <v>61.25</v>
      </c>
      <c r="M177" s="145">
        <f>IFERROR(__xludf.DUMMYFUNCTION("IFERROR(IF(ISNUMBER(L177),1+COUNTIF(FILTER($G$15:$G$24,$A$15:$A$24&lt;&gt;B177),""&gt;""&amp;L177)+COUNTIF(FILTER($G$15:$G$24,$A$15:$A$24&lt;&gt;B177),L177)/2,""Unranked""),""Unranked"")"),4.0)</f>
        <v>4</v>
      </c>
      <c r="N177" s="145">
        <f t="shared" si="130"/>
        <v>59</v>
      </c>
      <c r="O177" s="145">
        <f>IFERROR(__xludf.DUMMYFUNCTION("IFERROR(IF(ISNUMBER(N177),1+COUNTIF(FILTER($I$15:$I$24,$A$15:$A$24&lt;&gt;B177),""&gt;""&amp;N177)+COUNTIF(FILTER($I$15:$I$24,$A$15:$A$24&lt;&gt;B177),N177)/2,""Unranked""),""Unranked"")"),5.0)</f>
        <v>5</v>
      </c>
      <c r="P177" s="145">
        <f t="shared" si="131"/>
        <v>61.75</v>
      </c>
      <c r="Q177" s="145">
        <f>IFERROR(__xludf.DUMMYFUNCTION("IFERROR(IF(ISNUMBER(P177),1+COUNTIF(FILTER($K$15:$K$24,$A$15:$A$24&lt;&gt;B177),""&gt;""&amp;P177)+COUNTIF(FILTER($K$15:$K$24,$A$15:$A$24&lt;&gt;B177),P177)/2,""Unranked""),""Unranked"")"),3.0)</f>
        <v>3</v>
      </c>
      <c r="R177" s="145">
        <f t="shared" si="132"/>
        <v>0</v>
      </c>
      <c r="S177" s="145">
        <f t="shared" si="133"/>
        <v>0</v>
      </c>
      <c r="T177" s="145">
        <f t="shared" si="134"/>
        <v>0</v>
      </c>
      <c r="U177" s="93" t="s">
        <v>1717</v>
      </c>
      <c r="V177" s="93" t="s">
        <v>1718</v>
      </c>
      <c r="W177" s="93"/>
      <c r="X177" s="93"/>
    </row>
    <row r="178" ht="24.0" customHeight="1">
      <c r="A178" s="93">
        <v>34.0</v>
      </c>
      <c r="B178" s="93" t="s">
        <v>305</v>
      </c>
      <c r="C178" s="93" t="s">
        <v>307</v>
      </c>
      <c r="D178" s="93" t="s">
        <v>68</v>
      </c>
      <c r="E178" s="145">
        <v>1.0</v>
      </c>
      <c r="F178" s="145">
        <f t="array" ref="F178">INDEX('Pilot inputs'!$F$15:$F$44,MATCH(B178,'Pilot inputs'!$B$15:$B$44,0))</f>
        <v>336.58</v>
      </c>
      <c r="G178" s="145">
        <f t="shared" si="128"/>
        <v>353.409</v>
      </c>
      <c r="H178" s="145">
        <f>IFERROR(__xludf.DUMMYFUNCTION("IFERROR(IF(AND(INDEX('Pilot inputs'!$AQ$15:$AQ$44,MATCH(B178,'Pilot inputs'!$B$15:$B$44,0))=1,ISNUMBER($F$12),$F$12&gt;=0,$F$12&lt;1),(LET(peer_values,FILTER('Pilot inputs'!$F$15:$F$44,'Pilot inputs'!$D$15:$D$44=INDEX('Pilot inputs'!$D$15:$D$44,MATCH(B178,'Pilo"&amp;"t inputs'!$B$15:$B$44,0)),'Pilot inputs'!$B$15:$B$44&lt;&gt;B178,'Pilot inputs'!$AA$15:$AA$44=1),peer_count,ROWS(peer_values),IF(peer_count+1&lt;MAX(3,Rules!$B$12),""Unranked"",100*(SUMPRODUCT(N(peer_values&lt;G178))+SUMPRODUCT(N(peer_values=G178))/2)/peer_count))+IN"&amp;"DEX('Pilot inputs'!$AF$15:$AF$44,MATCH(B178,'Pilot inputs'!$B$15:$B$44,0)))/2,""Unranked""),""Unranked"")"),100.0)</f>
        <v>100</v>
      </c>
      <c r="I178" s="145">
        <f t="array" ref="I178">IFERROR(IF(AND(INDEX('Pilot inputs'!$AQ$15:$AQ$44,MATCH(B178,'Pilot inputs'!$B$15:$B$44,0))=1,ISNUMBER($F$12),$F$12&gt;=0,$F$12&lt;1),INDEX('Pilot inputs'!$AL$15:$AL$44,MATCH(B178,'Pilot inputs'!$B$15:$B$44,0)),"Unranked"),"Unranked")</f>
        <v>70</v>
      </c>
      <c r="J178" s="145">
        <f t="array" ref="J178">IFERROR(IF(AND(INDEX('Pilot inputs'!$AQ$15:$AQ$44,MATCH(B178,'Pilot inputs'!$B$15:$B$44,0))=1,ISNUMBER($F$12),$F$12&gt;=0,$F$12&lt;1),INDEX('Pilot inputs'!$AM$15:$AM$44,MATCH(B178,'Pilot inputs'!$B$15:$B$44,0)),"Unranked"),"Unranked")</f>
        <v>0</v>
      </c>
      <c r="K178" s="145">
        <f t="array" ref="K178">IFERROR(IF(AND(INDEX('Pilot inputs'!$AQ$15:$AQ$44,MATCH(B178,'Pilot inputs'!$B$15:$B$44,0))=1,ISNUMBER($F$12),$F$12&gt;=0,$F$12&lt;1),INDEX('Pilot inputs'!$AP$15:$AP$44,MATCH(B178,'Pilot inputs'!$B$15:$B$44,0)),"Unranked"),"Unranked")</f>
        <v>75</v>
      </c>
      <c r="L178" s="145">
        <f t="shared" si="129"/>
        <v>61.25</v>
      </c>
      <c r="M178" s="145">
        <f>IFERROR(__xludf.DUMMYFUNCTION("IFERROR(IF(ISNUMBER(L178),1+COUNTIF(FILTER($G$15:$G$24,$A$15:$A$24&lt;&gt;B178),""&gt;""&amp;L178)+COUNTIF(FILTER($G$15:$G$24,$A$15:$A$24&lt;&gt;B178),L178)/2,""Unranked""),""Unranked"")"),4.0)</f>
        <v>4</v>
      </c>
      <c r="N178" s="145">
        <f t="shared" si="130"/>
        <v>59</v>
      </c>
      <c r="O178" s="145">
        <f>IFERROR(__xludf.DUMMYFUNCTION("IFERROR(IF(ISNUMBER(N178),1+COUNTIF(FILTER($I$15:$I$24,$A$15:$A$24&lt;&gt;B178),""&gt;""&amp;N178)+COUNTIF(FILTER($I$15:$I$24,$A$15:$A$24&lt;&gt;B178),N178)/2,""Unranked""),""Unranked"")"),5.0)</f>
        <v>5</v>
      </c>
      <c r="P178" s="145">
        <f t="shared" si="131"/>
        <v>61.75</v>
      </c>
      <c r="Q178" s="145">
        <f>IFERROR(__xludf.DUMMYFUNCTION("IFERROR(IF(ISNUMBER(P178),1+COUNTIF(FILTER($K$15:$K$24,$A$15:$A$24&lt;&gt;B178),""&gt;""&amp;P178)+COUNTIF(FILTER($K$15:$K$24,$A$15:$A$24&lt;&gt;B178),P178)/2,""Unranked""),""Unranked"")"),3.0)</f>
        <v>3</v>
      </c>
      <c r="R178" s="145">
        <f t="shared" si="132"/>
        <v>0</v>
      </c>
      <c r="S178" s="145">
        <f t="shared" si="133"/>
        <v>0</v>
      </c>
      <c r="T178" s="145">
        <f t="shared" si="134"/>
        <v>0</v>
      </c>
      <c r="U178" s="93" t="s">
        <v>1717</v>
      </c>
      <c r="V178" s="93" t="s">
        <v>1718</v>
      </c>
      <c r="W178" s="93"/>
      <c r="X178" s="93"/>
    </row>
    <row r="179" ht="24.0" customHeight="1">
      <c r="A179" s="93">
        <v>35.0</v>
      </c>
      <c r="B179" s="93" t="s">
        <v>305</v>
      </c>
      <c r="C179" s="93" t="s">
        <v>307</v>
      </c>
      <c r="D179" s="93" t="s">
        <v>1720</v>
      </c>
      <c r="E179" s="145">
        <v>-1.0</v>
      </c>
      <c r="F179" s="145">
        <f t="array" ref="F179">INDEX('Pilot inputs'!$H$15:$H$44,MATCH(B179,'Pilot inputs'!$B$15:$B$44,0))</f>
        <v>87.032</v>
      </c>
      <c r="G179" s="145">
        <f t="shared" si="128"/>
        <v>82.6804</v>
      </c>
      <c r="H179" s="145">
        <f>IFERROR(__xludf.DUMMYFUNCTION("IFERROR(IF(AND(INDEX('Pilot inputs'!$AQ$15:$AQ$44,MATCH(B179,'Pilot inputs'!$B$15:$B$44,0))=1,ISNUMBER($F$12),$F$12&gt;=0,$F$12&lt;1),(LET(peer_values,FILTER('Pilot inputs'!$H$15:$H$44,'Pilot inputs'!$D$15:$D$44=INDEX('Pilot inputs'!$D$15:$D$44,MATCH(B179,'Pilo"&amp;"t inputs'!$B$15:$B$44,0)),'Pilot inputs'!$B$15:$B$44&lt;&gt;B179,'Pilot inputs'!$AA$15:$AA$44=1),peer_count,ROWS(peer_values),IF(peer_count+1&lt;MAX(3,Rules!$B$12),""Unranked"",100*(SUMPRODUCT(N(peer_values&lt;G179))+SUMPRODUCT(N(peer_values=G179))/2)/peer_count))+IN"&amp;"DEX('Pilot inputs'!$AE$15:$AE$44,MATCH(B179,'Pilot inputs'!$B$15:$B$44,0)))/2,""Unranked""),""Unranked"")"),100.0)</f>
        <v>100</v>
      </c>
      <c r="I179" s="145">
        <f t="array" ref="I179">IFERROR(IF(AND(INDEX('Pilot inputs'!$AQ$15:$AQ$44,MATCH(B179,'Pilot inputs'!$B$15:$B$44,0))=1,ISNUMBER($F$12),$F$12&gt;=0,$F$12&lt;1),INDEX('Pilot inputs'!$AL$15:$AL$44,MATCH(B179,'Pilot inputs'!$B$15:$B$44,0)),"Unranked"),"Unranked")</f>
        <v>70</v>
      </c>
      <c r="J179" s="145">
        <f t="array" ref="J179">IFERROR(IF(AND(INDEX('Pilot inputs'!$AQ$15:$AQ$44,MATCH(B179,'Pilot inputs'!$B$15:$B$44,0))=1,ISNUMBER($F$12),$F$12&gt;=0,$F$12&lt;1),INDEX('Pilot inputs'!$AM$15:$AM$44,MATCH(B179,'Pilot inputs'!$B$15:$B$44,0)),"Unranked"),"Unranked")</f>
        <v>0</v>
      </c>
      <c r="K179" s="145">
        <f t="array" ref="K179">IFERROR(IF(AND(INDEX('Pilot inputs'!$AQ$15:$AQ$44,MATCH(B179,'Pilot inputs'!$B$15:$B$44,0))=1,ISNUMBER($F$12),$F$12&gt;=0,$F$12&lt;1),INDEX('Pilot inputs'!$AP$15:$AP$44,MATCH(B179,'Pilot inputs'!$B$15:$B$44,0)),"Unranked"),"Unranked")</f>
        <v>75</v>
      </c>
      <c r="L179" s="145">
        <f t="shared" si="129"/>
        <v>61.25</v>
      </c>
      <c r="M179" s="145">
        <f>IFERROR(__xludf.DUMMYFUNCTION("IFERROR(IF(ISNUMBER(L179),1+COUNTIF(FILTER($G$15:$G$24,$A$15:$A$24&lt;&gt;B179),""&gt;""&amp;L179)+COUNTIF(FILTER($G$15:$G$24,$A$15:$A$24&lt;&gt;B179),L179)/2,""Unranked""),""Unranked"")"),4.0)</f>
        <v>4</v>
      </c>
      <c r="N179" s="145">
        <f t="shared" si="130"/>
        <v>59</v>
      </c>
      <c r="O179" s="145">
        <f>IFERROR(__xludf.DUMMYFUNCTION("IFERROR(IF(ISNUMBER(N179),1+COUNTIF(FILTER($I$15:$I$24,$A$15:$A$24&lt;&gt;B179),""&gt;""&amp;N179)+COUNTIF(FILTER($I$15:$I$24,$A$15:$A$24&lt;&gt;B179),N179)/2,""Unranked""),""Unranked"")"),5.0)</f>
        <v>5</v>
      </c>
      <c r="P179" s="145">
        <f t="shared" si="131"/>
        <v>61.75</v>
      </c>
      <c r="Q179" s="145">
        <f>IFERROR(__xludf.DUMMYFUNCTION("IFERROR(IF(ISNUMBER(P179),1+COUNTIF(FILTER($K$15:$K$24,$A$15:$A$24&lt;&gt;B179),""&gt;""&amp;P179)+COUNTIF(FILTER($K$15:$K$24,$A$15:$A$24&lt;&gt;B179),P179)/2,""Unranked""),""Unranked"")"),3.0)</f>
        <v>3</v>
      </c>
      <c r="R179" s="145">
        <f t="shared" si="132"/>
        <v>0</v>
      </c>
      <c r="S179" s="145">
        <f t="shared" si="133"/>
        <v>0</v>
      </c>
      <c r="T179" s="145">
        <f t="shared" si="134"/>
        <v>0</v>
      </c>
      <c r="U179" s="93" t="s">
        <v>1717</v>
      </c>
      <c r="V179" s="93" t="s">
        <v>1718</v>
      </c>
      <c r="W179" s="93"/>
      <c r="X179" s="93"/>
    </row>
    <row r="180" ht="24.0" customHeight="1">
      <c r="A180" s="93">
        <v>36.0</v>
      </c>
      <c r="B180" s="93" t="s">
        <v>305</v>
      </c>
      <c r="C180" s="93" t="s">
        <v>307</v>
      </c>
      <c r="D180" s="93" t="s">
        <v>1720</v>
      </c>
      <c r="E180" s="145">
        <v>1.0</v>
      </c>
      <c r="F180" s="145">
        <f t="array" ref="F180">INDEX('Pilot inputs'!$H$15:$H$44,MATCH(B180,'Pilot inputs'!$B$15:$B$44,0))</f>
        <v>87.032</v>
      </c>
      <c r="G180" s="145">
        <f t="shared" si="128"/>
        <v>91.3836</v>
      </c>
      <c r="H180" s="145">
        <f>IFERROR(__xludf.DUMMYFUNCTION("IFERROR(IF(AND(INDEX('Pilot inputs'!$AQ$15:$AQ$44,MATCH(B180,'Pilot inputs'!$B$15:$B$44,0))=1,ISNUMBER($F$12),$F$12&gt;=0,$F$12&lt;1),(LET(peer_values,FILTER('Pilot inputs'!$H$15:$H$44,'Pilot inputs'!$D$15:$D$44=INDEX('Pilot inputs'!$D$15:$D$44,MATCH(B180,'Pilo"&amp;"t inputs'!$B$15:$B$44,0)),'Pilot inputs'!$B$15:$B$44&lt;&gt;B180,'Pilot inputs'!$AA$15:$AA$44=1),peer_count,ROWS(peer_values),IF(peer_count+1&lt;MAX(3,Rules!$B$12),""Unranked"",100*(SUMPRODUCT(N(peer_values&lt;G180))+SUMPRODUCT(N(peer_values=G180))/2)/peer_count))+IN"&amp;"DEX('Pilot inputs'!$AE$15:$AE$44,MATCH(B180,'Pilot inputs'!$B$15:$B$44,0)))/2,""Unranked""),""Unranked"")"),100.0)</f>
        <v>100</v>
      </c>
      <c r="I180" s="145">
        <f t="array" ref="I180">IFERROR(IF(AND(INDEX('Pilot inputs'!$AQ$15:$AQ$44,MATCH(B180,'Pilot inputs'!$B$15:$B$44,0))=1,ISNUMBER($F$12),$F$12&gt;=0,$F$12&lt;1),INDEX('Pilot inputs'!$AL$15:$AL$44,MATCH(B180,'Pilot inputs'!$B$15:$B$44,0)),"Unranked"),"Unranked")</f>
        <v>70</v>
      </c>
      <c r="J180" s="145">
        <f t="array" ref="J180">IFERROR(IF(AND(INDEX('Pilot inputs'!$AQ$15:$AQ$44,MATCH(B180,'Pilot inputs'!$B$15:$B$44,0))=1,ISNUMBER($F$12),$F$12&gt;=0,$F$12&lt;1),INDEX('Pilot inputs'!$AM$15:$AM$44,MATCH(B180,'Pilot inputs'!$B$15:$B$44,0)),"Unranked"),"Unranked")</f>
        <v>0</v>
      </c>
      <c r="K180" s="145">
        <f t="array" ref="K180">IFERROR(IF(AND(INDEX('Pilot inputs'!$AQ$15:$AQ$44,MATCH(B180,'Pilot inputs'!$B$15:$B$44,0))=1,ISNUMBER($F$12),$F$12&gt;=0,$F$12&lt;1),INDEX('Pilot inputs'!$AP$15:$AP$44,MATCH(B180,'Pilot inputs'!$B$15:$B$44,0)),"Unranked"),"Unranked")</f>
        <v>75</v>
      </c>
      <c r="L180" s="145">
        <f t="shared" si="129"/>
        <v>61.25</v>
      </c>
      <c r="M180" s="145">
        <f>IFERROR(__xludf.DUMMYFUNCTION("IFERROR(IF(ISNUMBER(L180),1+COUNTIF(FILTER($G$15:$G$24,$A$15:$A$24&lt;&gt;B180),""&gt;""&amp;L180)+COUNTIF(FILTER($G$15:$G$24,$A$15:$A$24&lt;&gt;B180),L180)/2,""Unranked""),""Unranked"")"),4.0)</f>
        <v>4</v>
      </c>
      <c r="N180" s="145">
        <f t="shared" si="130"/>
        <v>59</v>
      </c>
      <c r="O180" s="145">
        <f>IFERROR(__xludf.DUMMYFUNCTION("IFERROR(IF(ISNUMBER(N180),1+COUNTIF(FILTER($I$15:$I$24,$A$15:$A$24&lt;&gt;B180),""&gt;""&amp;N180)+COUNTIF(FILTER($I$15:$I$24,$A$15:$A$24&lt;&gt;B180),N180)/2,""Unranked""),""Unranked"")"),5.0)</f>
        <v>5</v>
      </c>
      <c r="P180" s="145">
        <f t="shared" si="131"/>
        <v>61.75</v>
      </c>
      <c r="Q180" s="145">
        <f>IFERROR(__xludf.DUMMYFUNCTION("IFERROR(IF(ISNUMBER(P180),1+COUNTIF(FILTER($K$15:$K$24,$A$15:$A$24&lt;&gt;B180),""&gt;""&amp;P180)+COUNTIF(FILTER($K$15:$K$24,$A$15:$A$24&lt;&gt;B180),P180)/2,""Unranked""),""Unranked"")"),3.0)</f>
        <v>3</v>
      </c>
      <c r="R180" s="145">
        <f t="shared" si="132"/>
        <v>0</v>
      </c>
      <c r="S180" s="145">
        <f t="shared" si="133"/>
        <v>0</v>
      </c>
      <c r="T180" s="145">
        <f t="shared" si="134"/>
        <v>0</v>
      </c>
      <c r="U180" s="93" t="s">
        <v>1717</v>
      </c>
      <c r="V180" s="93" t="s">
        <v>1718</v>
      </c>
      <c r="W180" s="93"/>
      <c r="X180" s="93"/>
    </row>
    <row r="181" ht="24.0" customHeight="1">
      <c r="A181" s="93">
        <v>37.0</v>
      </c>
      <c r="B181" s="93" t="s">
        <v>305</v>
      </c>
      <c r="C181" s="93" t="s">
        <v>307</v>
      </c>
      <c r="D181" s="93" t="s">
        <v>1230</v>
      </c>
      <c r="E181" s="145">
        <v>-1.0</v>
      </c>
      <c r="F181" s="145">
        <f t="array" ref="F181">INDEX('Pilot inputs'!$K$15:$K$44,MATCH(B181,'Pilot inputs'!$B$15:$B$44,0))</f>
        <v>21.88</v>
      </c>
      <c r="G181" s="145">
        <f t="shared" si="128"/>
        <v>20.786</v>
      </c>
      <c r="H181" s="145">
        <f t="array" ref="H181">IFERROR(IF(AND(INDEX('Pilot inputs'!$AQ$15:$AQ$44,MATCH(B181,'Pilot inputs'!$B$15:$B$44,0))=1,ISNUMBER($F$12),$F$12&gt;=0,$F$12&lt;1),INDEX('Pilot inputs'!$AG$15:$AG$44,MATCH(B181,'Pilot inputs'!$B$15:$B$44,0)),"Unranked"),"Unranked")</f>
        <v>100</v>
      </c>
      <c r="I181" s="145">
        <f>IFERROR(__xludf.DUMMYFUNCTION("IFERROR(IF(AND(INDEX('Pilot inputs'!$AQ$15:$AQ$44,MATCH(B181,'Pilot inputs'!$B$15:$B$44,0))=1,ISNUMBER($F$12),$F$12&gt;=0,$F$12&lt;1),INDEX('Pilot inputs'!$AL$15:$AL$44,MATCH(B181,'Pilot inputs'!$B$15:$B$44,0))+IF(C181=""Utilities"",0.4,0.35)*((100-LET(peer_val"&amp;"ues,FILTER('Pilot inputs'!$K$15:$K$44,'Pilot inputs'!$D$15:$D$44=INDEX('Pilot inputs'!$D$15:$D$44,MATCH(B181,'Pilot inputs'!$B$15:$B$44,0)),'Pilot inputs'!$B$15:$B$44&lt;&gt;B181,'Pilot inputs'!$AA$15:$AA$44=1),peer_count,ROWS(peer_values),IF(peer_count+1&lt;MAX(3"&amp;",Rules!$B$12),""Unranked"",100*(SUMPRODUCT(N(peer_values&lt;G181))+SUMPRODUCT(N(peer_values=G181))/2)/peer_count)))-INDEX('Pilot inputs'!$AH$15:$AH$44,MATCH(B181,'Pilot inputs'!$B$15:$B$44,0))),""Unranked""),""Unranked"")"),70.0)</f>
        <v>70</v>
      </c>
      <c r="J181" s="145">
        <f t="array" ref="J181">IFERROR(IF(AND(INDEX('Pilot inputs'!$AQ$15:$AQ$44,MATCH(B181,'Pilot inputs'!$B$15:$B$44,0))=1,ISNUMBER($F$12),$F$12&gt;=0,$F$12&lt;1),INDEX('Pilot inputs'!$AM$15:$AM$44,MATCH(B181,'Pilot inputs'!$B$15:$B$44,0)),"Unranked"),"Unranked")</f>
        <v>0</v>
      </c>
      <c r="K181" s="145">
        <f t="array" ref="K181">IFERROR(IF(AND(INDEX('Pilot inputs'!$AQ$15:$AQ$44,MATCH(B181,'Pilot inputs'!$B$15:$B$44,0))=1,ISNUMBER($F$12),$F$12&gt;=0,$F$12&lt;1),INDEX('Pilot inputs'!$AP$15:$AP$44,MATCH(B181,'Pilot inputs'!$B$15:$B$44,0)),"Unranked"),"Unranked")</f>
        <v>75</v>
      </c>
      <c r="L181" s="145">
        <f t="shared" si="129"/>
        <v>61.25</v>
      </c>
      <c r="M181" s="145">
        <f>IFERROR(__xludf.DUMMYFUNCTION("IFERROR(IF(ISNUMBER(L181),1+COUNTIF(FILTER($G$15:$G$24,$A$15:$A$24&lt;&gt;B181),""&gt;""&amp;L181)+COUNTIF(FILTER($G$15:$G$24,$A$15:$A$24&lt;&gt;B181),L181)/2,""Unranked""),""Unranked"")"),4.0)</f>
        <v>4</v>
      </c>
      <c r="N181" s="145">
        <f t="shared" si="130"/>
        <v>59</v>
      </c>
      <c r="O181" s="145">
        <f>IFERROR(__xludf.DUMMYFUNCTION("IFERROR(IF(ISNUMBER(N181),1+COUNTIF(FILTER($I$15:$I$24,$A$15:$A$24&lt;&gt;B181),""&gt;""&amp;N181)+COUNTIF(FILTER($I$15:$I$24,$A$15:$A$24&lt;&gt;B181),N181)/2,""Unranked""),""Unranked"")"),5.0)</f>
        <v>5</v>
      </c>
      <c r="P181" s="145">
        <f t="shared" si="131"/>
        <v>61.75</v>
      </c>
      <c r="Q181" s="145">
        <f>IFERROR(__xludf.DUMMYFUNCTION("IFERROR(IF(ISNUMBER(P181),1+COUNTIF(FILTER($K$15:$K$24,$A$15:$A$24&lt;&gt;B181),""&gt;""&amp;P181)+COUNTIF(FILTER($K$15:$K$24,$A$15:$A$24&lt;&gt;B181),P181)/2,""Unranked""),""Unranked"")"),3.0)</f>
        <v>3</v>
      </c>
      <c r="R181" s="145">
        <f t="shared" si="132"/>
        <v>0</v>
      </c>
      <c r="S181" s="145">
        <f t="shared" si="133"/>
        <v>0</v>
      </c>
      <c r="T181" s="145">
        <f t="shared" si="134"/>
        <v>0</v>
      </c>
      <c r="U181" s="93" t="s">
        <v>1717</v>
      </c>
      <c r="V181" s="93" t="s">
        <v>1718</v>
      </c>
      <c r="W181" s="93"/>
      <c r="X181" s="93"/>
    </row>
    <row r="182" ht="24.0" customHeight="1">
      <c r="A182" s="93">
        <v>38.0</v>
      </c>
      <c r="B182" s="93" t="s">
        <v>305</v>
      </c>
      <c r="C182" s="93" t="s">
        <v>307</v>
      </c>
      <c r="D182" s="93" t="s">
        <v>1230</v>
      </c>
      <c r="E182" s="145">
        <v>1.0</v>
      </c>
      <c r="F182" s="145">
        <f t="array" ref="F182">INDEX('Pilot inputs'!$K$15:$K$44,MATCH(B182,'Pilot inputs'!$B$15:$B$44,0))</f>
        <v>21.88</v>
      </c>
      <c r="G182" s="145">
        <f t="shared" si="128"/>
        <v>22.974</v>
      </c>
      <c r="H182" s="145">
        <f t="array" ref="H182">IFERROR(IF(AND(INDEX('Pilot inputs'!$AQ$15:$AQ$44,MATCH(B182,'Pilot inputs'!$B$15:$B$44,0))=1,ISNUMBER($F$12),$F$12&gt;=0,$F$12&lt;1),INDEX('Pilot inputs'!$AG$15:$AG$44,MATCH(B182,'Pilot inputs'!$B$15:$B$44,0)),"Unranked"),"Unranked")</f>
        <v>100</v>
      </c>
      <c r="I182" s="145">
        <f>IFERROR(__xludf.DUMMYFUNCTION("IFERROR(IF(AND(INDEX('Pilot inputs'!$AQ$15:$AQ$44,MATCH(B182,'Pilot inputs'!$B$15:$B$44,0))=1,ISNUMBER($F$12),$F$12&gt;=0,$F$12&lt;1),INDEX('Pilot inputs'!$AL$15:$AL$44,MATCH(B182,'Pilot inputs'!$B$15:$B$44,0))+IF(C182=""Utilities"",0.4,0.35)*((100-LET(peer_val"&amp;"ues,FILTER('Pilot inputs'!$K$15:$K$44,'Pilot inputs'!$D$15:$D$44=INDEX('Pilot inputs'!$D$15:$D$44,MATCH(B182,'Pilot inputs'!$B$15:$B$44,0)),'Pilot inputs'!$B$15:$B$44&lt;&gt;B182,'Pilot inputs'!$AA$15:$AA$44=1),peer_count,ROWS(peer_values),IF(peer_count+1&lt;MAX(3"&amp;",Rules!$B$12),""Unranked"",100*(SUMPRODUCT(N(peer_values&lt;G182))+SUMPRODUCT(N(peer_values=G182))/2)/peer_count)))-INDEX('Pilot inputs'!$AH$15:$AH$44,MATCH(B182,'Pilot inputs'!$B$15:$B$44,0))),""Unranked""),""Unranked"")"),70.0)</f>
        <v>70</v>
      </c>
      <c r="J182" s="145">
        <f t="array" ref="J182">IFERROR(IF(AND(INDEX('Pilot inputs'!$AQ$15:$AQ$44,MATCH(B182,'Pilot inputs'!$B$15:$B$44,0))=1,ISNUMBER($F$12),$F$12&gt;=0,$F$12&lt;1),INDEX('Pilot inputs'!$AM$15:$AM$44,MATCH(B182,'Pilot inputs'!$B$15:$B$44,0)),"Unranked"),"Unranked")</f>
        <v>0</v>
      </c>
      <c r="K182" s="145">
        <f t="array" ref="K182">IFERROR(IF(AND(INDEX('Pilot inputs'!$AQ$15:$AQ$44,MATCH(B182,'Pilot inputs'!$B$15:$B$44,0))=1,ISNUMBER($F$12),$F$12&gt;=0,$F$12&lt;1),INDEX('Pilot inputs'!$AP$15:$AP$44,MATCH(B182,'Pilot inputs'!$B$15:$B$44,0)),"Unranked"),"Unranked")</f>
        <v>75</v>
      </c>
      <c r="L182" s="145">
        <f t="shared" si="129"/>
        <v>61.25</v>
      </c>
      <c r="M182" s="145">
        <f>IFERROR(__xludf.DUMMYFUNCTION("IFERROR(IF(ISNUMBER(L182),1+COUNTIF(FILTER($G$15:$G$24,$A$15:$A$24&lt;&gt;B182),""&gt;""&amp;L182)+COUNTIF(FILTER($G$15:$G$24,$A$15:$A$24&lt;&gt;B182),L182)/2,""Unranked""),""Unranked"")"),4.0)</f>
        <v>4</v>
      </c>
      <c r="N182" s="145">
        <f t="shared" si="130"/>
        <v>59</v>
      </c>
      <c r="O182" s="145">
        <f>IFERROR(__xludf.DUMMYFUNCTION("IFERROR(IF(ISNUMBER(N182),1+COUNTIF(FILTER($I$15:$I$24,$A$15:$A$24&lt;&gt;B182),""&gt;""&amp;N182)+COUNTIF(FILTER($I$15:$I$24,$A$15:$A$24&lt;&gt;B182),N182)/2,""Unranked""),""Unranked"")"),5.0)</f>
        <v>5</v>
      </c>
      <c r="P182" s="145">
        <f t="shared" si="131"/>
        <v>61.75</v>
      </c>
      <c r="Q182" s="145">
        <f>IFERROR(__xludf.DUMMYFUNCTION("IFERROR(IF(ISNUMBER(P182),1+COUNTIF(FILTER($K$15:$K$24,$A$15:$A$24&lt;&gt;B182),""&gt;""&amp;P182)+COUNTIF(FILTER($K$15:$K$24,$A$15:$A$24&lt;&gt;B182),P182)/2,""Unranked""),""Unranked"")"),3.0)</f>
        <v>3</v>
      </c>
      <c r="R182" s="145">
        <f t="shared" si="132"/>
        <v>0</v>
      </c>
      <c r="S182" s="145">
        <f t="shared" si="133"/>
        <v>0</v>
      </c>
      <c r="T182" s="145">
        <f t="shared" si="134"/>
        <v>0</v>
      </c>
      <c r="U182" s="93" t="s">
        <v>1717</v>
      </c>
      <c r="V182" s="93" t="s">
        <v>1718</v>
      </c>
      <c r="W182" s="93"/>
      <c r="X182" s="93"/>
    </row>
    <row r="183" ht="24.0" customHeight="1">
      <c r="A183" s="93">
        <v>39.0</v>
      </c>
      <c r="B183" s="93" t="s">
        <v>305</v>
      </c>
      <c r="C183" s="93" t="s">
        <v>307</v>
      </c>
      <c r="D183" s="93" t="s">
        <v>1740</v>
      </c>
      <c r="E183" s="145">
        <v>-1.0</v>
      </c>
      <c r="F183" s="145">
        <f t="array" ref="F183">INDEX('Pilot inputs'!$L$15:$L$44,MATCH(B183,'Pilot inputs'!$B$15:$B$44,0))</f>
        <v>14.61</v>
      </c>
      <c r="G183" s="145">
        <f t="shared" si="128"/>
        <v>13.8795</v>
      </c>
      <c r="H183" s="145">
        <f t="array" ref="H183">IFERROR(IF(AND(INDEX('Pilot inputs'!$AQ$15:$AQ$44,MATCH(B183,'Pilot inputs'!$B$15:$B$44,0))=1,ISNUMBER($F$12),$F$12&gt;=0,$F$12&lt;1),INDEX('Pilot inputs'!$AG$15:$AG$44,MATCH(B183,'Pilot inputs'!$B$15:$B$44,0)),"Unranked"),"Unranked")</f>
        <v>100</v>
      </c>
      <c r="I183" s="145">
        <f>IFERROR(__xludf.DUMMYFUNCTION("IFERROR(IF(AND(INDEX('Pilot inputs'!$AQ$15:$AQ$44,MATCH(B183,'Pilot inputs'!$B$15:$B$44,0))=1,ISNUMBER($F$12),$F$12&gt;=0,$F$12&lt;1),INDEX('Pilot inputs'!$AL$15:$AL$44,MATCH(B183,'Pilot inputs'!$B$15:$B$44,0))+IF(C183=""Utilities"",0.4,0.35)*((100-LET(peer_val"&amp;"ues,FILTER('Pilot inputs'!$L$15:$L$44,'Pilot inputs'!$D$15:$D$44=INDEX('Pilot inputs'!$D$15:$D$44,MATCH(B183,'Pilot inputs'!$B$15:$B$44,0)),'Pilot inputs'!$B$15:$B$44&lt;&gt;B183,'Pilot inputs'!$AA$15:$AA$44=1),peer_count,ROWS(peer_values),IF(peer_count+1&lt;MAX(3"&amp;",Rules!$B$12),""Unranked"",100*(SUMPRODUCT(N(peer_values&lt;G183))+SUMPRODUCT(N(peer_values=G183))/2)/peer_count)))-INDEX('Pilot inputs'!$AI$15:$AI$44,MATCH(B183,'Pilot inputs'!$B$15:$B$44,0))),""Unranked""),""Unranked"")"),70.0)</f>
        <v>70</v>
      </c>
      <c r="J183" s="145">
        <f t="array" ref="J183">IFERROR(IF(AND(INDEX('Pilot inputs'!$AQ$15:$AQ$44,MATCH(B183,'Pilot inputs'!$B$15:$B$44,0))=1,ISNUMBER($F$12),$F$12&gt;=0,$F$12&lt;1),INDEX('Pilot inputs'!$AM$15:$AM$44,MATCH(B183,'Pilot inputs'!$B$15:$B$44,0)),"Unranked"),"Unranked")</f>
        <v>0</v>
      </c>
      <c r="K183" s="145">
        <f t="array" ref="K183">IFERROR(IF(AND(INDEX('Pilot inputs'!$AQ$15:$AQ$44,MATCH(B183,'Pilot inputs'!$B$15:$B$44,0))=1,ISNUMBER($F$12),$F$12&gt;=0,$F$12&lt;1),INDEX('Pilot inputs'!$AP$15:$AP$44,MATCH(B183,'Pilot inputs'!$B$15:$B$44,0)),"Unranked"),"Unranked")</f>
        <v>75</v>
      </c>
      <c r="L183" s="145">
        <f t="shared" si="129"/>
        <v>61.25</v>
      </c>
      <c r="M183" s="145">
        <f>IFERROR(__xludf.DUMMYFUNCTION("IFERROR(IF(ISNUMBER(L183),1+COUNTIF(FILTER($G$15:$G$24,$A$15:$A$24&lt;&gt;B183),""&gt;""&amp;L183)+COUNTIF(FILTER($G$15:$G$24,$A$15:$A$24&lt;&gt;B183),L183)/2,""Unranked""),""Unranked"")"),4.0)</f>
        <v>4</v>
      </c>
      <c r="N183" s="145">
        <f t="shared" si="130"/>
        <v>59</v>
      </c>
      <c r="O183" s="145">
        <f>IFERROR(__xludf.DUMMYFUNCTION("IFERROR(IF(ISNUMBER(N183),1+COUNTIF(FILTER($I$15:$I$24,$A$15:$A$24&lt;&gt;B183),""&gt;""&amp;N183)+COUNTIF(FILTER($I$15:$I$24,$A$15:$A$24&lt;&gt;B183),N183)/2,""Unranked""),""Unranked"")"),5.0)</f>
        <v>5</v>
      </c>
      <c r="P183" s="145">
        <f t="shared" si="131"/>
        <v>61.75</v>
      </c>
      <c r="Q183" s="145">
        <f>IFERROR(__xludf.DUMMYFUNCTION("IFERROR(IF(ISNUMBER(P183),1+COUNTIF(FILTER($K$15:$K$24,$A$15:$A$24&lt;&gt;B183),""&gt;""&amp;P183)+COUNTIF(FILTER($K$15:$K$24,$A$15:$A$24&lt;&gt;B183),P183)/2,""Unranked""),""Unranked"")"),3.0)</f>
        <v>3</v>
      </c>
      <c r="R183" s="145">
        <f t="shared" si="132"/>
        <v>0</v>
      </c>
      <c r="S183" s="145">
        <f t="shared" si="133"/>
        <v>0</v>
      </c>
      <c r="T183" s="145">
        <f t="shared" si="134"/>
        <v>0</v>
      </c>
      <c r="U183" s="93" t="s">
        <v>1717</v>
      </c>
      <c r="V183" s="93" t="s">
        <v>1718</v>
      </c>
      <c r="W183" s="93"/>
      <c r="X183" s="93"/>
    </row>
    <row r="184" ht="24.0" customHeight="1">
      <c r="A184" s="93">
        <v>40.0</v>
      </c>
      <c r="B184" s="93" t="s">
        <v>305</v>
      </c>
      <c r="C184" s="93" t="s">
        <v>307</v>
      </c>
      <c r="D184" s="93" t="s">
        <v>1740</v>
      </c>
      <c r="E184" s="145">
        <v>1.0</v>
      </c>
      <c r="F184" s="145">
        <f t="array" ref="F184">INDEX('Pilot inputs'!$L$15:$L$44,MATCH(B184,'Pilot inputs'!$B$15:$B$44,0))</f>
        <v>14.61</v>
      </c>
      <c r="G184" s="145">
        <f t="shared" si="128"/>
        <v>15.3405</v>
      </c>
      <c r="H184" s="145">
        <f t="array" ref="H184">IFERROR(IF(AND(INDEX('Pilot inputs'!$AQ$15:$AQ$44,MATCH(B184,'Pilot inputs'!$B$15:$B$44,0))=1,ISNUMBER($F$12),$F$12&gt;=0,$F$12&lt;1),INDEX('Pilot inputs'!$AG$15:$AG$44,MATCH(B184,'Pilot inputs'!$B$15:$B$44,0)),"Unranked"),"Unranked")</f>
        <v>100</v>
      </c>
      <c r="I184" s="145">
        <f>IFERROR(__xludf.DUMMYFUNCTION("IFERROR(IF(AND(INDEX('Pilot inputs'!$AQ$15:$AQ$44,MATCH(B184,'Pilot inputs'!$B$15:$B$44,0))=1,ISNUMBER($F$12),$F$12&gt;=0,$F$12&lt;1),INDEX('Pilot inputs'!$AL$15:$AL$44,MATCH(B184,'Pilot inputs'!$B$15:$B$44,0))+IF(C184=""Utilities"",0.4,0.35)*((100-LET(peer_val"&amp;"ues,FILTER('Pilot inputs'!$L$15:$L$44,'Pilot inputs'!$D$15:$D$44=INDEX('Pilot inputs'!$D$15:$D$44,MATCH(B184,'Pilot inputs'!$B$15:$B$44,0)),'Pilot inputs'!$B$15:$B$44&lt;&gt;B184,'Pilot inputs'!$AA$15:$AA$44=1),peer_count,ROWS(peer_values),IF(peer_count+1&lt;MAX(3"&amp;",Rules!$B$12),""Unranked"",100*(SUMPRODUCT(N(peer_values&lt;G184))+SUMPRODUCT(N(peer_values=G184))/2)/peer_count)))-INDEX('Pilot inputs'!$AI$15:$AI$44,MATCH(B184,'Pilot inputs'!$B$15:$B$44,0))),""Unranked""),""Unranked"")"),52.5)</f>
        <v>52.5</v>
      </c>
      <c r="J184" s="145">
        <f t="array" ref="J184">IFERROR(IF(AND(INDEX('Pilot inputs'!$AQ$15:$AQ$44,MATCH(B184,'Pilot inputs'!$B$15:$B$44,0))=1,ISNUMBER($F$12),$F$12&gt;=0,$F$12&lt;1),INDEX('Pilot inputs'!$AM$15:$AM$44,MATCH(B184,'Pilot inputs'!$B$15:$B$44,0)),"Unranked"),"Unranked")</f>
        <v>0</v>
      </c>
      <c r="K184" s="145">
        <f t="array" ref="K184">IFERROR(IF(AND(INDEX('Pilot inputs'!$AQ$15:$AQ$44,MATCH(B184,'Pilot inputs'!$B$15:$B$44,0))=1,ISNUMBER($F$12),$F$12&gt;=0,$F$12&lt;1),INDEX('Pilot inputs'!$AP$15:$AP$44,MATCH(B184,'Pilot inputs'!$B$15:$B$44,0)),"Unranked"),"Unranked")</f>
        <v>75</v>
      </c>
      <c r="L184" s="145">
        <f t="shared" si="129"/>
        <v>56.875</v>
      </c>
      <c r="M184" s="145">
        <f>IFERROR(__xludf.DUMMYFUNCTION("IFERROR(IF(ISNUMBER(L184),1+COUNTIF(FILTER($G$15:$G$24,$A$15:$A$24&lt;&gt;B184),""&gt;""&amp;L184)+COUNTIF(FILTER($G$15:$G$24,$A$15:$A$24&lt;&gt;B184),L184)/2,""Unranked""),""Unranked"")"),5.0)</f>
        <v>5</v>
      </c>
      <c r="N184" s="145">
        <f t="shared" si="130"/>
        <v>55.5</v>
      </c>
      <c r="O184" s="145">
        <f>IFERROR(__xludf.DUMMYFUNCTION("IFERROR(IF(ISNUMBER(N184),1+COUNTIF(FILTER($I$15:$I$24,$A$15:$A$24&lt;&gt;B184),""&gt;""&amp;N184)+COUNTIF(FILTER($I$15:$I$24,$A$15:$A$24&lt;&gt;B184),N184)/2,""Unranked""),""Unranked"")"),6.0)</f>
        <v>6</v>
      </c>
      <c r="P184" s="145">
        <f t="shared" si="131"/>
        <v>54.75</v>
      </c>
      <c r="Q184" s="145">
        <f>IFERROR(__xludf.DUMMYFUNCTION("IFERROR(IF(ISNUMBER(P184),1+COUNTIF(FILTER($K$15:$K$24,$A$15:$A$24&lt;&gt;B184),""&gt;""&amp;P184)+COUNTIF(FILTER($K$15:$K$24,$A$15:$A$24&lt;&gt;B184),P184)/2,""Unranked""),""Unranked"")"),4.0)</f>
        <v>4</v>
      </c>
      <c r="R184" s="145">
        <f t="shared" si="132"/>
        <v>1</v>
      </c>
      <c r="S184" s="145">
        <f t="shared" si="133"/>
        <v>1</v>
      </c>
      <c r="T184" s="145">
        <f t="shared" si="134"/>
        <v>1</v>
      </c>
      <c r="U184" s="93" t="s">
        <v>1717</v>
      </c>
      <c r="V184" s="93" t="s">
        <v>1718</v>
      </c>
      <c r="W184" s="93"/>
      <c r="X184" s="93"/>
    </row>
    <row r="185" ht="24.0" customHeight="1">
      <c r="A185" s="93">
        <v>41.0</v>
      </c>
      <c r="B185" s="93" t="s">
        <v>305</v>
      </c>
      <c r="C185" s="93" t="s">
        <v>307</v>
      </c>
      <c r="D185" s="93" t="s">
        <v>1741</v>
      </c>
      <c r="E185" s="145">
        <v>-1.0</v>
      </c>
      <c r="F185" s="145">
        <f t="array" ref="F185">INDEX('Pilot inputs'!$M$15:$M$44,MATCH(B185,'Pilot inputs'!$B$15:$B$44,0))</f>
        <v>0.045</v>
      </c>
      <c r="G185" s="145">
        <f t="shared" si="128"/>
        <v>0.04275</v>
      </c>
      <c r="H185" s="145">
        <f t="array" ref="H185">IFERROR(IF(AND(INDEX('Pilot inputs'!$AQ$15:$AQ$44,MATCH(B185,'Pilot inputs'!$B$15:$B$44,0))=1,ISNUMBER($F$12),$F$12&gt;=0,$F$12&lt;1),INDEX('Pilot inputs'!$AG$15:$AG$44,MATCH(B185,'Pilot inputs'!$B$15:$B$44,0)),"Unranked"),"Unranked")</f>
        <v>100</v>
      </c>
      <c r="I185" s="145">
        <f>IFERROR(__xludf.DUMMYFUNCTION("IFERROR(IF(AND(INDEX('Pilot inputs'!$AQ$15:$AQ$44,MATCH(B185,'Pilot inputs'!$B$15:$B$44,0))=1,ISNUMBER($F$12),$F$12&gt;=0,$F$12&lt;1),INDEX('Pilot inputs'!$AL$15:$AL$44,MATCH(B185,'Pilot inputs'!$B$15:$B$44,0))+0.3*((LET(peer_values,FILTER('Pilot inputs'!$M$15:"&amp;"$M$44,'Pilot inputs'!$D$15:$D$44=INDEX('Pilot inputs'!$D$15:$D$44,MATCH(B185,'Pilot inputs'!$B$15:$B$44,0)),'Pilot inputs'!$B$15:$B$44&lt;&gt;B185,'Pilot inputs'!$AA$15:$AA$44=1),peer_count,ROWS(peer_values),IF(peer_count+1&lt;MAX(3,Rules!$B$12),""Unranked"",100*("&amp;"SUMPRODUCT(N(peer_values&lt;G185))+SUMPRODUCT(N(peer_values=G185))/2)/peer_count)))-INDEX('Pilot inputs'!$AJ$15:$AJ$44,MATCH(B185,'Pilot inputs'!$B$15:$B$44,0))),""Unranked""),""Unranked"")"),70.0)</f>
        <v>70</v>
      </c>
      <c r="J185" s="145">
        <f t="array" ref="J185">IFERROR(IF(AND(INDEX('Pilot inputs'!$AQ$15:$AQ$44,MATCH(B185,'Pilot inputs'!$B$15:$B$44,0))=1,ISNUMBER($F$12),$F$12&gt;=0,$F$12&lt;1),INDEX('Pilot inputs'!$AM$15:$AM$44,MATCH(B185,'Pilot inputs'!$B$15:$B$44,0)),"Unranked"),"Unranked")</f>
        <v>0</v>
      </c>
      <c r="K185" s="145">
        <f t="array" ref="K185">IFERROR(IF(AND(INDEX('Pilot inputs'!$AQ$15:$AQ$44,MATCH(B185,'Pilot inputs'!$B$15:$B$44,0))=1,ISNUMBER($F$12),$F$12&gt;=0,$F$12&lt;1),INDEX('Pilot inputs'!$AP$15:$AP$44,MATCH(B185,'Pilot inputs'!$B$15:$B$44,0)),"Unranked"),"Unranked")</f>
        <v>75</v>
      </c>
      <c r="L185" s="145">
        <f t="shared" si="129"/>
        <v>61.25</v>
      </c>
      <c r="M185" s="145">
        <f>IFERROR(__xludf.DUMMYFUNCTION("IFERROR(IF(ISNUMBER(L185),1+COUNTIF(FILTER($G$15:$G$24,$A$15:$A$24&lt;&gt;B185),""&gt;""&amp;L185)+COUNTIF(FILTER($G$15:$G$24,$A$15:$A$24&lt;&gt;B185),L185)/2,""Unranked""),""Unranked"")"),4.0)</f>
        <v>4</v>
      </c>
      <c r="N185" s="145">
        <f t="shared" si="130"/>
        <v>59</v>
      </c>
      <c r="O185" s="145">
        <f>IFERROR(__xludf.DUMMYFUNCTION("IFERROR(IF(ISNUMBER(N185),1+COUNTIF(FILTER($I$15:$I$24,$A$15:$A$24&lt;&gt;B185),""&gt;""&amp;N185)+COUNTIF(FILTER($I$15:$I$24,$A$15:$A$24&lt;&gt;B185),N185)/2,""Unranked""),""Unranked"")"),5.0)</f>
        <v>5</v>
      </c>
      <c r="P185" s="145">
        <f t="shared" si="131"/>
        <v>61.75</v>
      </c>
      <c r="Q185" s="145">
        <f>IFERROR(__xludf.DUMMYFUNCTION("IFERROR(IF(ISNUMBER(P185),1+COUNTIF(FILTER($K$15:$K$24,$A$15:$A$24&lt;&gt;B185),""&gt;""&amp;P185)+COUNTIF(FILTER($K$15:$K$24,$A$15:$A$24&lt;&gt;B185),P185)/2,""Unranked""),""Unranked"")"),3.0)</f>
        <v>3</v>
      </c>
      <c r="R185" s="145">
        <f t="shared" si="132"/>
        <v>0</v>
      </c>
      <c r="S185" s="145">
        <f t="shared" si="133"/>
        <v>0</v>
      </c>
      <c r="T185" s="145">
        <f t="shared" si="134"/>
        <v>0</v>
      </c>
      <c r="U185" s="93" t="s">
        <v>1717</v>
      </c>
      <c r="V185" s="93" t="s">
        <v>1718</v>
      </c>
      <c r="W185" s="93"/>
      <c r="X185" s="93"/>
    </row>
    <row r="186" ht="24.0" customHeight="1">
      <c r="A186" s="93">
        <v>42.0</v>
      </c>
      <c r="B186" s="93" t="s">
        <v>305</v>
      </c>
      <c r="C186" s="93" t="s">
        <v>307</v>
      </c>
      <c r="D186" s="93" t="s">
        <v>1741</v>
      </c>
      <c r="E186" s="145">
        <v>1.0</v>
      </c>
      <c r="F186" s="145">
        <f t="array" ref="F186">INDEX('Pilot inputs'!$M$15:$M$44,MATCH(B186,'Pilot inputs'!$B$15:$B$44,0))</f>
        <v>0.045</v>
      </c>
      <c r="G186" s="145">
        <f t="shared" si="128"/>
        <v>0.04725</v>
      </c>
      <c r="H186" s="145">
        <f t="array" ref="H186">IFERROR(IF(AND(INDEX('Pilot inputs'!$AQ$15:$AQ$44,MATCH(B186,'Pilot inputs'!$B$15:$B$44,0))=1,ISNUMBER($F$12),$F$12&gt;=0,$F$12&lt;1),INDEX('Pilot inputs'!$AG$15:$AG$44,MATCH(B186,'Pilot inputs'!$B$15:$B$44,0)),"Unranked"),"Unranked")</f>
        <v>100</v>
      </c>
      <c r="I186" s="145">
        <f>IFERROR(__xludf.DUMMYFUNCTION("IFERROR(IF(AND(INDEX('Pilot inputs'!$AQ$15:$AQ$44,MATCH(B186,'Pilot inputs'!$B$15:$B$44,0))=1,ISNUMBER($F$12),$F$12&gt;=0,$F$12&lt;1),INDEX('Pilot inputs'!$AL$15:$AL$44,MATCH(B186,'Pilot inputs'!$B$15:$B$44,0))+0.3*((LET(peer_values,FILTER('Pilot inputs'!$M$15:"&amp;"$M$44,'Pilot inputs'!$D$15:$D$44=INDEX('Pilot inputs'!$D$15:$D$44,MATCH(B186,'Pilot inputs'!$B$15:$B$44,0)),'Pilot inputs'!$B$15:$B$44&lt;&gt;B186,'Pilot inputs'!$AA$15:$AA$44=1),peer_count,ROWS(peer_values),IF(peer_count+1&lt;MAX(3,Rules!$B$12),""Unranked"",100*("&amp;"SUMPRODUCT(N(peer_values&lt;G186))+SUMPRODUCT(N(peer_values=G186))/2)/peer_count)))-INDEX('Pilot inputs'!$AJ$15:$AJ$44,MATCH(B186,'Pilot inputs'!$B$15:$B$44,0))),""Unranked""),""Unranked"")"),70.0)</f>
        <v>70</v>
      </c>
      <c r="J186" s="145">
        <f t="array" ref="J186">IFERROR(IF(AND(INDEX('Pilot inputs'!$AQ$15:$AQ$44,MATCH(B186,'Pilot inputs'!$B$15:$B$44,0))=1,ISNUMBER($F$12),$F$12&gt;=0,$F$12&lt;1),INDEX('Pilot inputs'!$AM$15:$AM$44,MATCH(B186,'Pilot inputs'!$B$15:$B$44,0)),"Unranked"),"Unranked")</f>
        <v>0</v>
      </c>
      <c r="K186" s="145">
        <f t="array" ref="K186">IFERROR(IF(AND(INDEX('Pilot inputs'!$AQ$15:$AQ$44,MATCH(B186,'Pilot inputs'!$B$15:$B$44,0))=1,ISNUMBER($F$12),$F$12&gt;=0,$F$12&lt;1),INDEX('Pilot inputs'!$AP$15:$AP$44,MATCH(B186,'Pilot inputs'!$B$15:$B$44,0)),"Unranked"),"Unranked")</f>
        <v>75</v>
      </c>
      <c r="L186" s="145">
        <f t="shared" si="129"/>
        <v>61.25</v>
      </c>
      <c r="M186" s="145">
        <f>IFERROR(__xludf.DUMMYFUNCTION("IFERROR(IF(ISNUMBER(L186),1+COUNTIF(FILTER($G$15:$G$24,$A$15:$A$24&lt;&gt;B186),""&gt;""&amp;L186)+COUNTIF(FILTER($G$15:$G$24,$A$15:$A$24&lt;&gt;B186),L186)/2,""Unranked""),""Unranked"")"),4.0)</f>
        <v>4</v>
      </c>
      <c r="N186" s="145">
        <f t="shared" si="130"/>
        <v>59</v>
      </c>
      <c r="O186" s="145">
        <f>IFERROR(__xludf.DUMMYFUNCTION("IFERROR(IF(ISNUMBER(N186),1+COUNTIF(FILTER($I$15:$I$24,$A$15:$A$24&lt;&gt;B186),""&gt;""&amp;N186)+COUNTIF(FILTER($I$15:$I$24,$A$15:$A$24&lt;&gt;B186),N186)/2,""Unranked""),""Unranked"")"),5.0)</f>
        <v>5</v>
      </c>
      <c r="P186" s="145">
        <f t="shared" si="131"/>
        <v>61.75</v>
      </c>
      <c r="Q186" s="145">
        <f>IFERROR(__xludf.DUMMYFUNCTION("IFERROR(IF(ISNUMBER(P186),1+COUNTIF(FILTER($K$15:$K$24,$A$15:$A$24&lt;&gt;B186),""&gt;""&amp;P186)+COUNTIF(FILTER($K$15:$K$24,$A$15:$A$24&lt;&gt;B186),P186)/2,""Unranked""),""Unranked"")"),3.0)</f>
        <v>3</v>
      </c>
      <c r="R186" s="145">
        <f t="shared" si="132"/>
        <v>0</v>
      </c>
      <c r="S186" s="145">
        <f t="shared" si="133"/>
        <v>0</v>
      </c>
      <c r="T186" s="145">
        <f t="shared" si="134"/>
        <v>0</v>
      </c>
      <c r="U186" s="93" t="s">
        <v>1717</v>
      </c>
      <c r="V186" s="93" t="s">
        <v>1718</v>
      </c>
      <c r="W186" s="93"/>
      <c r="X186" s="93"/>
    </row>
    <row r="187" ht="24.0" customHeight="1">
      <c r="A187" s="93">
        <v>43.0</v>
      </c>
      <c r="B187" s="93" t="s">
        <v>305</v>
      </c>
      <c r="C187" s="93" t="s">
        <v>307</v>
      </c>
      <c r="D187" s="93" t="s">
        <v>1235</v>
      </c>
      <c r="E187" s="145">
        <v>-1.0</v>
      </c>
      <c r="F187" s="145">
        <f t="array" ref="F187">INDEX('Pilot inputs'!$O$15:$O$44,MATCH(B187,'Pilot inputs'!$B$15:$B$44,0))</f>
        <v>0.2154</v>
      </c>
      <c r="G187" s="145">
        <f t="shared" si="128"/>
        <v>0.20463</v>
      </c>
      <c r="H187" s="145">
        <f t="array" ref="H187">IFERROR(IF(AND(INDEX('Pilot inputs'!$AQ$15:$AQ$44,MATCH(B187,'Pilot inputs'!$B$15:$B$44,0))=1,ISNUMBER($F$12),$F$12&gt;=0,$F$12&lt;1),INDEX('Pilot inputs'!$AG$15:$AG$44,MATCH(B187,'Pilot inputs'!$B$15:$B$44,0)),"Unranked"),"Unranked")</f>
        <v>100</v>
      </c>
      <c r="I187" s="145">
        <f t="array" ref="I187">IFERROR(IF(AND(INDEX('Pilot inputs'!$AQ$15:$AQ$44,MATCH(B187,'Pilot inputs'!$B$15:$B$44,0))=1,ISNUMBER($F$12),$F$12&gt;=0,$F$12&lt;1),INDEX('Pilot inputs'!$AL$15:$AL$44,MATCH(B187,'Pilot inputs'!$B$15:$B$44,0)),"Unranked"),"Unranked")</f>
        <v>70</v>
      </c>
      <c r="J187" s="145">
        <f t="array" ref="J187">IFERROR(IF(AND(INDEX('Pilot inputs'!$AQ$15:$AQ$44,MATCH(B187,'Pilot inputs'!$B$15:$B$44,0))=1,ISNUMBER($F$12),$F$12&gt;=0,$F$12&lt;1),INDEX('Pilot inputs'!$AM$15:$AM$44,MATCH(B187,'Pilot inputs'!$B$15:$B$44,0)),"Unranked"),"Unranked")</f>
        <v>0</v>
      </c>
      <c r="K187" s="145">
        <f>IFERROR(__xludf.DUMMYFUNCTION("IFERROR(IF(AND(INDEX('Pilot inputs'!$AQ$15:$AQ$44,MATCH(B187,'Pilot inputs'!$B$15:$B$44,0))=1,ISNUMBER($F$12),$F$12&gt;=0,$F$12&lt;1),(LET(peer_values,FILTER('Pilot inputs'!$O$15:$O$44,'Pilot inputs'!$D$15:$D$44=INDEX('Pilot inputs'!$D$15:$D$44,MATCH(B187,'Pilo"&amp;"t inputs'!$B$15:$B$44,0)),'Pilot inputs'!$B$15:$B$44&lt;&gt;B187,'Pilot inputs'!$AA$15:$AA$44=1),peer_count,ROWS(peer_values),IF(peer_count+1&lt;MAX(3,Rules!$B$12),""Unranked"",100*(SUMPRODUCT(N(peer_values&lt;G187))+SUMPRODUCT(N(peer_values=G187))/2)/peer_count))+IN"&amp;"DEX('Pilot inputs'!$AO$15:$AO$44,MATCH(B187,'Pilot inputs'!$B$15:$B$44,0)))/2,""Unranked""),""Unranked"")"),75.0)</f>
        <v>75</v>
      </c>
      <c r="L187" s="145">
        <f t="shared" si="129"/>
        <v>61.25</v>
      </c>
      <c r="M187" s="145">
        <f>IFERROR(__xludf.DUMMYFUNCTION("IFERROR(IF(ISNUMBER(L187),1+COUNTIF(FILTER($G$15:$G$24,$A$15:$A$24&lt;&gt;B187),""&gt;""&amp;L187)+COUNTIF(FILTER($G$15:$G$24,$A$15:$A$24&lt;&gt;B187),L187)/2,""Unranked""),""Unranked"")"),4.0)</f>
        <v>4</v>
      </c>
      <c r="N187" s="145">
        <f t="shared" si="130"/>
        <v>59</v>
      </c>
      <c r="O187" s="145">
        <f>IFERROR(__xludf.DUMMYFUNCTION("IFERROR(IF(ISNUMBER(N187),1+COUNTIF(FILTER($I$15:$I$24,$A$15:$A$24&lt;&gt;B187),""&gt;""&amp;N187)+COUNTIF(FILTER($I$15:$I$24,$A$15:$A$24&lt;&gt;B187),N187)/2,""Unranked""),""Unranked"")"),5.0)</f>
        <v>5</v>
      </c>
      <c r="P187" s="145">
        <f t="shared" si="131"/>
        <v>61.75</v>
      </c>
      <c r="Q187" s="145">
        <f>IFERROR(__xludf.DUMMYFUNCTION("IFERROR(IF(ISNUMBER(P187),1+COUNTIF(FILTER($K$15:$K$24,$A$15:$A$24&lt;&gt;B187),""&gt;""&amp;P187)+COUNTIF(FILTER($K$15:$K$24,$A$15:$A$24&lt;&gt;B187),P187)/2,""Unranked""),""Unranked"")"),3.0)</f>
        <v>3</v>
      </c>
      <c r="R187" s="145">
        <f t="shared" si="132"/>
        <v>0</v>
      </c>
      <c r="S187" s="145">
        <f t="shared" si="133"/>
        <v>0</v>
      </c>
      <c r="T187" s="145">
        <f t="shared" si="134"/>
        <v>0</v>
      </c>
      <c r="U187" s="93" t="s">
        <v>1717</v>
      </c>
      <c r="V187" s="93" t="s">
        <v>1718</v>
      </c>
      <c r="W187" s="93"/>
      <c r="X187" s="93"/>
    </row>
    <row r="188" ht="24.0" customHeight="1">
      <c r="A188" s="93">
        <v>44.0</v>
      </c>
      <c r="B188" s="93" t="s">
        <v>305</v>
      </c>
      <c r="C188" s="93" t="s">
        <v>307</v>
      </c>
      <c r="D188" s="93" t="s">
        <v>1235</v>
      </c>
      <c r="E188" s="145">
        <v>1.0</v>
      </c>
      <c r="F188" s="145">
        <f t="array" ref="F188">INDEX('Pilot inputs'!$O$15:$O$44,MATCH(B188,'Pilot inputs'!$B$15:$B$44,0))</f>
        <v>0.2154</v>
      </c>
      <c r="G188" s="145">
        <f t="shared" si="128"/>
        <v>0.22617</v>
      </c>
      <c r="H188" s="145">
        <f t="array" ref="H188">IFERROR(IF(AND(INDEX('Pilot inputs'!$AQ$15:$AQ$44,MATCH(B188,'Pilot inputs'!$B$15:$B$44,0))=1,ISNUMBER($F$12),$F$12&gt;=0,$F$12&lt;1),INDEX('Pilot inputs'!$AG$15:$AG$44,MATCH(B188,'Pilot inputs'!$B$15:$B$44,0)),"Unranked"),"Unranked")</f>
        <v>100</v>
      </c>
      <c r="I188" s="145">
        <f t="array" ref="I188">IFERROR(IF(AND(INDEX('Pilot inputs'!$AQ$15:$AQ$44,MATCH(B188,'Pilot inputs'!$B$15:$B$44,0))=1,ISNUMBER($F$12),$F$12&gt;=0,$F$12&lt;1),INDEX('Pilot inputs'!$AL$15:$AL$44,MATCH(B188,'Pilot inputs'!$B$15:$B$44,0)),"Unranked"),"Unranked")</f>
        <v>70</v>
      </c>
      <c r="J188" s="145">
        <f t="array" ref="J188">IFERROR(IF(AND(INDEX('Pilot inputs'!$AQ$15:$AQ$44,MATCH(B188,'Pilot inputs'!$B$15:$B$44,0))=1,ISNUMBER($F$12),$F$12&gt;=0,$F$12&lt;1),INDEX('Pilot inputs'!$AM$15:$AM$44,MATCH(B188,'Pilot inputs'!$B$15:$B$44,0)),"Unranked"),"Unranked")</f>
        <v>0</v>
      </c>
      <c r="K188" s="145">
        <f>IFERROR(__xludf.DUMMYFUNCTION("IFERROR(IF(AND(INDEX('Pilot inputs'!$AQ$15:$AQ$44,MATCH(B188,'Pilot inputs'!$B$15:$B$44,0))=1,ISNUMBER($F$12),$F$12&gt;=0,$F$12&lt;1),(LET(peer_values,FILTER('Pilot inputs'!$O$15:$O$44,'Pilot inputs'!$D$15:$D$44=INDEX('Pilot inputs'!$D$15:$D$44,MATCH(B188,'Pilo"&amp;"t inputs'!$B$15:$B$44,0)),'Pilot inputs'!$B$15:$B$44&lt;&gt;B188,'Pilot inputs'!$AA$15:$AA$44=1),peer_count,ROWS(peer_values),IF(peer_count+1&lt;MAX(3,Rules!$B$12),""Unranked"",100*(SUMPRODUCT(N(peer_values&lt;G188))+SUMPRODUCT(N(peer_values=G188))/2)/peer_count))+IN"&amp;"DEX('Pilot inputs'!$AO$15:$AO$44,MATCH(B188,'Pilot inputs'!$B$15:$B$44,0)))/2,""Unranked""),""Unranked"")"),75.0)</f>
        <v>75</v>
      </c>
      <c r="L188" s="145">
        <f t="shared" si="129"/>
        <v>61.25</v>
      </c>
      <c r="M188" s="145">
        <f>IFERROR(__xludf.DUMMYFUNCTION("IFERROR(IF(ISNUMBER(L188),1+COUNTIF(FILTER($G$15:$G$24,$A$15:$A$24&lt;&gt;B188),""&gt;""&amp;L188)+COUNTIF(FILTER($G$15:$G$24,$A$15:$A$24&lt;&gt;B188),L188)/2,""Unranked""),""Unranked"")"),4.0)</f>
        <v>4</v>
      </c>
      <c r="N188" s="145">
        <f t="shared" si="130"/>
        <v>59</v>
      </c>
      <c r="O188" s="145">
        <f>IFERROR(__xludf.DUMMYFUNCTION("IFERROR(IF(ISNUMBER(N188),1+COUNTIF(FILTER($I$15:$I$24,$A$15:$A$24&lt;&gt;B188),""&gt;""&amp;N188)+COUNTIF(FILTER($I$15:$I$24,$A$15:$A$24&lt;&gt;B188),N188)/2,""Unranked""),""Unranked"")"),5.0)</f>
        <v>5</v>
      </c>
      <c r="P188" s="145">
        <f t="shared" si="131"/>
        <v>61.75</v>
      </c>
      <c r="Q188" s="145">
        <f>IFERROR(__xludf.DUMMYFUNCTION("IFERROR(IF(ISNUMBER(P188),1+COUNTIF(FILTER($K$15:$K$24,$A$15:$A$24&lt;&gt;B188),""&gt;""&amp;P188)+COUNTIF(FILTER($K$15:$K$24,$A$15:$A$24&lt;&gt;B188),P188)/2,""Unranked""),""Unranked"")"),3.0)</f>
        <v>3</v>
      </c>
      <c r="R188" s="145">
        <f t="shared" si="132"/>
        <v>0</v>
      </c>
      <c r="S188" s="145">
        <f t="shared" si="133"/>
        <v>0</v>
      </c>
      <c r="T188" s="145">
        <f t="shared" si="134"/>
        <v>0</v>
      </c>
      <c r="U188" s="93" t="s">
        <v>1717</v>
      </c>
      <c r="V188" s="93" t="s">
        <v>1718</v>
      </c>
      <c r="W188" s="93"/>
      <c r="X188" s="93"/>
    </row>
    <row r="189" ht="24.0" customHeight="1">
      <c r="A189" s="93">
        <v>45.0</v>
      </c>
      <c r="B189" s="93" t="s">
        <v>305</v>
      </c>
      <c r="C189" s="93" t="s">
        <v>307</v>
      </c>
      <c r="D189" s="93" t="s">
        <v>1742</v>
      </c>
      <c r="E189" s="145">
        <v>-1.0</v>
      </c>
      <c r="F189" s="145">
        <f t="array" ref="F189">INDEX('Pilot inputs'!$P$15:$P$44,MATCH(B189,'Pilot inputs'!$B$15:$B$44,0))</f>
        <v>0.2481</v>
      </c>
      <c r="G189" s="145">
        <f t="shared" si="128"/>
        <v>0.235695</v>
      </c>
      <c r="H189" s="145">
        <f t="array" ref="H189">IFERROR(IF(AND(INDEX('Pilot inputs'!$AQ$15:$AQ$44,MATCH(B189,'Pilot inputs'!$B$15:$B$44,0))=1,ISNUMBER($F$12),$F$12&gt;=0,$F$12&lt;1),INDEX('Pilot inputs'!$AG$15:$AG$44,MATCH(B189,'Pilot inputs'!$B$15:$B$44,0)),"Unranked"),"Unranked")</f>
        <v>100</v>
      </c>
      <c r="I189" s="145">
        <f t="array" ref="I189">IFERROR(IF(AND(INDEX('Pilot inputs'!$AQ$15:$AQ$44,MATCH(B189,'Pilot inputs'!$B$15:$B$44,0))=1,ISNUMBER($F$12),$F$12&gt;=0,$F$12&lt;1),INDEX('Pilot inputs'!$AL$15:$AL$44,MATCH(B189,'Pilot inputs'!$B$15:$B$44,0)),"Unranked"),"Unranked")</f>
        <v>70</v>
      </c>
      <c r="J189" s="145">
        <f t="array" ref="J189">IFERROR(IF(AND(INDEX('Pilot inputs'!$AQ$15:$AQ$44,MATCH(B189,'Pilot inputs'!$B$15:$B$44,0))=1,ISNUMBER($F$12),$F$12&gt;=0,$F$12&lt;1),INDEX('Pilot inputs'!$AM$15:$AM$44,MATCH(B189,'Pilot inputs'!$B$15:$B$44,0)),"Unranked"),"Unranked")</f>
        <v>0</v>
      </c>
      <c r="K189" s="145">
        <f>IFERROR(__xludf.DUMMYFUNCTION("IFERROR(IF(AND(INDEX('Pilot inputs'!$AQ$15:$AQ$44,MATCH(B189,'Pilot inputs'!$B$15:$B$44,0))=1,ISNUMBER($F$12),$F$12&gt;=0,$F$12&lt;1),(LET(peer_values,FILTER('Pilot inputs'!$P$15:$P$44,'Pilot inputs'!$D$15:$D$44=INDEX('Pilot inputs'!$D$15:$D$44,MATCH(B189,'Pilo"&amp;"t inputs'!$B$15:$B$44,0)),'Pilot inputs'!$B$15:$B$44&lt;&gt;B189,'Pilot inputs'!$AA$15:$AA$44=1),peer_count,ROWS(peer_values),IF(peer_count+1&lt;MAX(3,Rules!$B$12),""Unranked"",100*(SUMPRODUCT(N(peer_values&lt;G189))+SUMPRODUCT(N(peer_values=G189))/2)/peer_count))+IN"&amp;"DEX('Pilot inputs'!$AN$15:$AN$44,MATCH(B189,'Pilot inputs'!$B$15:$B$44,0)))/2,""Unranked""),""Unranked"")"),75.0)</f>
        <v>75</v>
      </c>
      <c r="L189" s="145">
        <f t="shared" si="129"/>
        <v>61.25</v>
      </c>
      <c r="M189" s="145">
        <f>IFERROR(__xludf.DUMMYFUNCTION("IFERROR(IF(ISNUMBER(L189),1+COUNTIF(FILTER($G$15:$G$24,$A$15:$A$24&lt;&gt;B189),""&gt;""&amp;L189)+COUNTIF(FILTER($G$15:$G$24,$A$15:$A$24&lt;&gt;B189),L189)/2,""Unranked""),""Unranked"")"),4.0)</f>
        <v>4</v>
      </c>
      <c r="N189" s="145">
        <f t="shared" si="130"/>
        <v>59</v>
      </c>
      <c r="O189" s="145">
        <f>IFERROR(__xludf.DUMMYFUNCTION("IFERROR(IF(ISNUMBER(N189),1+COUNTIF(FILTER($I$15:$I$24,$A$15:$A$24&lt;&gt;B189),""&gt;""&amp;N189)+COUNTIF(FILTER($I$15:$I$24,$A$15:$A$24&lt;&gt;B189),N189)/2,""Unranked""),""Unranked"")"),5.0)</f>
        <v>5</v>
      </c>
      <c r="P189" s="145">
        <f t="shared" si="131"/>
        <v>61.75</v>
      </c>
      <c r="Q189" s="145">
        <f>IFERROR(__xludf.DUMMYFUNCTION("IFERROR(IF(ISNUMBER(P189),1+COUNTIF(FILTER($K$15:$K$24,$A$15:$A$24&lt;&gt;B189),""&gt;""&amp;P189)+COUNTIF(FILTER($K$15:$K$24,$A$15:$A$24&lt;&gt;B189),P189)/2,""Unranked""),""Unranked"")"),3.0)</f>
        <v>3</v>
      </c>
      <c r="R189" s="145">
        <f t="shared" si="132"/>
        <v>0</v>
      </c>
      <c r="S189" s="145">
        <f t="shared" si="133"/>
        <v>0</v>
      </c>
      <c r="T189" s="145">
        <f t="shared" si="134"/>
        <v>0</v>
      </c>
      <c r="U189" s="93" t="s">
        <v>1717</v>
      </c>
      <c r="V189" s="93" t="s">
        <v>1718</v>
      </c>
      <c r="W189" s="93"/>
      <c r="X189" s="93"/>
    </row>
    <row r="190" ht="24.0" customHeight="1">
      <c r="A190" s="93">
        <v>46.0</v>
      </c>
      <c r="B190" s="93" t="s">
        <v>305</v>
      </c>
      <c r="C190" s="93" t="s">
        <v>307</v>
      </c>
      <c r="D190" s="93" t="s">
        <v>1742</v>
      </c>
      <c r="E190" s="145">
        <v>1.0</v>
      </c>
      <c r="F190" s="145">
        <f t="array" ref="F190">INDEX('Pilot inputs'!$P$15:$P$44,MATCH(B190,'Pilot inputs'!$B$15:$B$44,0))</f>
        <v>0.2481</v>
      </c>
      <c r="G190" s="145">
        <f t="shared" si="128"/>
        <v>0.260505</v>
      </c>
      <c r="H190" s="145">
        <f t="array" ref="H190">IFERROR(IF(AND(INDEX('Pilot inputs'!$AQ$15:$AQ$44,MATCH(B190,'Pilot inputs'!$B$15:$B$44,0))=1,ISNUMBER($F$12),$F$12&gt;=0,$F$12&lt;1),INDEX('Pilot inputs'!$AG$15:$AG$44,MATCH(B190,'Pilot inputs'!$B$15:$B$44,0)),"Unranked"),"Unranked")</f>
        <v>100</v>
      </c>
      <c r="I190" s="145">
        <f t="array" ref="I190">IFERROR(IF(AND(INDEX('Pilot inputs'!$AQ$15:$AQ$44,MATCH(B190,'Pilot inputs'!$B$15:$B$44,0))=1,ISNUMBER($F$12),$F$12&gt;=0,$F$12&lt;1),INDEX('Pilot inputs'!$AL$15:$AL$44,MATCH(B190,'Pilot inputs'!$B$15:$B$44,0)),"Unranked"),"Unranked")</f>
        <v>70</v>
      </c>
      <c r="J190" s="145">
        <f t="array" ref="J190">IFERROR(IF(AND(INDEX('Pilot inputs'!$AQ$15:$AQ$44,MATCH(B190,'Pilot inputs'!$B$15:$B$44,0))=1,ISNUMBER($F$12),$F$12&gt;=0,$F$12&lt;1),INDEX('Pilot inputs'!$AM$15:$AM$44,MATCH(B190,'Pilot inputs'!$B$15:$B$44,0)),"Unranked"),"Unranked")</f>
        <v>0</v>
      </c>
      <c r="K190" s="145">
        <f>IFERROR(__xludf.DUMMYFUNCTION("IFERROR(IF(AND(INDEX('Pilot inputs'!$AQ$15:$AQ$44,MATCH(B190,'Pilot inputs'!$B$15:$B$44,0))=1,ISNUMBER($F$12),$F$12&gt;=0,$F$12&lt;1),(LET(peer_values,FILTER('Pilot inputs'!$P$15:$P$44,'Pilot inputs'!$D$15:$D$44=INDEX('Pilot inputs'!$D$15:$D$44,MATCH(B190,'Pilo"&amp;"t inputs'!$B$15:$B$44,0)),'Pilot inputs'!$B$15:$B$44&lt;&gt;B190,'Pilot inputs'!$AA$15:$AA$44=1),peer_count,ROWS(peer_values),IF(peer_count+1&lt;MAX(3,Rules!$B$12),""Unranked"",100*(SUMPRODUCT(N(peer_values&lt;G190))+SUMPRODUCT(N(peer_values=G190))/2)/peer_count))+IN"&amp;"DEX('Pilot inputs'!$AN$15:$AN$44,MATCH(B190,'Pilot inputs'!$B$15:$B$44,0)))/2,""Unranked""),""Unranked"")"),75.0)</f>
        <v>75</v>
      </c>
      <c r="L190" s="145">
        <f t="shared" si="129"/>
        <v>61.25</v>
      </c>
      <c r="M190" s="145">
        <f>IFERROR(__xludf.DUMMYFUNCTION("IFERROR(IF(ISNUMBER(L190),1+COUNTIF(FILTER($G$15:$G$24,$A$15:$A$24&lt;&gt;B190),""&gt;""&amp;L190)+COUNTIF(FILTER($G$15:$G$24,$A$15:$A$24&lt;&gt;B190),L190)/2,""Unranked""),""Unranked"")"),4.0)</f>
        <v>4</v>
      </c>
      <c r="N190" s="145">
        <f t="shared" si="130"/>
        <v>59</v>
      </c>
      <c r="O190" s="145">
        <f>IFERROR(__xludf.DUMMYFUNCTION("IFERROR(IF(ISNUMBER(N190),1+COUNTIF(FILTER($I$15:$I$24,$A$15:$A$24&lt;&gt;B190),""&gt;""&amp;N190)+COUNTIF(FILTER($I$15:$I$24,$A$15:$A$24&lt;&gt;B190),N190)/2,""Unranked""),""Unranked"")"),5.0)</f>
        <v>5</v>
      </c>
      <c r="P190" s="145">
        <f t="shared" si="131"/>
        <v>61.75</v>
      </c>
      <c r="Q190" s="145">
        <f>IFERROR(__xludf.DUMMYFUNCTION("IFERROR(IF(ISNUMBER(P190),1+COUNTIF(FILTER($K$15:$K$24,$A$15:$A$24&lt;&gt;B190),""&gt;""&amp;P190)+COUNTIF(FILTER($K$15:$K$24,$A$15:$A$24&lt;&gt;B190),P190)/2,""Unranked""),""Unranked"")"),3.0)</f>
        <v>3</v>
      </c>
      <c r="R190" s="145">
        <f t="shared" si="132"/>
        <v>0</v>
      </c>
      <c r="S190" s="145">
        <f t="shared" si="133"/>
        <v>0</v>
      </c>
      <c r="T190" s="145">
        <f t="shared" si="134"/>
        <v>0</v>
      </c>
      <c r="U190" s="93" t="s">
        <v>1717</v>
      </c>
      <c r="V190" s="93" t="s">
        <v>1718</v>
      </c>
      <c r="W190" s="93"/>
      <c r="X190" s="93"/>
    </row>
    <row r="191" ht="24.0" customHeight="1">
      <c r="A191" s="93">
        <v>47.0</v>
      </c>
      <c r="B191" s="93" t="s">
        <v>305</v>
      </c>
      <c r="C191" s="93" t="s">
        <v>307</v>
      </c>
      <c r="D191" s="93" t="s">
        <v>1743</v>
      </c>
      <c r="E191" s="145">
        <v>-1.0</v>
      </c>
      <c r="F191" s="145">
        <f t="array" ref="F191">INDEX('Pilot inputs'!$R$15:$R$44,MATCH(B191,'Pilot inputs'!$B$15:$B$44,0))</f>
        <v>87.032</v>
      </c>
      <c r="G191" s="145">
        <f t="shared" si="128"/>
        <v>82.6804</v>
      </c>
      <c r="H191" s="145">
        <f t="array" ref="H191">IFERROR(IF(AND(INDEX('Pilot inputs'!$AQ$15:$AQ$44,MATCH(B191,'Pilot inputs'!$B$15:$B$44,0))=1,ISNUMBER($F$12),$F$12&gt;=0,$F$12&lt;1),INDEX('Pilot inputs'!$AG$15:$AG$44,MATCH(B191,'Pilot inputs'!$B$15:$B$44,0)),"Unranked"),"Unranked")</f>
        <v>100</v>
      </c>
      <c r="I191" s="145">
        <f t="array" ref="I191">IFERROR(IF(AND(INDEX('Pilot inputs'!$AQ$15:$AQ$44,MATCH(B191,'Pilot inputs'!$B$15:$B$44,0))=1,ISNUMBER($F$12),$F$12&gt;=0,$F$12&lt;1),INDEX('Pilot inputs'!$AL$15:$AL$44,MATCH(B191,'Pilot inputs'!$B$15:$B$44,0)),"Unranked"),"Unranked")</f>
        <v>70</v>
      </c>
      <c r="J191" s="145">
        <f>IFERROR(__xludf.DUMMYFUNCTION("IFERROR(IF(AND(INDEX('Pilot inputs'!$AQ$15:$AQ$44,MATCH(B191,'Pilot inputs'!$B$15:$B$44,0))=1,ISNUMBER($F$12),$F$12&gt;=0,$F$12&lt;1),LET(peer_values,FILTER('Pilot inputs'!$AB$15:$AB$44,'Pilot inputs'!$D$15:$D$44=INDEX('Pilot inputs'!$D$15:$D$44,MATCH(B191,'Pil"&amp;"ot inputs'!$B$15:$B$44,0)),'Pilot inputs'!$B$15:$B$44&lt;&gt;B191,'Pilot inputs'!$AA$15:$AA$44=1),peer_count,ROWS(peer_values),IF(peer_count+1&lt;MAX(3,Rules!$B$12),""Unranked"",100*(SUMPRODUCT(N(peer_values&lt;((G191/INDEX('Pilot inputs'!$T$15:$T$44,MATCH(B191,'Pilo"&amp;"t inputs'!$B$15:$B$44,0)))^(1/3)-1)))+SUMPRODUCT(N(peer_values=((G191/INDEX('Pilot inputs'!$T$15:$T$44,MATCH(B191,'Pilot inputs'!$B$15:$B$44,0)))^(1/3)-1)))/2)/peer_count)),""Unranked""),""Unranked"")"),0.0)</f>
        <v>0</v>
      </c>
      <c r="K191" s="145">
        <f t="array" ref="K191">IFERROR(IF(AND(INDEX('Pilot inputs'!$AQ$15:$AQ$44,MATCH(B191,'Pilot inputs'!$B$15:$B$44,0))=1,ISNUMBER($F$12),$F$12&gt;=0,$F$12&lt;1),INDEX('Pilot inputs'!$AP$15:$AP$44,MATCH(B191,'Pilot inputs'!$B$15:$B$44,0)),"Unranked"),"Unranked")</f>
        <v>75</v>
      </c>
      <c r="L191" s="145">
        <f t="shared" si="129"/>
        <v>61.25</v>
      </c>
      <c r="M191" s="145">
        <f>IFERROR(__xludf.DUMMYFUNCTION("IFERROR(IF(ISNUMBER(L191),1+COUNTIF(FILTER($G$15:$G$24,$A$15:$A$24&lt;&gt;B191),""&gt;""&amp;L191)+COUNTIF(FILTER($G$15:$G$24,$A$15:$A$24&lt;&gt;B191),L191)/2,""Unranked""),""Unranked"")"),4.0)</f>
        <v>4</v>
      </c>
      <c r="N191" s="145">
        <f t="shared" si="130"/>
        <v>59</v>
      </c>
      <c r="O191" s="145">
        <f>IFERROR(__xludf.DUMMYFUNCTION("IFERROR(IF(ISNUMBER(N191),1+COUNTIF(FILTER($I$15:$I$24,$A$15:$A$24&lt;&gt;B191),""&gt;""&amp;N191)+COUNTIF(FILTER($I$15:$I$24,$A$15:$A$24&lt;&gt;B191),N191)/2,""Unranked""),""Unranked"")"),5.0)</f>
        <v>5</v>
      </c>
      <c r="P191" s="145">
        <f t="shared" si="131"/>
        <v>61.75</v>
      </c>
      <c r="Q191" s="145">
        <f>IFERROR(__xludf.DUMMYFUNCTION("IFERROR(IF(ISNUMBER(P191),1+COUNTIF(FILTER($K$15:$K$24,$A$15:$A$24&lt;&gt;B191),""&gt;""&amp;P191)+COUNTIF(FILTER($K$15:$K$24,$A$15:$A$24&lt;&gt;B191),P191)/2,""Unranked""),""Unranked"")"),3.0)</f>
        <v>3</v>
      </c>
      <c r="R191" s="145">
        <f t="shared" si="132"/>
        <v>0</v>
      </c>
      <c r="S191" s="145">
        <f t="shared" si="133"/>
        <v>0</v>
      </c>
      <c r="T191" s="145">
        <f t="shared" si="134"/>
        <v>0</v>
      </c>
      <c r="U191" s="93" t="s">
        <v>1717</v>
      </c>
      <c r="V191" s="93" t="s">
        <v>1718</v>
      </c>
      <c r="W191" s="93"/>
      <c r="X191" s="93"/>
    </row>
    <row r="192" ht="24.0" customHeight="1">
      <c r="A192" s="93">
        <v>48.0</v>
      </c>
      <c r="B192" s="93" t="s">
        <v>305</v>
      </c>
      <c r="C192" s="93" t="s">
        <v>307</v>
      </c>
      <c r="D192" s="93" t="s">
        <v>1743</v>
      </c>
      <c r="E192" s="145">
        <v>1.0</v>
      </c>
      <c r="F192" s="145">
        <f t="array" ref="F192">INDEX('Pilot inputs'!$R$15:$R$44,MATCH(B192,'Pilot inputs'!$B$15:$B$44,0))</f>
        <v>87.032</v>
      </c>
      <c r="G192" s="145">
        <f t="shared" si="128"/>
        <v>91.3836</v>
      </c>
      <c r="H192" s="145">
        <f t="array" ref="H192">IFERROR(IF(AND(INDEX('Pilot inputs'!$AQ$15:$AQ$44,MATCH(B192,'Pilot inputs'!$B$15:$B$44,0))=1,ISNUMBER($F$12),$F$12&gt;=0,$F$12&lt;1),INDEX('Pilot inputs'!$AG$15:$AG$44,MATCH(B192,'Pilot inputs'!$B$15:$B$44,0)),"Unranked"),"Unranked")</f>
        <v>100</v>
      </c>
      <c r="I192" s="145">
        <f t="array" ref="I192">IFERROR(IF(AND(INDEX('Pilot inputs'!$AQ$15:$AQ$44,MATCH(B192,'Pilot inputs'!$B$15:$B$44,0))=1,ISNUMBER($F$12),$F$12&gt;=0,$F$12&lt;1),INDEX('Pilot inputs'!$AL$15:$AL$44,MATCH(B192,'Pilot inputs'!$B$15:$B$44,0)),"Unranked"),"Unranked")</f>
        <v>70</v>
      </c>
      <c r="J192" s="145">
        <f>IFERROR(__xludf.DUMMYFUNCTION("IFERROR(IF(AND(INDEX('Pilot inputs'!$AQ$15:$AQ$44,MATCH(B192,'Pilot inputs'!$B$15:$B$44,0))=1,ISNUMBER($F$12),$F$12&gt;=0,$F$12&lt;1),LET(peer_values,FILTER('Pilot inputs'!$AB$15:$AB$44,'Pilot inputs'!$D$15:$D$44=INDEX('Pilot inputs'!$D$15:$D$44,MATCH(B192,'Pil"&amp;"ot inputs'!$B$15:$B$44,0)),'Pilot inputs'!$B$15:$B$44&lt;&gt;B192,'Pilot inputs'!$AA$15:$AA$44=1),peer_count,ROWS(peer_values),IF(peer_count+1&lt;MAX(3,Rules!$B$12),""Unranked"",100*(SUMPRODUCT(N(peer_values&lt;((G192/INDEX('Pilot inputs'!$T$15:$T$44,MATCH(B192,'Pilo"&amp;"t inputs'!$B$15:$B$44,0)))^(1/3)-1)))+SUMPRODUCT(N(peer_values=((G192/INDEX('Pilot inputs'!$T$15:$T$44,MATCH(B192,'Pilot inputs'!$B$15:$B$44,0)))^(1/3)-1)))/2)/peer_count)),""Unranked""),""Unranked"")"),0.0)</f>
        <v>0</v>
      </c>
      <c r="K192" s="145">
        <f t="array" ref="K192">IFERROR(IF(AND(INDEX('Pilot inputs'!$AQ$15:$AQ$44,MATCH(B192,'Pilot inputs'!$B$15:$B$44,0))=1,ISNUMBER($F$12),$F$12&gt;=0,$F$12&lt;1),INDEX('Pilot inputs'!$AP$15:$AP$44,MATCH(B192,'Pilot inputs'!$B$15:$B$44,0)),"Unranked"),"Unranked")</f>
        <v>75</v>
      </c>
      <c r="L192" s="145">
        <f t="shared" si="129"/>
        <v>61.25</v>
      </c>
      <c r="M192" s="145">
        <f>IFERROR(__xludf.DUMMYFUNCTION("IFERROR(IF(ISNUMBER(L192),1+COUNTIF(FILTER($G$15:$G$24,$A$15:$A$24&lt;&gt;B192),""&gt;""&amp;L192)+COUNTIF(FILTER($G$15:$G$24,$A$15:$A$24&lt;&gt;B192),L192)/2,""Unranked""),""Unranked"")"),4.0)</f>
        <v>4</v>
      </c>
      <c r="N192" s="145">
        <f t="shared" si="130"/>
        <v>59</v>
      </c>
      <c r="O192" s="145">
        <f>IFERROR(__xludf.DUMMYFUNCTION("IFERROR(IF(ISNUMBER(N192),1+COUNTIF(FILTER($I$15:$I$24,$A$15:$A$24&lt;&gt;B192),""&gt;""&amp;N192)+COUNTIF(FILTER($I$15:$I$24,$A$15:$A$24&lt;&gt;B192),N192)/2,""Unranked""),""Unranked"")"),5.0)</f>
        <v>5</v>
      </c>
      <c r="P192" s="145">
        <f t="shared" si="131"/>
        <v>61.75</v>
      </c>
      <c r="Q192" s="145">
        <f>IFERROR(__xludf.DUMMYFUNCTION("IFERROR(IF(ISNUMBER(P192),1+COUNTIF(FILTER($K$15:$K$24,$A$15:$A$24&lt;&gt;B192),""&gt;""&amp;P192)+COUNTIF(FILTER($K$15:$K$24,$A$15:$A$24&lt;&gt;B192),P192)/2,""Unranked""),""Unranked"")"),3.0)</f>
        <v>3</v>
      </c>
      <c r="R192" s="145">
        <f t="shared" si="132"/>
        <v>0</v>
      </c>
      <c r="S192" s="145">
        <f t="shared" si="133"/>
        <v>0</v>
      </c>
      <c r="T192" s="145">
        <f t="shared" si="134"/>
        <v>0</v>
      </c>
      <c r="U192" s="93" t="s">
        <v>1717</v>
      </c>
      <c r="V192" s="93" t="s">
        <v>1718</v>
      </c>
      <c r="W192" s="93"/>
      <c r="X192" s="93"/>
    </row>
    <row r="193" ht="24.0" customHeight="1">
      <c r="A193" s="93">
        <v>49.0</v>
      </c>
      <c r="B193" s="93" t="s">
        <v>311</v>
      </c>
      <c r="C193" s="93" t="s">
        <v>313</v>
      </c>
      <c r="D193" s="93" t="s">
        <v>68</v>
      </c>
      <c r="E193" s="145">
        <v>-1.0</v>
      </c>
      <c r="F193" s="145">
        <f t="array" ref="F193">INDEX('Pilot inputs'!$F$15:$F$44,MATCH(B193,'Pilot inputs'!$B$15:$B$44,0))</f>
        <v>282.2</v>
      </c>
      <c r="G193" s="145">
        <f t="shared" si="128"/>
        <v>268.09</v>
      </c>
      <c r="H193" s="145">
        <f>IFERROR(__xludf.DUMMYFUNCTION("IFERROR(IF(AND(INDEX('Pilot inputs'!$AQ$15:$AQ$44,MATCH(B193,'Pilot inputs'!$B$15:$B$44,0))=1,ISNUMBER($F$12),$F$12&gt;=0,$F$12&lt;1),(LET(peer_values,FILTER('Pilot inputs'!$F$15:$F$44,'Pilot inputs'!$D$15:$D$44=INDEX('Pilot inputs'!$D$15:$D$44,MATCH(B193,'Pilo"&amp;"t inputs'!$B$15:$B$44,0)),'Pilot inputs'!$B$15:$B$44&lt;&gt;B193,'Pilot inputs'!$AA$15:$AA$44=1),peer_count,ROWS(peer_values),IF(peer_count+1&lt;MAX(3,Rules!$B$12),""Unranked"",100*(SUMPRODUCT(N(peer_values&lt;G193))+SUMPRODUCT(N(peer_values=G193))/2)/peer_count))+IN"&amp;"DEX('Pilot inputs'!$AF$15:$AF$44,MATCH(B193,'Pilot inputs'!$B$15:$B$44,0)))/2,""Unranked""),""Unranked"")"),100.0)</f>
        <v>100</v>
      </c>
      <c r="I193" s="145">
        <f t="array" ref="I193">IFERROR(IF(AND(INDEX('Pilot inputs'!$AQ$15:$AQ$44,MATCH(B193,'Pilot inputs'!$B$15:$B$44,0))=1,ISNUMBER($F$12),$F$12&gt;=0,$F$12&lt;1),INDEX('Pilot inputs'!$AL$15:$AL$44,MATCH(B193,'Pilot inputs'!$B$15:$B$44,0)),"Unranked"),"Unranked")</f>
        <v>15</v>
      </c>
      <c r="J193" s="145">
        <f t="array" ref="J193">IFERROR(IF(AND(INDEX('Pilot inputs'!$AQ$15:$AQ$44,MATCH(B193,'Pilot inputs'!$B$15:$B$44,0))=1,ISNUMBER($F$12),$F$12&gt;=0,$F$12&lt;1),INDEX('Pilot inputs'!$AM$15:$AM$44,MATCH(B193,'Pilot inputs'!$B$15:$B$44,0)),"Unranked"),"Unranked")</f>
        <v>50</v>
      </c>
      <c r="K193" s="145">
        <f t="array" ref="K193">IFERROR(IF(AND(INDEX('Pilot inputs'!$AQ$15:$AQ$44,MATCH(B193,'Pilot inputs'!$B$15:$B$44,0))=1,ISNUMBER($F$12),$F$12&gt;=0,$F$12&lt;1),INDEX('Pilot inputs'!$AP$15:$AP$44,MATCH(B193,'Pilot inputs'!$B$15:$B$44,0)),"Unranked"),"Unranked")</f>
        <v>75</v>
      </c>
      <c r="L193" s="145">
        <f t="shared" si="129"/>
        <v>60</v>
      </c>
      <c r="M193" s="145">
        <f>IFERROR(__xludf.DUMMYFUNCTION("IFERROR(IF(ISNUMBER(L193),1+COUNTIF(FILTER($G$15:$G$24,$A$15:$A$24&lt;&gt;B193),""&gt;""&amp;L193)+COUNTIF(FILTER($G$15:$G$24,$A$15:$A$24&lt;&gt;B193),L193)/2,""Unranked""),""Unranked"")"),5.0)</f>
        <v>5</v>
      </c>
      <c r="N193" s="145">
        <f t="shared" si="130"/>
        <v>60.5</v>
      </c>
      <c r="O193" s="145">
        <f>IFERROR(__xludf.DUMMYFUNCTION("IFERROR(IF(ISNUMBER(N193),1+COUNTIF(FILTER($I$15:$I$24,$A$15:$A$24&lt;&gt;B193),""&gt;""&amp;N193)+COUNTIF(FILTER($I$15:$I$24,$A$15:$A$24&lt;&gt;B193),N193)/2,""Unranked""),""Unranked"")"),4.0)</f>
        <v>4</v>
      </c>
      <c r="P193" s="145">
        <f t="shared" si="131"/>
        <v>49.75</v>
      </c>
      <c r="Q193" s="145">
        <f>IFERROR(__xludf.DUMMYFUNCTION("IFERROR(IF(ISNUMBER(P193),1+COUNTIF(FILTER($K$15:$K$24,$A$15:$A$24&lt;&gt;B193),""&gt;""&amp;P193)+COUNTIF(FILTER($K$15:$K$24,$A$15:$A$24&lt;&gt;B193),P193)/2,""Unranked""),""Unranked"")"),6.0)</f>
        <v>6</v>
      </c>
      <c r="R193" s="145">
        <f t="shared" si="132"/>
        <v>0</v>
      </c>
      <c r="S193" s="145">
        <f t="shared" si="133"/>
        <v>0</v>
      </c>
      <c r="T193" s="145">
        <f t="shared" si="134"/>
        <v>0</v>
      </c>
      <c r="U193" s="93" t="s">
        <v>1717</v>
      </c>
      <c r="V193" s="93" t="s">
        <v>1718</v>
      </c>
      <c r="W193" s="93"/>
      <c r="X193" s="93"/>
    </row>
    <row r="194" ht="24.0" customHeight="1">
      <c r="A194" s="93">
        <v>50.0</v>
      </c>
      <c r="B194" s="93" t="s">
        <v>311</v>
      </c>
      <c r="C194" s="93" t="s">
        <v>313</v>
      </c>
      <c r="D194" s="93" t="s">
        <v>68</v>
      </c>
      <c r="E194" s="145">
        <v>1.0</v>
      </c>
      <c r="F194" s="145">
        <f t="array" ref="F194">INDEX('Pilot inputs'!$F$15:$F$44,MATCH(B194,'Pilot inputs'!$B$15:$B$44,0))</f>
        <v>282.2</v>
      </c>
      <c r="G194" s="145">
        <f t="shared" si="128"/>
        <v>296.31</v>
      </c>
      <c r="H194" s="145">
        <f>IFERROR(__xludf.DUMMYFUNCTION("IFERROR(IF(AND(INDEX('Pilot inputs'!$AQ$15:$AQ$44,MATCH(B194,'Pilot inputs'!$B$15:$B$44,0))=1,ISNUMBER($F$12),$F$12&gt;=0,$F$12&lt;1),(LET(peer_values,FILTER('Pilot inputs'!$F$15:$F$44,'Pilot inputs'!$D$15:$D$44=INDEX('Pilot inputs'!$D$15:$D$44,MATCH(B194,'Pilo"&amp;"t inputs'!$B$15:$B$44,0)),'Pilot inputs'!$B$15:$B$44&lt;&gt;B194,'Pilot inputs'!$AA$15:$AA$44=1),peer_count,ROWS(peer_values),IF(peer_count+1&lt;MAX(3,Rules!$B$12),""Unranked"",100*(SUMPRODUCT(N(peer_values&lt;G194))+SUMPRODUCT(N(peer_values=G194))/2)/peer_count))+IN"&amp;"DEX('Pilot inputs'!$AF$15:$AF$44,MATCH(B194,'Pilot inputs'!$B$15:$B$44,0)))/2,""Unranked""),""Unranked"")"),100.0)</f>
        <v>100</v>
      </c>
      <c r="I194" s="145">
        <f t="array" ref="I194">IFERROR(IF(AND(INDEX('Pilot inputs'!$AQ$15:$AQ$44,MATCH(B194,'Pilot inputs'!$B$15:$B$44,0))=1,ISNUMBER($F$12),$F$12&gt;=0,$F$12&lt;1),INDEX('Pilot inputs'!$AL$15:$AL$44,MATCH(B194,'Pilot inputs'!$B$15:$B$44,0)),"Unranked"),"Unranked")</f>
        <v>15</v>
      </c>
      <c r="J194" s="145">
        <f t="array" ref="J194">IFERROR(IF(AND(INDEX('Pilot inputs'!$AQ$15:$AQ$44,MATCH(B194,'Pilot inputs'!$B$15:$B$44,0))=1,ISNUMBER($F$12),$F$12&gt;=0,$F$12&lt;1),INDEX('Pilot inputs'!$AM$15:$AM$44,MATCH(B194,'Pilot inputs'!$B$15:$B$44,0)),"Unranked"),"Unranked")</f>
        <v>50</v>
      </c>
      <c r="K194" s="145">
        <f t="array" ref="K194">IFERROR(IF(AND(INDEX('Pilot inputs'!$AQ$15:$AQ$44,MATCH(B194,'Pilot inputs'!$B$15:$B$44,0))=1,ISNUMBER($F$12),$F$12&gt;=0,$F$12&lt;1),INDEX('Pilot inputs'!$AP$15:$AP$44,MATCH(B194,'Pilot inputs'!$B$15:$B$44,0)),"Unranked"),"Unranked")</f>
        <v>75</v>
      </c>
      <c r="L194" s="145">
        <f t="shared" si="129"/>
        <v>60</v>
      </c>
      <c r="M194" s="145">
        <f>IFERROR(__xludf.DUMMYFUNCTION("IFERROR(IF(ISNUMBER(L194),1+COUNTIF(FILTER($G$15:$G$24,$A$15:$A$24&lt;&gt;B194),""&gt;""&amp;L194)+COUNTIF(FILTER($G$15:$G$24,$A$15:$A$24&lt;&gt;B194),L194)/2,""Unranked""),""Unranked"")"),5.0)</f>
        <v>5</v>
      </c>
      <c r="N194" s="145">
        <f t="shared" si="130"/>
        <v>60.5</v>
      </c>
      <c r="O194" s="145">
        <f>IFERROR(__xludf.DUMMYFUNCTION("IFERROR(IF(ISNUMBER(N194),1+COUNTIF(FILTER($I$15:$I$24,$A$15:$A$24&lt;&gt;B194),""&gt;""&amp;N194)+COUNTIF(FILTER($I$15:$I$24,$A$15:$A$24&lt;&gt;B194),N194)/2,""Unranked""),""Unranked"")"),4.0)</f>
        <v>4</v>
      </c>
      <c r="P194" s="145">
        <f t="shared" si="131"/>
        <v>49.75</v>
      </c>
      <c r="Q194" s="145">
        <f>IFERROR(__xludf.DUMMYFUNCTION("IFERROR(IF(ISNUMBER(P194),1+COUNTIF(FILTER($K$15:$K$24,$A$15:$A$24&lt;&gt;B194),""&gt;""&amp;P194)+COUNTIF(FILTER($K$15:$K$24,$A$15:$A$24&lt;&gt;B194),P194)/2,""Unranked""),""Unranked"")"),6.0)</f>
        <v>6</v>
      </c>
      <c r="R194" s="145">
        <f t="shared" si="132"/>
        <v>0</v>
      </c>
      <c r="S194" s="145">
        <f t="shared" si="133"/>
        <v>0</v>
      </c>
      <c r="T194" s="145">
        <f t="shared" si="134"/>
        <v>0</v>
      </c>
      <c r="U194" s="93" t="s">
        <v>1717</v>
      </c>
      <c r="V194" s="93" t="s">
        <v>1718</v>
      </c>
      <c r="W194" s="93"/>
      <c r="X194" s="93"/>
    </row>
    <row r="195" ht="24.0" customHeight="1">
      <c r="A195" s="93">
        <v>51.0</v>
      </c>
      <c r="B195" s="93" t="s">
        <v>311</v>
      </c>
      <c r="C195" s="93" t="s">
        <v>313</v>
      </c>
      <c r="D195" s="93" t="s">
        <v>1720</v>
      </c>
      <c r="E195" s="145">
        <v>-1.0</v>
      </c>
      <c r="F195" s="145">
        <f t="array" ref="F195">INDEX('Pilot inputs'!$H$15:$H$44,MATCH(B195,'Pilot inputs'!$B$15:$B$44,0))</f>
        <v>169.176</v>
      </c>
      <c r="G195" s="145">
        <f t="shared" si="128"/>
        <v>160.7172</v>
      </c>
      <c r="H195" s="145">
        <f>IFERROR(__xludf.DUMMYFUNCTION("IFERROR(IF(AND(INDEX('Pilot inputs'!$AQ$15:$AQ$44,MATCH(B195,'Pilot inputs'!$B$15:$B$44,0))=1,ISNUMBER($F$12),$F$12&gt;=0,$F$12&lt;1),(LET(peer_values,FILTER('Pilot inputs'!$H$15:$H$44,'Pilot inputs'!$D$15:$D$44=INDEX('Pilot inputs'!$D$15:$D$44,MATCH(B195,'Pilo"&amp;"t inputs'!$B$15:$B$44,0)),'Pilot inputs'!$B$15:$B$44&lt;&gt;B195,'Pilot inputs'!$AA$15:$AA$44=1),peer_count,ROWS(peer_values),IF(peer_count+1&lt;MAX(3,Rules!$B$12),""Unranked"",100*(SUMPRODUCT(N(peer_values&lt;G195))+SUMPRODUCT(N(peer_values=G195))/2)/peer_count))+IN"&amp;"DEX('Pilot inputs'!$AE$15:$AE$44,MATCH(B195,'Pilot inputs'!$B$15:$B$44,0)))/2,""Unranked""),""Unranked"")"),100.0)</f>
        <v>100</v>
      </c>
      <c r="I195" s="145">
        <f t="array" ref="I195">IFERROR(IF(AND(INDEX('Pilot inputs'!$AQ$15:$AQ$44,MATCH(B195,'Pilot inputs'!$B$15:$B$44,0))=1,ISNUMBER($F$12),$F$12&gt;=0,$F$12&lt;1),INDEX('Pilot inputs'!$AL$15:$AL$44,MATCH(B195,'Pilot inputs'!$B$15:$B$44,0)),"Unranked"),"Unranked")</f>
        <v>15</v>
      </c>
      <c r="J195" s="145">
        <f t="array" ref="J195">IFERROR(IF(AND(INDEX('Pilot inputs'!$AQ$15:$AQ$44,MATCH(B195,'Pilot inputs'!$B$15:$B$44,0))=1,ISNUMBER($F$12),$F$12&gt;=0,$F$12&lt;1),INDEX('Pilot inputs'!$AM$15:$AM$44,MATCH(B195,'Pilot inputs'!$B$15:$B$44,0)),"Unranked"),"Unranked")</f>
        <v>50</v>
      </c>
      <c r="K195" s="145">
        <f t="array" ref="K195">IFERROR(IF(AND(INDEX('Pilot inputs'!$AQ$15:$AQ$44,MATCH(B195,'Pilot inputs'!$B$15:$B$44,0))=1,ISNUMBER($F$12),$F$12&gt;=0,$F$12&lt;1),INDEX('Pilot inputs'!$AP$15:$AP$44,MATCH(B195,'Pilot inputs'!$B$15:$B$44,0)),"Unranked"),"Unranked")</f>
        <v>75</v>
      </c>
      <c r="L195" s="145">
        <f t="shared" si="129"/>
        <v>60</v>
      </c>
      <c r="M195" s="145">
        <f>IFERROR(__xludf.DUMMYFUNCTION("IFERROR(IF(ISNUMBER(L195),1+COUNTIF(FILTER($G$15:$G$24,$A$15:$A$24&lt;&gt;B195),""&gt;""&amp;L195)+COUNTIF(FILTER($G$15:$G$24,$A$15:$A$24&lt;&gt;B195),L195)/2,""Unranked""),""Unranked"")"),5.0)</f>
        <v>5</v>
      </c>
      <c r="N195" s="145">
        <f t="shared" si="130"/>
        <v>60.5</v>
      </c>
      <c r="O195" s="145">
        <f>IFERROR(__xludf.DUMMYFUNCTION("IFERROR(IF(ISNUMBER(N195),1+COUNTIF(FILTER($I$15:$I$24,$A$15:$A$24&lt;&gt;B195),""&gt;""&amp;N195)+COUNTIF(FILTER($I$15:$I$24,$A$15:$A$24&lt;&gt;B195),N195)/2,""Unranked""),""Unranked"")"),4.0)</f>
        <v>4</v>
      </c>
      <c r="P195" s="145">
        <f t="shared" si="131"/>
        <v>49.75</v>
      </c>
      <c r="Q195" s="145">
        <f>IFERROR(__xludf.DUMMYFUNCTION("IFERROR(IF(ISNUMBER(P195),1+COUNTIF(FILTER($K$15:$K$24,$A$15:$A$24&lt;&gt;B195),""&gt;""&amp;P195)+COUNTIF(FILTER($K$15:$K$24,$A$15:$A$24&lt;&gt;B195),P195)/2,""Unranked""),""Unranked"")"),6.0)</f>
        <v>6</v>
      </c>
      <c r="R195" s="145">
        <f t="shared" si="132"/>
        <v>0</v>
      </c>
      <c r="S195" s="145">
        <f t="shared" si="133"/>
        <v>0</v>
      </c>
      <c r="T195" s="145">
        <f t="shared" si="134"/>
        <v>0</v>
      </c>
      <c r="U195" s="93" t="s">
        <v>1717</v>
      </c>
      <c r="V195" s="93" t="s">
        <v>1718</v>
      </c>
      <c r="W195" s="93"/>
      <c r="X195" s="93"/>
    </row>
    <row r="196" ht="24.0" customHeight="1">
      <c r="A196" s="93">
        <v>52.0</v>
      </c>
      <c r="B196" s="93" t="s">
        <v>311</v>
      </c>
      <c r="C196" s="93" t="s">
        <v>313</v>
      </c>
      <c r="D196" s="93" t="s">
        <v>1720</v>
      </c>
      <c r="E196" s="145">
        <v>1.0</v>
      </c>
      <c r="F196" s="145">
        <f t="array" ref="F196">INDEX('Pilot inputs'!$H$15:$H$44,MATCH(B196,'Pilot inputs'!$B$15:$B$44,0))</f>
        <v>169.176</v>
      </c>
      <c r="G196" s="145">
        <f t="shared" si="128"/>
        <v>177.6348</v>
      </c>
      <c r="H196" s="145">
        <f>IFERROR(__xludf.DUMMYFUNCTION("IFERROR(IF(AND(INDEX('Pilot inputs'!$AQ$15:$AQ$44,MATCH(B196,'Pilot inputs'!$B$15:$B$44,0))=1,ISNUMBER($F$12),$F$12&gt;=0,$F$12&lt;1),(LET(peer_values,FILTER('Pilot inputs'!$H$15:$H$44,'Pilot inputs'!$D$15:$D$44=INDEX('Pilot inputs'!$D$15:$D$44,MATCH(B196,'Pilo"&amp;"t inputs'!$B$15:$B$44,0)),'Pilot inputs'!$B$15:$B$44&lt;&gt;B196,'Pilot inputs'!$AA$15:$AA$44=1),peer_count,ROWS(peer_values),IF(peer_count+1&lt;MAX(3,Rules!$B$12),""Unranked"",100*(SUMPRODUCT(N(peer_values&lt;G196))+SUMPRODUCT(N(peer_values=G196))/2)/peer_count))+IN"&amp;"DEX('Pilot inputs'!$AE$15:$AE$44,MATCH(B196,'Pilot inputs'!$B$15:$B$44,0)))/2,""Unranked""),""Unranked"")"),100.0)</f>
        <v>100</v>
      </c>
      <c r="I196" s="145">
        <f t="array" ref="I196">IFERROR(IF(AND(INDEX('Pilot inputs'!$AQ$15:$AQ$44,MATCH(B196,'Pilot inputs'!$B$15:$B$44,0))=1,ISNUMBER($F$12),$F$12&gt;=0,$F$12&lt;1),INDEX('Pilot inputs'!$AL$15:$AL$44,MATCH(B196,'Pilot inputs'!$B$15:$B$44,0)),"Unranked"),"Unranked")</f>
        <v>15</v>
      </c>
      <c r="J196" s="145">
        <f t="array" ref="J196">IFERROR(IF(AND(INDEX('Pilot inputs'!$AQ$15:$AQ$44,MATCH(B196,'Pilot inputs'!$B$15:$B$44,0))=1,ISNUMBER($F$12),$F$12&gt;=0,$F$12&lt;1),INDEX('Pilot inputs'!$AM$15:$AM$44,MATCH(B196,'Pilot inputs'!$B$15:$B$44,0)),"Unranked"),"Unranked")</f>
        <v>50</v>
      </c>
      <c r="K196" s="145">
        <f t="array" ref="K196">IFERROR(IF(AND(INDEX('Pilot inputs'!$AQ$15:$AQ$44,MATCH(B196,'Pilot inputs'!$B$15:$B$44,0))=1,ISNUMBER($F$12),$F$12&gt;=0,$F$12&lt;1),INDEX('Pilot inputs'!$AP$15:$AP$44,MATCH(B196,'Pilot inputs'!$B$15:$B$44,0)),"Unranked"),"Unranked")</f>
        <v>75</v>
      </c>
      <c r="L196" s="145">
        <f t="shared" si="129"/>
        <v>60</v>
      </c>
      <c r="M196" s="145">
        <f>IFERROR(__xludf.DUMMYFUNCTION("IFERROR(IF(ISNUMBER(L196),1+COUNTIF(FILTER($G$15:$G$24,$A$15:$A$24&lt;&gt;B196),""&gt;""&amp;L196)+COUNTIF(FILTER($G$15:$G$24,$A$15:$A$24&lt;&gt;B196),L196)/2,""Unranked""),""Unranked"")"),5.0)</f>
        <v>5</v>
      </c>
      <c r="N196" s="145">
        <f t="shared" si="130"/>
        <v>60.5</v>
      </c>
      <c r="O196" s="145">
        <f>IFERROR(__xludf.DUMMYFUNCTION("IFERROR(IF(ISNUMBER(N196),1+COUNTIF(FILTER($I$15:$I$24,$A$15:$A$24&lt;&gt;B196),""&gt;""&amp;N196)+COUNTIF(FILTER($I$15:$I$24,$A$15:$A$24&lt;&gt;B196),N196)/2,""Unranked""),""Unranked"")"),4.0)</f>
        <v>4</v>
      </c>
      <c r="P196" s="145">
        <f t="shared" si="131"/>
        <v>49.75</v>
      </c>
      <c r="Q196" s="145">
        <f>IFERROR(__xludf.DUMMYFUNCTION("IFERROR(IF(ISNUMBER(P196),1+COUNTIF(FILTER($K$15:$K$24,$A$15:$A$24&lt;&gt;B196),""&gt;""&amp;P196)+COUNTIF(FILTER($K$15:$K$24,$A$15:$A$24&lt;&gt;B196),P196)/2,""Unranked""),""Unranked"")"),6.0)</f>
        <v>6</v>
      </c>
      <c r="R196" s="145">
        <f t="shared" si="132"/>
        <v>0</v>
      </c>
      <c r="S196" s="145">
        <f t="shared" si="133"/>
        <v>0</v>
      </c>
      <c r="T196" s="145">
        <f t="shared" si="134"/>
        <v>0</v>
      </c>
      <c r="U196" s="93" t="s">
        <v>1717</v>
      </c>
      <c r="V196" s="93" t="s">
        <v>1718</v>
      </c>
      <c r="W196" s="93"/>
      <c r="X196" s="93"/>
    </row>
    <row r="197" ht="24.0" customHeight="1">
      <c r="A197" s="93">
        <v>53.0</v>
      </c>
      <c r="B197" s="93" t="s">
        <v>311</v>
      </c>
      <c r="C197" s="93" t="s">
        <v>313</v>
      </c>
      <c r="D197" s="93" t="s">
        <v>1230</v>
      </c>
      <c r="E197" s="145">
        <v>-1.0</v>
      </c>
      <c r="F197" s="145">
        <f t="array" ref="F197">INDEX('Pilot inputs'!$K$15:$K$44,MATCH(B197,'Pilot inputs'!$B$15:$B$44,0))</f>
        <v>19.79</v>
      </c>
      <c r="G197" s="145">
        <f t="shared" si="128"/>
        <v>18.8005</v>
      </c>
      <c r="H197" s="145">
        <f t="array" ref="H197">IFERROR(IF(AND(INDEX('Pilot inputs'!$AQ$15:$AQ$44,MATCH(B197,'Pilot inputs'!$B$15:$B$44,0))=1,ISNUMBER($F$12),$F$12&gt;=0,$F$12&lt;1),INDEX('Pilot inputs'!$AG$15:$AG$44,MATCH(B197,'Pilot inputs'!$B$15:$B$44,0)),"Unranked"),"Unranked")</f>
        <v>100</v>
      </c>
      <c r="I197" s="145">
        <f>IFERROR(__xludf.DUMMYFUNCTION("IFERROR(IF(AND(INDEX('Pilot inputs'!$AQ$15:$AQ$44,MATCH(B197,'Pilot inputs'!$B$15:$B$44,0))=1,ISNUMBER($F$12),$F$12&gt;=0,$F$12&lt;1),INDEX('Pilot inputs'!$AL$15:$AL$44,MATCH(B197,'Pilot inputs'!$B$15:$B$44,0))+IF(C197=""Utilities"",0.4,0.35)*((100-LET(peer_val"&amp;"ues,FILTER('Pilot inputs'!$K$15:$K$44,'Pilot inputs'!$D$15:$D$44=INDEX('Pilot inputs'!$D$15:$D$44,MATCH(B197,'Pilot inputs'!$B$15:$B$44,0)),'Pilot inputs'!$B$15:$B$44&lt;&gt;B197,'Pilot inputs'!$AA$15:$AA$44=1),peer_count,ROWS(peer_values),IF(peer_count+1&lt;MAX(3"&amp;",Rules!$B$12),""Unranked"",100*(SUMPRODUCT(N(peer_values&lt;G197))+SUMPRODUCT(N(peer_values=G197))/2)/peer_count)))-INDEX('Pilot inputs'!$AH$15:$AH$44,MATCH(B197,'Pilot inputs'!$B$15:$B$44,0))),""Unranked""),""Unranked"")"),15.0)</f>
        <v>15</v>
      </c>
      <c r="J197" s="145">
        <f t="array" ref="J197">IFERROR(IF(AND(INDEX('Pilot inputs'!$AQ$15:$AQ$44,MATCH(B197,'Pilot inputs'!$B$15:$B$44,0))=1,ISNUMBER($F$12),$F$12&gt;=0,$F$12&lt;1),INDEX('Pilot inputs'!$AM$15:$AM$44,MATCH(B197,'Pilot inputs'!$B$15:$B$44,0)),"Unranked"),"Unranked")</f>
        <v>50</v>
      </c>
      <c r="K197" s="145">
        <f t="array" ref="K197">IFERROR(IF(AND(INDEX('Pilot inputs'!$AQ$15:$AQ$44,MATCH(B197,'Pilot inputs'!$B$15:$B$44,0))=1,ISNUMBER($F$12),$F$12&gt;=0,$F$12&lt;1),INDEX('Pilot inputs'!$AP$15:$AP$44,MATCH(B197,'Pilot inputs'!$B$15:$B$44,0)),"Unranked"),"Unranked")</f>
        <v>75</v>
      </c>
      <c r="L197" s="145">
        <f t="shared" si="129"/>
        <v>60</v>
      </c>
      <c r="M197" s="145">
        <f>IFERROR(__xludf.DUMMYFUNCTION("IFERROR(IF(ISNUMBER(L197),1+COUNTIF(FILTER($G$15:$G$24,$A$15:$A$24&lt;&gt;B197),""&gt;""&amp;L197)+COUNTIF(FILTER($G$15:$G$24,$A$15:$A$24&lt;&gt;B197),L197)/2,""Unranked""),""Unranked"")"),5.0)</f>
        <v>5</v>
      </c>
      <c r="N197" s="145">
        <f t="shared" si="130"/>
        <v>60.5</v>
      </c>
      <c r="O197" s="145">
        <f>IFERROR(__xludf.DUMMYFUNCTION("IFERROR(IF(ISNUMBER(N197),1+COUNTIF(FILTER($I$15:$I$24,$A$15:$A$24&lt;&gt;B197),""&gt;""&amp;N197)+COUNTIF(FILTER($I$15:$I$24,$A$15:$A$24&lt;&gt;B197),N197)/2,""Unranked""),""Unranked"")"),4.0)</f>
        <v>4</v>
      </c>
      <c r="P197" s="145">
        <f t="shared" si="131"/>
        <v>49.75</v>
      </c>
      <c r="Q197" s="145">
        <f>IFERROR(__xludf.DUMMYFUNCTION("IFERROR(IF(ISNUMBER(P197),1+COUNTIF(FILTER($K$15:$K$24,$A$15:$A$24&lt;&gt;B197),""&gt;""&amp;P197)+COUNTIF(FILTER($K$15:$K$24,$A$15:$A$24&lt;&gt;B197),P197)/2,""Unranked""),""Unranked"")"),6.0)</f>
        <v>6</v>
      </c>
      <c r="R197" s="145">
        <f t="shared" si="132"/>
        <v>0</v>
      </c>
      <c r="S197" s="145">
        <f t="shared" si="133"/>
        <v>0</v>
      </c>
      <c r="T197" s="145">
        <f t="shared" si="134"/>
        <v>0</v>
      </c>
      <c r="U197" s="93" t="s">
        <v>1717</v>
      </c>
      <c r="V197" s="93" t="s">
        <v>1718</v>
      </c>
      <c r="W197" s="93"/>
      <c r="X197" s="93"/>
    </row>
    <row r="198" ht="24.0" customHeight="1">
      <c r="A198" s="93">
        <v>54.0</v>
      </c>
      <c r="B198" s="93" t="s">
        <v>311</v>
      </c>
      <c r="C198" s="93" t="s">
        <v>313</v>
      </c>
      <c r="D198" s="93" t="s">
        <v>1230</v>
      </c>
      <c r="E198" s="145">
        <v>1.0</v>
      </c>
      <c r="F198" s="145">
        <f t="array" ref="F198">INDEX('Pilot inputs'!$K$15:$K$44,MATCH(B198,'Pilot inputs'!$B$15:$B$44,0))</f>
        <v>19.79</v>
      </c>
      <c r="G198" s="145">
        <f t="shared" si="128"/>
        <v>20.7795</v>
      </c>
      <c r="H198" s="145">
        <f t="array" ref="H198">IFERROR(IF(AND(INDEX('Pilot inputs'!$AQ$15:$AQ$44,MATCH(B198,'Pilot inputs'!$B$15:$B$44,0))=1,ISNUMBER($F$12),$F$12&gt;=0,$F$12&lt;1),INDEX('Pilot inputs'!$AG$15:$AG$44,MATCH(B198,'Pilot inputs'!$B$15:$B$44,0)),"Unranked"),"Unranked")</f>
        <v>100</v>
      </c>
      <c r="I198" s="145">
        <f>IFERROR(__xludf.DUMMYFUNCTION("IFERROR(IF(AND(INDEX('Pilot inputs'!$AQ$15:$AQ$44,MATCH(B198,'Pilot inputs'!$B$15:$B$44,0))=1,ISNUMBER($F$12),$F$12&gt;=0,$F$12&lt;1),INDEX('Pilot inputs'!$AL$15:$AL$44,MATCH(B198,'Pilot inputs'!$B$15:$B$44,0))+IF(C198=""Utilities"",0.4,0.35)*((100-LET(peer_val"&amp;"ues,FILTER('Pilot inputs'!$K$15:$K$44,'Pilot inputs'!$D$15:$D$44=INDEX('Pilot inputs'!$D$15:$D$44,MATCH(B198,'Pilot inputs'!$B$15:$B$44,0)),'Pilot inputs'!$B$15:$B$44&lt;&gt;B198,'Pilot inputs'!$AA$15:$AA$44=1),peer_count,ROWS(peer_values),IF(peer_count+1&lt;MAX(3"&amp;",Rules!$B$12),""Unranked"",100*(SUMPRODUCT(N(peer_values&lt;G198))+SUMPRODUCT(N(peer_values=G198))/2)/peer_count)))-INDEX('Pilot inputs'!$AH$15:$AH$44,MATCH(B198,'Pilot inputs'!$B$15:$B$44,0))),""Unranked""),""Unranked"")"),15.0)</f>
        <v>15</v>
      </c>
      <c r="J198" s="145">
        <f t="array" ref="J198">IFERROR(IF(AND(INDEX('Pilot inputs'!$AQ$15:$AQ$44,MATCH(B198,'Pilot inputs'!$B$15:$B$44,0))=1,ISNUMBER($F$12),$F$12&gt;=0,$F$12&lt;1),INDEX('Pilot inputs'!$AM$15:$AM$44,MATCH(B198,'Pilot inputs'!$B$15:$B$44,0)),"Unranked"),"Unranked")</f>
        <v>50</v>
      </c>
      <c r="K198" s="145">
        <f t="array" ref="K198">IFERROR(IF(AND(INDEX('Pilot inputs'!$AQ$15:$AQ$44,MATCH(B198,'Pilot inputs'!$B$15:$B$44,0))=1,ISNUMBER($F$12),$F$12&gt;=0,$F$12&lt;1),INDEX('Pilot inputs'!$AP$15:$AP$44,MATCH(B198,'Pilot inputs'!$B$15:$B$44,0)),"Unranked"),"Unranked")</f>
        <v>75</v>
      </c>
      <c r="L198" s="145">
        <f t="shared" si="129"/>
        <v>60</v>
      </c>
      <c r="M198" s="145">
        <f>IFERROR(__xludf.DUMMYFUNCTION("IFERROR(IF(ISNUMBER(L198),1+COUNTIF(FILTER($G$15:$G$24,$A$15:$A$24&lt;&gt;B198),""&gt;""&amp;L198)+COUNTIF(FILTER($G$15:$G$24,$A$15:$A$24&lt;&gt;B198),L198)/2,""Unranked""),""Unranked"")"),5.0)</f>
        <v>5</v>
      </c>
      <c r="N198" s="145">
        <f t="shared" si="130"/>
        <v>60.5</v>
      </c>
      <c r="O198" s="145">
        <f>IFERROR(__xludf.DUMMYFUNCTION("IFERROR(IF(ISNUMBER(N198),1+COUNTIF(FILTER($I$15:$I$24,$A$15:$A$24&lt;&gt;B198),""&gt;""&amp;N198)+COUNTIF(FILTER($I$15:$I$24,$A$15:$A$24&lt;&gt;B198),N198)/2,""Unranked""),""Unranked"")"),4.0)</f>
        <v>4</v>
      </c>
      <c r="P198" s="145">
        <f t="shared" si="131"/>
        <v>49.75</v>
      </c>
      <c r="Q198" s="145">
        <f>IFERROR(__xludf.DUMMYFUNCTION("IFERROR(IF(ISNUMBER(P198),1+COUNTIF(FILTER($K$15:$K$24,$A$15:$A$24&lt;&gt;B198),""&gt;""&amp;P198)+COUNTIF(FILTER($K$15:$K$24,$A$15:$A$24&lt;&gt;B198),P198)/2,""Unranked""),""Unranked"")"),6.0)</f>
        <v>6</v>
      </c>
      <c r="R198" s="145">
        <f t="shared" si="132"/>
        <v>0</v>
      </c>
      <c r="S198" s="145">
        <f t="shared" si="133"/>
        <v>0</v>
      </c>
      <c r="T198" s="145">
        <f t="shared" si="134"/>
        <v>0</v>
      </c>
      <c r="U198" s="93" t="s">
        <v>1717</v>
      </c>
      <c r="V198" s="93" t="s">
        <v>1718</v>
      </c>
      <c r="W198" s="93"/>
      <c r="X198" s="93"/>
    </row>
    <row r="199" ht="24.0" customHeight="1">
      <c r="A199" s="93">
        <v>55.0</v>
      </c>
      <c r="B199" s="93" t="s">
        <v>311</v>
      </c>
      <c r="C199" s="93" t="s">
        <v>313</v>
      </c>
      <c r="D199" s="93" t="s">
        <v>1740</v>
      </c>
      <c r="E199" s="145">
        <v>-1.0</v>
      </c>
      <c r="F199" s="145">
        <f t="array" ref="F199">INDEX('Pilot inputs'!$L$15:$L$44,MATCH(B199,'Pilot inputs'!$B$15:$B$44,0))</f>
        <v>13.93</v>
      </c>
      <c r="G199" s="145">
        <f t="shared" si="128"/>
        <v>13.2335</v>
      </c>
      <c r="H199" s="145">
        <f t="array" ref="H199">IFERROR(IF(AND(INDEX('Pilot inputs'!$AQ$15:$AQ$44,MATCH(B199,'Pilot inputs'!$B$15:$B$44,0))=1,ISNUMBER($F$12),$F$12&gt;=0,$F$12&lt;1),INDEX('Pilot inputs'!$AG$15:$AG$44,MATCH(B199,'Pilot inputs'!$B$15:$B$44,0)),"Unranked"),"Unranked")</f>
        <v>100</v>
      </c>
      <c r="I199" s="145">
        <f>IFERROR(__xludf.DUMMYFUNCTION("IFERROR(IF(AND(INDEX('Pilot inputs'!$AQ$15:$AQ$44,MATCH(B199,'Pilot inputs'!$B$15:$B$44,0))=1,ISNUMBER($F$12),$F$12&gt;=0,$F$12&lt;1),INDEX('Pilot inputs'!$AL$15:$AL$44,MATCH(B199,'Pilot inputs'!$B$15:$B$44,0))+IF(C199=""Utilities"",0.4,0.35)*((100-LET(peer_val"&amp;"ues,FILTER('Pilot inputs'!$L$15:$L$44,'Pilot inputs'!$D$15:$D$44=INDEX('Pilot inputs'!$D$15:$D$44,MATCH(B199,'Pilot inputs'!$B$15:$B$44,0)),'Pilot inputs'!$B$15:$B$44&lt;&gt;B199,'Pilot inputs'!$AA$15:$AA$44=1),peer_count,ROWS(peer_values),IF(peer_count+1&lt;MAX(3"&amp;",Rules!$B$12),""Unranked"",100*(SUMPRODUCT(N(peer_values&lt;G199))+SUMPRODUCT(N(peer_values=G199))/2)/peer_count)))-INDEX('Pilot inputs'!$AI$15:$AI$44,MATCH(B199,'Pilot inputs'!$B$15:$B$44,0))),""Unranked""),""Unranked"")"),15.0)</f>
        <v>15</v>
      </c>
      <c r="J199" s="145">
        <f t="array" ref="J199">IFERROR(IF(AND(INDEX('Pilot inputs'!$AQ$15:$AQ$44,MATCH(B199,'Pilot inputs'!$B$15:$B$44,0))=1,ISNUMBER($F$12),$F$12&gt;=0,$F$12&lt;1),INDEX('Pilot inputs'!$AM$15:$AM$44,MATCH(B199,'Pilot inputs'!$B$15:$B$44,0)),"Unranked"),"Unranked")</f>
        <v>50</v>
      </c>
      <c r="K199" s="145">
        <f t="array" ref="K199">IFERROR(IF(AND(INDEX('Pilot inputs'!$AQ$15:$AQ$44,MATCH(B199,'Pilot inputs'!$B$15:$B$44,0))=1,ISNUMBER($F$12),$F$12&gt;=0,$F$12&lt;1),INDEX('Pilot inputs'!$AP$15:$AP$44,MATCH(B199,'Pilot inputs'!$B$15:$B$44,0)),"Unranked"),"Unranked")</f>
        <v>75</v>
      </c>
      <c r="L199" s="145">
        <f t="shared" si="129"/>
        <v>60</v>
      </c>
      <c r="M199" s="145">
        <f>IFERROR(__xludf.DUMMYFUNCTION("IFERROR(IF(ISNUMBER(L199),1+COUNTIF(FILTER($G$15:$G$24,$A$15:$A$24&lt;&gt;B199),""&gt;""&amp;L199)+COUNTIF(FILTER($G$15:$G$24,$A$15:$A$24&lt;&gt;B199),L199)/2,""Unranked""),""Unranked"")"),5.0)</f>
        <v>5</v>
      </c>
      <c r="N199" s="145">
        <f t="shared" si="130"/>
        <v>60.5</v>
      </c>
      <c r="O199" s="145">
        <f>IFERROR(__xludf.DUMMYFUNCTION("IFERROR(IF(ISNUMBER(N199),1+COUNTIF(FILTER($I$15:$I$24,$A$15:$A$24&lt;&gt;B199),""&gt;""&amp;N199)+COUNTIF(FILTER($I$15:$I$24,$A$15:$A$24&lt;&gt;B199),N199)/2,""Unranked""),""Unranked"")"),4.0)</f>
        <v>4</v>
      </c>
      <c r="P199" s="145">
        <f t="shared" si="131"/>
        <v>49.75</v>
      </c>
      <c r="Q199" s="145">
        <f>IFERROR(__xludf.DUMMYFUNCTION("IFERROR(IF(ISNUMBER(P199),1+COUNTIF(FILTER($K$15:$K$24,$A$15:$A$24&lt;&gt;B199),""&gt;""&amp;P199)+COUNTIF(FILTER($K$15:$K$24,$A$15:$A$24&lt;&gt;B199),P199)/2,""Unranked""),""Unranked"")"),6.0)</f>
        <v>6</v>
      </c>
      <c r="R199" s="145">
        <f t="shared" si="132"/>
        <v>0</v>
      </c>
      <c r="S199" s="145">
        <f t="shared" si="133"/>
        <v>0</v>
      </c>
      <c r="T199" s="145">
        <f t="shared" si="134"/>
        <v>0</v>
      </c>
      <c r="U199" s="93" t="s">
        <v>1717</v>
      </c>
      <c r="V199" s="93" t="s">
        <v>1718</v>
      </c>
      <c r="W199" s="93"/>
      <c r="X199" s="93"/>
    </row>
    <row r="200" ht="24.0" customHeight="1">
      <c r="A200" s="93">
        <v>56.0</v>
      </c>
      <c r="B200" s="93" t="s">
        <v>311</v>
      </c>
      <c r="C200" s="93" t="s">
        <v>313</v>
      </c>
      <c r="D200" s="93" t="s">
        <v>1740</v>
      </c>
      <c r="E200" s="145">
        <v>1.0</v>
      </c>
      <c r="F200" s="145">
        <f t="array" ref="F200">INDEX('Pilot inputs'!$L$15:$L$44,MATCH(B200,'Pilot inputs'!$B$15:$B$44,0))</f>
        <v>13.93</v>
      </c>
      <c r="G200" s="145">
        <f t="shared" si="128"/>
        <v>14.6265</v>
      </c>
      <c r="H200" s="145">
        <f t="array" ref="H200">IFERROR(IF(AND(INDEX('Pilot inputs'!$AQ$15:$AQ$44,MATCH(B200,'Pilot inputs'!$B$15:$B$44,0))=1,ISNUMBER($F$12),$F$12&gt;=0,$F$12&lt;1),INDEX('Pilot inputs'!$AG$15:$AG$44,MATCH(B200,'Pilot inputs'!$B$15:$B$44,0)),"Unranked"),"Unranked")</f>
        <v>100</v>
      </c>
      <c r="I200" s="145">
        <f>IFERROR(__xludf.DUMMYFUNCTION("IFERROR(IF(AND(INDEX('Pilot inputs'!$AQ$15:$AQ$44,MATCH(B200,'Pilot inputs'!$B$15:$B$44,0))=1,ISNUMBER($F$12),$F$12&gt;=0,$F$12&lt;1),INDEX('Pilot inputs'!$AL$15:$AL$44,MATCH(B200,'Pilot inputs'!$B$15:$B$44,0))+IF(C200=""Utilities"",0.4,0.35)*((100-LET(peer_val"&amp;"ues,FILTER('Pilot inputs'!$L$15:$L$44,'Pilot inputs'!$D$15:$D$44=INDEX('Pilot inputs'!$D$15:$D$44,MATCH(B200,'Pilot inputs'!$B$15:$B$44,0)),'Pilot inputs'!$B$15:$B$44&lt;&gt;B200,'Pilot inputs'!$AA$15:$AA$44=1),peer_count,ROWS(peer_values),IF(peer_count+1&lt;MAX(3"&amp;",Rules!$B$12),""Unranked"",100*(SUMPRODUCT(N(peer_values&lt;G200))+SUMPRODUCT(N(peer_values=G200))/2)/peer_count)))-INDEX('Pilot inputs'!$AI$15:$AI$44,MATCH(B200,'Pilot inputs'!$B$15:$B$44,0))),""Unranked""),""Unranked"")"),15.0)</f>
        <v>15</v>
      </c>
      <c r="J200" s="145">
        <f t="array" ref="J200">IFERROR(IF(AND(INDEX('Pilot inputs'!$AQ$15:$AQ$44,MATCH(B200,'Pilot inputs'!$B$15:$B$44,0))=1,ISNUMBER($F$12),$F$12&gt;=0,$F$12&lt;1),INDEX('Pilot inputs'!$AM$15:$AM$44,MATCH(B200,'Pilot inputs'!$B$15:$B$44,0)),"Unranked"),"Unranked")</f>
        <v>50</v>
      </c>
      <c r="K200" s="145">
        <f t="array" ref="K200">IFERROR(IF(AND(INDEX('Pilot inputs'!$AQ$15:$AQ$44,MATCH(B200,'Pilot inputs'!$B$15:$B$44,0))=1,ISNUMBER($F$12),$F$12&gt;=0,$F$12&lt;1),INDEX('Pilot inputs'!$AP$15:$AP$44,MATCH(B200,'Pilot inputs'!$B$15:$B$44,0)),"Unranked"),"Unranked")</f>
        <v>75</v>
      </c>
      <c r="L200" s="145">
        <f t="shared" si="129"/>
        <v>60</v>
      </c>
      <c r="M200" s="145">
        <f>IFERROR(__xludf.DUMMYFUNCTION("IFERROR(IF(ISNUMBER(L200),1+COUNTIF(FILTER($G$15:$G$24,$A$15:$A$24&lt;&gt;B200),""&gt;""&amp;L200)+COUNTIF(FILTER($G$15:$G$24,$A$15:$A$24&lt;&gt;B200),L200)/2,""Unranked""),""Unranked"")"),5.0)</f>
        <v>5</v>
      </c>
      <c r="N200" s="145">
        <f t="shared" si="130"/>
        <v>60.5</v>
      </c>
      <c r="O200" s="145">
        <f>IFERROR(__xludf.DUMMYFUNCTION("IFERROR(IF(ISNUMBER(N200),1+COUNTIF(FILTER($I$15:$I$24,$A$15:$A$24&lt;&gt;B200),""&gt;""&amp;N200)+COUNTIF(FILTER($I$15:$I$24,$A$15:$A$24&lt;&gt;B200),N200)/2,""Unranked""),""Unranked"")"),4.0)</f>
        <v>4</v>
      </c>
      <c r="P200" s="145">
        <f t="shared" si="131"/>
        <v>49.75</v>
      </c>
      <c r="Q200" s="145">
        <f>IFERROR(__xludf.DUMMYFUNCTION("IFERROR(IF(ISNUMBER(P200),1+COUNTIF(FILTER($K$15:$K$24,$A$15:$A$24&lt;&gt;B200),""&gt;""&amp;P200)+COUNTIF(FILTER($K$15:$K$24,$A$15:$A$24&lt;&gt;B200),P200)/2,""Unranked""),""Unranked"")"),6.0)</f>
        <v>6</v>
      </c>
      <c r="R200" s="145">
        <f t="shared" si="132"/>
        <v>0</v>
      </c>
      <c r="S200" s="145">
        <f t="shared" si="133"/>
        <v>0</v>
      </c>
      <c r="T200" s="145">
        <f t="shared" si="134"/>
        <v>0</v>
      </c>
      <c r="U200" s="93" t="s">
        <v>1717</v>
      </c>
      <c r="V200" s="93" t="s">
        <v>1718</v>
      </c>
      <c r="W200" s="93"/>
      <c r="X200" s="93"/>
    </row>
    <row r="201" ht="24.0" customHeight="1">
      <c r="A201" s="93">
        <v>57.0</v>
      </c>
      <c r="B201" s="93" t="s">
        <v>311</v>
      </c>
      <c r="C201" s="93" t="s">
        <v>313</v>
      </c>
      <c r="D201" s="93" t="s">
        <v>1741</v>
      </c>
      <c r="E201" s="145">
        <v>-1.0</v>
      </c>
      <c r="F201" s="145">
        <f t="array" ref="F201">INDEX('Pilot inputs'!$M$15:$M$44,MATCH(B201,'Pilot inputs'!$B$15:$B$44,0))</f>
        <v>0.0535</v>
      </c>
      <c r="G201" s="145">
        <f t="shared" si="128"/>
        <v>0.050825</v>
      </c>
      <c r="H201" s="145">
        <f t="array" ref="H201">IFERROR(IF(AND(INDEX('Pilot inputs'!$AQ$15:$AQ$44,MATCH(B201,'Pilot inputs'!$B$15:$B$44,0))=1,ISNUMBER($F$12),$F$12&gt;=0,$F$12&lt;1),INDEX('Pilot inputs'!$AG$15:$AG$44,MATCH(B201,'Pilot inputs'!$B$15:$B$44,0)),"Unranked"),"Unranked")</f>
        <v>100</v>
      </c>
      <c r="I201" s="145">
        <f>IFERROR(__xludf.DUMMYFUNCTION("IFERROR(IF(AND(INDEX('Pilot inputs'!$AQ$15:$AQ$44,MATCH(B201,'Pilot inputs'!$B$15:$B$44,0))=1,ISNUMBER($F$12),$F$12&gt;=0,$F$12&lt;1),INDEX('Pilot inputs'!$AL$15:$AL$44,MATCH(B201,'Pilot inputs'!$B$15:$B$44,0))+0.3*((LET(peer_values,FILTER('Pilot inputs'!$M$15:"&amp;"$M$44,'Pilot inputs'!$D$15:$D$44=INDEX('Pilot inputs'!$D$15:$D$44,MATCH(B201,'Pilot inputs'!$B$15:$B$44,0)),'Pilot inputs'!$B$15:$B$44&lt;&gt;B201,'Pilot inputs'!$AA$15:$AA$44=1),peer_count,ROWS(peer_values),IF(peer_count+1&lt;MAX(3,Rules!$B$12),""Unranked"",100*("&amp;"SUMPRODUCT(N(peer_values&lt;G201))+SUMPRODUCT(N(peer_values=G201))/2)/peer_count)))-INDEX('Pilot inputs'!$AJ$15:$AJ$44,MATCH(B201,'Pilot inputs'!$B$15:$B$44,0))),""Unranked""),""Unranked"")"),15.0)</f>
        <v>15</v>
      </c>
      <c r="J201" s="145">
        <f t="array" ref="J201">IFERROR(IF(AND(INDEX('Pilot inputs'!$AQ$15:$AQ$44,MATCH(B201,'Pilot inputs'!$B$15:$B$44,0))=1,ISNUMBER($F$12),$F$12&gt;=0,$F$12&lt;1),INDEX('Pilot inputs'!$AM$15:$AM$44,MATCH(B201,'Pilot inputs'!$B$15:$B$44,0)),"Unranked"),"Unranked")</f>
        <v>50</v>
      </c>
      <c r="K201" s="145">
        <f t="array" ref="K201">IFERROR(IF(AND(INDEX('Pilot inputs'!$AQ$15:$AQ$44,MATCH(B201,'Pilot inputs'!$B$15:$B$44,0))=1,ISNUMBER($F$12),$F$12&gt;=0,$F$12&lt;1),INDEX('Pilot inputs'!$AP$15:$AP$44,MATCH(B201,'Pilot inputs'!$B$15:$B$44,0)),"Unranked"),"Unranked")</f>
        <v>75</v>
      </c>
      <c r="L201" s="145">
        <f t="shared" si="129"/>
        <v>60</v>
      </c>
      <c r="M201" s="145">
        <f>IFERROR(__xludf.DUMMYFUNCTION("IFERROR(IF(ISNUMBER(L201),1+COUNTIF(FILTER($G$15:$G$24,$A$15:$A$24&lt;&gt;B201),""&gt;""&amp;L201)+COUNTIF(FILTER($G$15:$G$24,$A$15:$A$24&lt;&gt;B201),L201)/2,""Unranked""),""Unranked"")"),5.0)</f>
        <v>5</v>
      </c>
      <c r="N201" s="145">
        <f t="shared" si="130"/>
        <v>60.5</v>
      </c>
      <c r="O201" s="145">
        <f>IFERROR(__xludf.DUMMYFUNCTION("IFERROR(IF(ISNUMBER(N201),1+COUNTIF(FILTER($I$15:$I$24,$A$15:$A$24&lt;&gt;B201),""&gt;""&amp;N201)+COUNTIF(FILTER($I$15:$I$24,$A$15:$A$24&lt;&gt;B201),N201)/2,""Unranked""),""Unranked"")"),4.0)</f>
        <v>4</v>
      </c>
      <c r="P201" s="145">
        <f t="shared" si="131"/>
        <v>49.75</v>
      </c>
      <c r="Q201" s="145">
        <f>IFERROR(__xludf.DUMMYFUNCTION("IFERROR(IF(ISNUMBER(P201),1+COUNTIF(FILTER($K$15:$K$24,$A$15:$A$24&lt;&gt;B201),""&gt;""&amp;P201)+COUNTIF(FILTER($K$15:$K$24,$A$15:$A$24&lt;&gt;B201),P201)/2,""Unranked""),""Unranked"")"),6.0)</f>
        <v>6</v>
      </c>
      <c r="R201" s="145">
        <f t="shared" si="132"/>
        <v>0</v>
      </c>
      <c r="S201" s="145">
        <f t="shared" si="133"/>
        <v>0</v>
      </c>
      <c r="T201" s="145">
        <f t="shared" si="134"/>
        <v>0</v>
      </c>
      <c r="U201" s="93" t="s">
        <v>1717</v>
      </c>
      <c r="V201" s="93" t="s">
        <v>1718</v>
      </c>
      <c r="W201" s="93"/>
      <c r="X201" s="93"/>
    </row>
    <row r="202" ht="24.0" customHeight="1">
      <c r="A202" s="93">
        <v>58.0</v>
      </c>
      <c r="B202" s="93" t="s">
        <v>311</v>
      </c>
      <c r="C202" s="93" t="s">
        <v>313</v>
      </c>
      <c r="D202" s="93" t="s">
        <v>1741</v>
      </c>
      <c r="E202" s="145">
        <v>1.0</v>
      </c>
      <c r="F202" s="145">
        <f t="array" ref="F202">INDEX('Pilot inputs'!$M$15:$M$44,MATCH(B202,'Pilot inputs'!$B$15:$B$44,0))</f>
        <v>0.0535</v>
      </c>
      <c r="G202" s="145">
        <f t="shared" si="128"/>
        <v>0.056175</v>
      </c>
      <c r="H202" s="145">
        <f t="array" ref="H202">IFERROR(IF(AND(INDEX('Pilot inputs'!$AQ$15:$AQ$44,MATCH(B202,'Pilot inputs'!$B$15:$B$44,0))=1,ISNUMBER($F$12),$F$12&gt;=0,$F$12&lt;1),INDEX('Pilot inputs'!$AG$15:$AG$44,MATCH(B202,'Pilot inputs'!$B$15:$B$44,0)),"Unranked"),"Unranked")</f>
        <v>100</v>
      </c>
      <c r="I202" s="145">
        <f>IFERROR(__xludf.DUMMYFUNCTION("IFERROR(IF(AND(INDEX('Pilot inputs'!$AQ$15:$AQ$44,MATCH(B202,'Pilot inputs'!$B$15:$B$44,0))=1,ISNUMBER($F$12),$F$12&gt;=0,$F$12&lt;1),INDEX('Pilot inputs'!$AL$15:$AL$44,MATCH(B202,'Pilot inputs'!$B$15:$B$44,0))+0.3*((LET(peer_values,FILTER('Pilot inputs'!$M$15:"&amp;"$M$44,'Pilot inputs'!$D$15:$D$44=INDEX('Pilot inputs'!$D$15:$D$44,MATCH(B202,'Pilot inputs'!$B$15:$B$44,0)),'Pilot inputs'!$B$15:$B$44&lt;&gt;B202,'Pilot inputs'!$AA$15:$AA$44=1),peer_count,ROWS(peer_values),IF(peer_count+1&lt;MAX(3,Rules!$B$12),""Unranked"",100*("&amp;"SUMPRODUCT(N(peer_values&lt;G202))+SUMPRODUCT(N(peer_values=G202))/2)/peer_count)))-INDEX('Pilot inputs'!$AJ$15:$AJ$44,MATCH(B202,'Pilot inputs'!$B$15:$B$44,0))),""Unranked""),""Unranked"")"),15.0)</f>
        <v>15</v>
      </c>
      <c r="J202" s="145">
        <f t="array" ref="J202">IFERROR(IF(AND(INDEX('Pilot inputs'!$AQ$15:$AQ$44,MATCH(B202,'Pilot inputs'!$B$15:$B$44,0))=1,ISNUMBER($F$12),$F$12&gt;=0,$F$12&lt;1),INDEX('Pilot inputs'!$AM$15:$AM$44,MATCH(B202,'Pilot inputs'!$B$15:$B$44,0)),"Unranked"),"Unranked")</f>
        <v>50</v>
      </c>
      <c r="K202" s="145">
        <f t="array" ref="K202">IFERROR(IF(AND(INDEX('Pilot inputs'!$AQ$15:$AQ$44,MATCH(B202,'Pilot inputs'!$B$15:$B$44,0))=1,ISNUMBER($F$12),$F$12&gt;=0,$F$12&lt;1),INDEX('Pilot inputs'!$AP$15:$AP$44,MATCH(B202,'Pilot inputs'!$B$15:$B$44,0)),"Unranked"),"Unranked")</f>
        <v>75</v>
      </c>
      <c r="L202" s="145">
        <f t="shared" si="129"/>
        <v>60</v>
      </c>
      <c r="M202" s="145">
        <f>IFERROR(__xludf.DUMMYFUNCTION("IFERROR(IF(ISNUMBER(L202),1+COUNTIF(FILTER($G$15:$G$24,$A$15:$A$24&lt;&gt;B202),""&gt;""&amp;L202)+COUNTIF(FILTER($G$15:$G$24,$A$15:$A$24&lt;&gt;B202),L202)/2,""Unranked""),""Unranked"")"),5.0)</f>
        <v>5</v>
      </c>
      <c r="N202" s="145">
        <f t="shared" si="130"/>
        <v>60.5</v>
      </c>
      <c r="O202" s="145">
        <f>IFERROR(__xludf.DUMMYFUNCTION("IFERROR(IF(ISNUMBER(N202),1+COUNTIF(FILTER($I$15:$I$24,$A$15:$A$24&lt;&gt;B202),""&gt;""&amp;N202)+COUNTIF(FILTER($I$15:$I$24,$A$15:$A$24&lt;&gt;B202),N202)/2,""Unranked""),""Unranked"")"),4.0)</f>
        <v>4</v>
      </c>
      <c r="P202" s="145">
        <f t="shared" si="131"/>
        <v>49.75</v>
      </c>
      <c r="Q202" s="145">
        <f>IFERROR(__xludf.DUMMYFUNCTION("IFERROR(IF(ISNUMBER(P202),1+COUNTIF(FILTER($K$15:$K$24,$A$15:$A$24&lt;&gt;B202),""&gt;""&amp;P202)+COUNTIF(FILTER($K$15:$K$24,$A$15:$A$24&lt;&gt;B202),P202)/2,""Unranked""),""Unranked"")"),6.0)</f>
        <v>6</v>
      </c>
      <c r="R202" s="145">
        <f t="shared" si="132"/>
        <v>0</v>
      </c>
      <c r="S202" s="145">
        <f t="shared" si="133"/>
        <v>0</v>
      </c>
      <c r="T202" s="145">
        <f t="shared" si="134"/>
        <v>0</v>
      </c>
      <c r="U202" s="93" t="s">
        <v>1717</v>
      </c>
      <c r="V202" s="93" t="s">
        <v>1718</v>
      </c>
      <c r="W202" s="93"/>
      <c r="X202" s="93"/>
    </row>
    <row r="203" ht="24.0" customHeight="1">
      <c r="A203" s="93">
        <v>59.0</v>
      </c>
      <c r="B203" s="93" t="s">
        <v>311</v>
      </c>
      <c r="C203" s="93" t="s">
        <v>313</v>
      </c>
      <c r="D203" s="93" t="s">
        <v>1235</v>
      </c>
      <c r="E203" s="145">
        <v>-1.0</v>
      </c>
      <c r="F203" s="145">
        <f t="array" ref="F203">INDEX('Pilot inputs'!$O$15:$O$44,MATCH(B203,'Pilot inputs'!$B$15:$B$44,0))</f>
        <v>0.2008</v>
      </c>
      <c r="G203" s="145">
        <f t="shared" si="128"/>
        <v>0.19076</v>
      </c>
      <c r="H203" s="145">
        <f t="array" ref="H203">IFERROR(IF(AND(INDEX('Pilot inputs'!$AQ$15:$AQ$44,MATCH(B203,'Pilot inputs'!$B$15:$B$44,0))=1,ISNUMBER($F$12),$F$12&gt;=0,$F$12&lt;1),INDEX('Pilot inputs'!$AG$15:$AG$44,MATCH(B203,'Pilot inputs'!$B$15:$B$44,0)),"Unranked"),"Unranked")</f>
        <v>100</v>
      </c>
      <c r="I203" s="145">
        <f t="array" ref="I203">IFERROR(IF(AND(INDEX('Pilot inputs'!$AQ$15:$AQ$44,MATCH(B203,'Pilot inputs'!$B$15:$B$44,0))=1,ISNUMBER($F$12),$F$12&gt;=0,$F$12&lt;1),INDEX('Pilot inputs'!$AL$15:$AL$44,MATCH(B203,'Pilot inputs'!$B$15:$B$44,0)),"Unranked"),"Unranked")</f>
        <v>15</v>
      </c>
      <c r="J203" s="145">
        <f t="array" ref="J203">IFERROR(IF(AND(INDEX('Pilot inputs'!$AQ$15:$AQ$44,MATCH(B203,'Pilot inputs'!$B$15:$B$44,0))=1,ISNUMBER($F$12),$F$12&gt;=0,$F$12&lt;1),INDEX('Pilot inputs'!$AM$15:$AM$44,MATCH(B203,'Pilot inputs'!$B$15:$B$44,0)),"Unranked"),"Unranked")</f>
        <v>50</v>
      </c>
      <c r="K203" s="145">
        <f>IFERROR(__xludf.DUMMYFUNCTION("IFERROR(IF(AND(INDEX('Pilot inputs'!$AQ$15:$AQ$44,MATCH(B203,'Pilot inputs'!$B$15:$B$44,0))=1,ISNUMBER($F$12),$F$12&gt;=0,$F$12&lt;1),(LET(peer_values,FILTER('Pilot inputs'!$O$15:$O$44,'Pilot inputs'!$D$15:$D$44=INDEX('Pilot inputs'!$D$15:$D$44,MATCH(B203,'Pilo"&amp;"t inputs'!$B$15:$B$44,0)),'Pilot inputs'!$B$15:$B$44&lt;&gt;B203,'Pilot inputs'!$AA$15:$AA$44=1),peer_count,ROWS(peer_values),IF(peer_count+1&lt;MAX(3,Rules!$B$12),""Unranked"",100*(SUMPRODUCT(N(peer_values&lt;G203))+SUMPRODUCT(N(peer_values=G203))/2)/peer_count))+IN"&amp;"DEX('Pilot inputs'!$AO$15:$AO$44,MATCH(B203,'Pilot inputs'!$B$15:$B$44,0)))/2,""Unranked""),""Unranked"")"),75.0)</f>
        <v>75</v>
      </c>
      <c r="L203" s="145">
        <f t="shared" si="129"/>
        <v>60</v>
      </c>
      <c r="M203" s="145">
        <f>IFERROR(__xludf.DUMMYFUNCTION("IFERROR(IF(ISNUMBER(L203),1+COUNTIF(FILTER($G$15:$G$24,$A$15:$A$24&lt;&gt;B203),""&gt;""&amp;L203)+COUNTIF(FILTER($G$15:$G$24,$A$15:$A$24&lt;&gt;B203),L203)/2,""Unranked""),""Unranked"")"),5.0)</f>
        <v>5</v>
      </c>
      <c r="N203" s="145">
        <f t="shared" si="130"/>
        <v>60.5</v>
      </c>
      <c r="O203" s="145">
        <f>IFERROR(__xludf.DUMMYFUNCTION("IFERROR(IF(ISNUMBER(N203),1+COUNTIF(FILTER($I$15:$I$24,$A$15:$A$24&lt;&gt;B203),""&gt;""&amp;N203)+COUNTIF(FILTER($I$15:$I$24,$A$15:$A$24&lt;&gt;B203),N203)/2,""Unranked""),""Unranked"")"),4.0)</f>
        <v>4</v>
      </c>
      <c r="P203" s="145">
        <f t="shared" si="131"/>
        <v>49.75</v>
      </c>
      <c r="Q203" s="145">
        <f>IFERROR(__xludf.DUMMYFUNCTION("IFERROR(IF(ISNUMBER(P203),1+COUNTIF(FILTER($K$15:$K$24,$A$15:$A$24&lt;&gt;B203),""&gt;""&amp;P203)+COUNTIF(FILTER($K$15:$K$24,$A$15:$A$24&lt;&gt;B203),P203)/2,""Unranked""),""Unranked"")"),6.0)</f>
        <v>6</v>
      </c>
      <c r="R203" s="145">
        <f t="shared" si="132"/>
        <v>0</v>
      </c>
      <c r="S203" s="145">
        <f t="shared" si="133"/>
        <v>0</v>
      </c>
      <c r="T203" s="145">
        <f t="shared" si="134"/>
        <v>0</v>
      </c>
      <c r="U203" s="93" t="s">
        <v>1717</v>
      </c>
      <c r="V203" s="93" t="s">
        <v>1718</v>
      </c>
      <c r="W203" s="93"/>
      <c r="X203" s="93"/>
    </row>
    <row r="204" ht="24.0" customHeight="1">
      <c r="A204" s="93">
        <v>60.0</v>
      </c>
      <c r="B204" s="93" t="s">
        <v>311</v>
      </c>
      <c r="C204" s="93" t="s">
        <v>313</v>
      </c>
      <c r="D204" s="93" t="s">
        <v>1235</v>
      </c>
      <c r="E204" s="145">
        <v>1.0</v>
      </c>
      <c r="F204" s="145">
        <f t="array" ref="F204">INDEX('Pilot inputs'!$O$15:$O$44,MATCH(B204,'Pilot inputs'!$B$15:$B$44,0))</f>
        <v>0.2008</v>
      </c>
      <c r="G204" s="145">
        <f t="shared" si="128"/>
        <v>0.21084</v>
      </c>
      <c r="H204" s="145">
        <f t="array" ref="H204">IFERROR(IF(AND(INDEX('Pilot inputs'!$AQ$15:$AQ$44,MATCH(B204,'Pilot inputs'!$B$15:$B$44,0))=1,ISNUMBER($F$12),$F$12&gt;=0,$F$12&lt;1),INDEX('Pilot inputs'!$AG$15:$AG$44,MATCH(B204,'Pilot inputs'!$B$15:$B$44,0)),"Unranked"),"Unranked")</f>
        <v>100</v>
      </c>
      <c r="I204" s="145">
        <f t="array" ref="I204">IFERROR(IF(AND(INDEX('Pilot inputs'!$AQ$15:$AQ$44,MATCH(B204,'Pilot inputs'!$B$15:$B$44,0))=1,ISNUMBER($F$12),$F$12&gt;=0,$F$12&lt;1),INDEX('Pilot inputs'!$AL$15:$AL$44,MATCH(B204,'Pilot inputs'!$B$15:$B$44,0)),"Unranked"),"Unranked")</f>
        <v>15</v>
      </c>
      <c r="J204" s="145">
        <f t="array" ref="J204">IFERROR(IF(AND(INDEX('Pilot inputs'!$AQ$15:$AQ$44,MATCH(B204,'Pilot inputs'!$B$15:$B$44,0))=1,ISNUMBER($F$12),$F$12&gt;=0,$F$12&lt;1),INDEX('Pilot inputs'!$AM$15:$AM$44,MATCH(B204,'Pilot inputs'!$B$15:$B$44,0)),"Unranked"),"Unranked")</f>
        <v>50</v>
      </c>
      <c r="K204" s="145">
        <f>IFERROR(__xludf.DUMMYFUNCTION("IFERROR(IF(AND(INDEX('Pilot inputs'!$AQ$15:$AQ$44,MATCH(B204,'Pilot inputs'!$B$15:$B$44,0))=1,ISNUMBER($F$12),$F$12&gt;=0,$F$12&lt;1),(LET(peer_values,FILTER('Pilot inputs'!$O$15:$O$44,'Pilot inputs'!$D$15:$D$44=INDEX('Pilot inputs'!$D$15:$D$44,MATCH(B204,'Pilo"&amp;"t inputs'!$B$15:$B$44,0)),'Pilot inputs'!$B$15:$B$44&lt;&gt;B204,'Pilot inputs'!$AA$15:$AA$44=1),peer_count,ROWS(peer_values),IF(peer_count+1&lt;MAX(3,Rules!$B$12),""Unranked"",100*(SUMPRODUCT(N(peer_values&lt;G204))+SUMPRODUCT(N(peer_values=G204))/2)/peer_count))+IN"&amp;"DEX('Pilot inputs'!$AO$15:$AO$44,MATCH(B204,'Pilot inputs'!$B$15:$B$44,0)))/2,""Unranked""),""Unranked"")"),75.0)</f>
        <v>75</v>
      </c>
      <c r="L204" s="145">
        <f t="shared" si="129"/>
        <v>60</v>
      </c>
      <c r="M204" s="145">
        <f>IFERROR(__xludf.DUMMYFUNCTION("IFERROR(IF(ISNUMBER(L204),1+COUNTIF(FILTER($G$15:$G$24,$A$15:$A$24&lt;&gt;B204),""&gt;""&amp;L204)+COUNTIF(FILTER($G$15:$G$24,$A$15:$A$24&lt;&gt;B204),L204)/2,""Unranked""),""Unranked"")"),5.0)</f>
        <v>5</v>
      </c>
      <c r="N204" s="145">
        <f t="shared" si="130"/>
        <v>60.5</v>
      </c>
      <c r="O204" s="145">
        <f>IFERROR(__xludf.DUMMYFUNCTION("IFERROR(IF(ISNUMBER(N204),1+COUNTIF(FILTER($I$15:$I$24,$A$15:$A$24&lt;&gt;B204),""&gt;""&amp;N204)+COUNTIF(FILTER($I$15:$I$24,$A$15:$A$24&lt;&gt;B204),N204)/2,""Unranked""),""Unranked"")"),4.0)</f>
        <v>4</v>
      </c>
      <c r="P204" s="145">
        <f t="shared" si="131"/>
        <v>49.75</v>
      </c>
      <c r="Q204" s="145">
        <f>IFERROR(__xludf.DUMMYFUNCTION("IFERROR(IF(ISNUMBER(P204),1+COUNTIF(FILTER($K$15:$K$24,$A$15:$A$24&lt;&gt;B204),""&gt;""&amp;P204)+COUNTIF(FILTER($K$15:$K$24,$A$15:$A$24&lt;&gt;B204),P204)/2,""Unranked""),""Unranked"")"),6.0)</f>
        <v>6</v>
      </c>
      <c r="R204" s="145">
        <f t="shared" si="132"/>
        <v>0</v>
      </c>
      <c r="S204" s="145">
        <f t="shared" si="133"/>
        <v>0</v>
      </c>
      <c r="T204" s="145">
        <f t="shared" si="134"/>
        <v>0</v>
      </c>
      <c r="U204" s="93" t="s">
        <v>1717</v>
      </c>
      <c r="V204" s="93" t="s">
        <v>1718</v>
      </c>
      <c r="W204" s="93"/>
      <c r="X204" s="93"/>
    </row>
    <row r="205" ht="24.0" customHeight="1">
      <c r="A205" s="93">
        <v>61.0</v>
      </c>
      <c r="B205" s="93" t="s">
        <v>311</v>
      </c>
      <c r="C205" s="93" t="s">
        <v>313</v>
      </c>
      <c r="D205" s="93" t="s">
        <v>1742</v>
      </c>
      <c r="E205" s="145">
        <v>-1.0</v>
      </c>
      <c r="F205" s="145">
        <f t="array" ref="F205">INDEX('Pilot inputs'!$P$15:$P$44,MATCH(B205,'Pilot inputs'!$B$15:$B$44,0))</f>
        <v>0.1202</v>
      </c>
      <c r="G205" s="145">
        <f t="shared" si="128"/>
        <v>0.11419</v>
      </c>
      <c r="H205" s="145">
        <f t="array" ref="H205">IFERROR(IF(AND(INDEX('Pilot inputs'!$AQ$15:$AQ$44,MATCH(B205,'Pilot inputs'!$B$15:$B$44,0))=1,ISNUMBER($F$12),$F$12&gt;=0,$F$12&lt;1),INDEX('Pilot inputs'!$AG$15:$AG$44,MATCH(B205,'Pilot inputs'!$B$15:$B$44,0)),"Unranked"),"Unranked")</f>
        <v>100</v>
      </c>
      <c r="I205" s="145">
        <f t="array" ref="I205">IFERROR(IF(AND(INDEX('Pilot inputs'!$AQ$15:$AQ$44,MATCH(B205,'Pilot inputs'!$B$15:$B$44,0))=1,ISNUMBER($F$12),$F$12&gt;=0,$F$12&lt;1),INDEX('Pilot inputs'!$AL$15:$AL$44,MATCH(B205,'Pilot inputs'!$B$15:$B$44,0)),"Unranked"),"Unranked")</f>
        <v>15</v>
      </c>
      <c r="J205" s="145">
        <f t="array" ref="J205">IFERROR(IF(AND(INDEX('Pilot inputs'!$AQ$15:$AQ$44,MATCH(B205,'Pilot inputs'!$B$15:$B$44,0))=1,ISNUMBER($F$12),$F$12&gt;=0,$F$12&lt;1),INDEX('Pilot inputs'!$AM$15:$AM$44,MATCH(B205,'Pilot inputs'!$B$15:$B$44,0)),"Unranked"),"Unranked")</f>
        <v>50</v>
      </c>
      <c r="K205" s="145">
        <f>IFERROR(__xludf.DUMMYFUNCTION("IFERROR(IF(AND(INDEX('Pilot inputs'!$AQ$15:$AQ$44,MATCH(B205,'Pilot inputs'!$B$15:$B$44,0))=1,ISNUMBER($F$12),$F$12&gt;=0,$F$12&lt;1),(LET(peer_values,FILTER('Pilot inputs'!$P$15:$P$44,'Pilot inputs'!$D$15:$D$44=INDEX('Pilot inputs'!$D$15:$D$44,MATCH(B205,'Pilo"&amp;"t inputs'!$B$15:$B$44,0)),'Pilot inputs'!$B$15:$B$44&lt;&gt;B205,'Pilot inputs'!$AA$15:$AA$44=1),peer_count,ROWS(peer_values),IF(peer_count+1&lt;MAX(3,Rules!$B$12),""Unranked"",100*(SUMPRODUCT(N(peer_values&lt;G205))+SUMPRODUCT(N(peer_values=G205))/2)/peer_count))+IN"&amp;"DEX('Pilot inputs'!$AN$15:$AN$44,MATCH(B205,'Pilot inputs'!$B$15:$B$44,0)))/2,""Unranked""),""Unranked"")"),75.0)</f>
        <v>75</v>
      </c>
      <c r="L205" s="145">
        <f t="shared" si="129"/>
        <v>60</v>
      </c>
      <c r="M205" s="145">
        <f>IFERROR(__xludf.DUMMYFUNCTION("IFERROR(IF(ISNUMBER(L205),1+COUNTIF(FILTER($G$15:$G$24,$A$15:$A$24&lt;&gt;B205),""&gt;""&amp;L205)+COUNTIF(FILTER($G$15:$G$24,$A$15:$A$24&lt;&gt;B205),L205)/2,""Unranked""),""Unranked"")"),5.0)</f>
        <v>5</v>
      </c>
      <c r="N205" s="145">
        <f t="shared" si="130"/>
        <v>60.5</v>
      </c>
      <c r="O205" s="145">
        <f>IFERROR(__xludf.DUMMYFUNCTION("IFERROR(IF(ISNUMBER(N205),1+COUNTIF(FILTER($I$15:$I$24,$A$15:$A$24&lt;&gt;B205),""&gt;""&amp;N205)+COUNTIF(FILTER($I$15:$I$24,$A$15:$A$24&lt;&gt;B205),N205)/2,""Unranked""),""Unranked"")"),4.0)</f>
        <v>4</v>
      </c>
      <c r="P205" s="145">
        <f t="shared" si="131"/>
        <v>49.75</v>
      </c>
      <c r="Q205" s="145">
        <f>IFERROR(__xludf.DUMMYFUNCTION("IFERROR(IF(ISNUMBER(P205),1+COUNTIF(FILTER($K$15:$K$24,$A$15:$A$24&lt;&gt;B205),""&gt;""&amp;P205)+COUNTIF(FILTER($K$15:$K$24,$A$15:$A$24&lt;&gt;B205),P205)/2,""Unranked""),""Unranked"")"),6.0)</f>
        <v>6</v>
      </c>
      <c r="R205" s="145">
        <f t="shared" si="132"/>
        <v>0</v>
      </c>
      <c r="S205" s="145">
        <f t="shared" si="133"/>
        <v>0</v>
      </c>
      <c r="T205" s="145">
        <f t="shared" si="134"/>
        <v>0</v>
      </c>
      <c r="U205" s="93" t="s">
        <v>1717</v>
      </c>
      <c r="V205" s="93" t="s">
        <v>1718</v>
      </c>
      <c r="W205" s="93"/>
      <c r="X205" s="93"/>
    </row>
    <row r="206" ht="24.0" customHeight="1">
      <c r="A206" s="93">
        <v>62.0</v>
      </c>
      <c r="B206" s="93" t="s">
        <v>311</v>
      </c>
      <c r="C206" s="93" t="s">
        <v>313</v>
      </c>
      <c r="D206" s="93" t="s">
        <v>1742</v>
      </c>
      <c r="E206" s="145">
        <v>1.0</v>
      </c>
      <c r="F206" s="145">
        <f t="array" ref="F206">INDEX('Pilot inputs'!$P$15:$P$44,MATCH(B206,'Pilot inputs'!$B$15:$B$44,0))</f>
        <v>0.1202</v>
      </c>
      <c r="G206" s="145">
        <f t="shared" si="128"/>
        <v>0.12621</v>
      </c>
      <c r="H206" s="145">
        <f t="array" ref="H206">IFERROR(IF(AND(INDEX('Pilot inputs'!$AQ$15:$AQ$44,MATCH(B206,'Pilot inputs'!$B$15:$B$44,0))=1,ISNUMBER($F$12),$F$12&gt;=0,$F$12&lt;1),INDEX('Pilot inputs'!$AG$15:$AG$44,MATCH(B206,'Pilot inputs'!$B$15:$B$44,0)),"Unranked"),"Unranked")</f>
        <v>100</v>
      </c>
      <c r="I206" s="145">
        <f t="array" ref="I206">IFERROR(IF(AND(INDEX('Pilot inputs'!$AQ$15:$AQ$44,MATCH(B206,'Pilot inputs'!$B$15:$B$44,0))=1,ISNUMBER($F$12),$F$12&gt;=0,$F$12&lt;1),INDEX('Pilot inputs'!$AL$15:$AL$44,MATCH(B206,'Pilot inputs'!$B$15:$B$44,0)),"Unranked"),"Unranked")</f>
        <v>15</v>
      </c>
      <c r="J206" s="145">
        <f t="array" ref="J206">IFERROR(IF(AND(INDEX('Pilot inputs'!$AQ$15:$AQ$44,MATCH(B206,'Pilot inputs'!$B$15:$B$44,0))=1,ISNUMBER($F$12),$F$12&gt;=0,$F$12&lt;1),INDEX('Pilot inputs'!$AM$15:$AM$44,MATCH(B206,'Pilot inputs'!$B$15:$B$44,0)),"Unranked"),"Unranked")</f>
        <v>50</v>
      </c>
      <c r="K206" s="145">
        <f>IFERROR(__xludf.DUMMYFUNCTION("IFERROR(IF(AND(INDEX('Pilot inputs'!$AQ$15:$AQ$44,MATCH(B206,'Pilot inputs'!$B$15:$B$44,0))=1,ISNUMBER($F$12),$F$12&gt;=0,$F$12&lt;1),(LET(peer_values,FILTER('Pilot inputs'!$P$15:$P$44,'Pilot inputs'!$D$15:$D$44=INDEX('Pilot inputs'!$D$15:$D$44,MATCH(B206,'Pilo"&amp;"t inputs'!$B$15:$B$44,0)),'Pilot inputs'!$B$15:$B$44&lt;&gt;B206,'Pilot inputs'!$AA$15:$AA$44=1),peer_count,ROWS(peer_values),IF(peer_count+1&lt;MAX(3,Rules!$B$12),""Unranked"",100*(SUMPRODUCT(N(peer_values&lt;G206))+SUMPRODUCT(N(peer_values=G206))/2)/peer_count))+IN"&amp;"DEX('Pilot inputs'!$AN$15:$AN$44,MATCH(B206,'Pilot inputs'!$B$15:$B$44,0)))/2,""Unranked""),""Unranked"")"),75.0)</f>
        <v>75</v>
      </c>
      <c r="L206" s="145">
        <f t="shared" si="129"/>
        <v>60</v>
      </c>
      <c r="M206" s="145">
        <f>IFERROR(__xludf.DUMMYFUNCTION("IFERROR(IF(ISNUMBER(L206),1+COUNTIF(FILTER($G$15:$G$24,$A$15:$A$24&lt;&gt;B206),""&gt;""&amp;L206)+COUNTIF(FILTER($G$15:$G$24,$A$15:$A$24&lt;&gt;B206),L206)/2,""Unranked""),""Unranked"")"),5.0)</f>
        <v>5</v>
      </c>
      <c r="N206" s="145">
        <f t="shared" si="130"/>
        <v>60.5</v>
      </c>
      <c r="O206" s="145">
        <f>IFERROR(__xludf.DUMMYFUNCTION("IFERROR(IF(ISNUMBER(N206),1+COUNTIF(FILTER($I$15:$I$24,$A$15:$A$24&lt;&gt;B206),""&gt;""&amp;N206)+COUNTIF(FILTER($I$15:$I$24,$A$15:$A$24&lt;&gt;B206),N206)/2,""Unranked""),""Unranked"")"),4.0)</f>
        <v>4</v>
      </c>
      <c r="P206" s="145">
        <f t="shared" si="131"/>
        <v>49.75</v>
      </c>
      <c r="Q206" s="145">
        <f>IFERROR(__xludf.DUMMYFUNCTION("IFERROR(IF(ISNUMBER(P206),1+COUNTIF(FILTER($K$15:$K$24,$A$15:$A$24&lt;&gt;B206),""&gt;""&amp;P206)+COUNTIF(FILTER($K$15:$K$24,$A$15:$A$24&lt;&gt;B206),P206)/2,""Unranked""),""Unranked"")"),6.0)</f>
        <v>6</v>
      </c>
      <c r="R206" s="145">
        <f t="shared" si="132"/>
        <v>0</v>
      </c>
      <c r="S206" s="145">
        <f t="shared" si="133"/>
        <v>0</v>
      </c>
      <c r="T206" s="145">
        <f t="shared" si="134"/>
        <v>0</v>
      </c>
      <c r="U206" s="93" t="s">
        <v>1717</v>
      </c>
      <c r="V206" s="93" t="s">
        <v>1718</v>
      </c>
      <c r="W206" s="93"/>
      <c r="X206" s="93"/>
    </row>
    <row r="207" ht="24.0" customHeight="1">
      <c r="A207" s="93">
        <v>63.0</v>
      </c>
      <c r="B207" s="93" t="s">
        <v>311</v>
      </c>
      <c r="C207" s="93" t="s">
        <v>313</v>
      </c>
      <c r="D207" s="93" t="s">
        <v>1743</v>
      </c>
      <c r="E207" s="145">
        <v>-1.0</v>
      </c>
      <c r="F207" s="145">
        <f t="array" ref="F207">INDEX('Pilot inputs'!$R$15:$R$44,MATCH(B207,'Pilot inputs'!$B$15:$B$44,0))</f>
        <v>164.683</v>
      </c>
      <c r="G207" s="145">
        <f t="shared" si="128"/>
        <v>156.44885</v>
      </c>
      <c r="H207" s="145">
        <f t="array" ref="H207">IFERROR(IF(AND(INDEX('Pilot inputs'!$AQ$15:$AQ$44,MATCH(B207,'Pilot inputs'!$B$15:$B$44,0))=1,ISNUMBER($F$12),$F$12&gt;=0,$F$12&lt;1),INDEX('Pilot inputs'!$AG$15:$AG$44,MATCH(B207,'Pilot inputs'!$B$15:$B$44,0)),"Unranked"),"Unranked")</f>
        <v>100</v>
      </c>
      <c r="I207" s="145">
        <f t="array" ref="I207">IFERROR(IF(AND(INDEX('Pilot inputs'!$AQ$15:$AQ$44,MATCH(B207,'Pilot inputs'!$B$15:$B$44,0))=1,ISNUMBER($F$12),$F$12&gt;=0,$F$12&lt;1),INDEX('Pilot inputs'!$AL$15:$AL$44,MATCH(B207,'Pilot inputs'!$B$15:$B$44,0)),"Unranked"),"Unranked")</f>
        <v>15</v>
      </c>
      <c r="J207" s="145">
        <f>IFERROR(__xludf.DUMMYFUNCTION("IFERROR(IF(AND(INDEX('Pilot inputs'!$AQ$15:$AQ$44,MATCH(B207,'Pilot inputs'!$B$15:$B$44,0))=1,ISNUMBER($F$12),$F$12&gt;=0,$F$12&lt;1),LET(peer_values,FILTER('Pilot inputs'!$AB$15:$AB$44,'Pilot inputs'!$D$15:$D$44=INDEX('Pilot inputs'!$D$15:$D$44,MATCH(B207,'Pil"&amp;"ot inputs'!$B$15:$B$44,0)),'Pilot inputs'!$B$15:$B$44&lt;&gt;B207,'Pilot inputs'!$AA$15:$AA$44=1),peer_count,ROWS(peer_values),IF(peer_count+1&lt;MAX(3,Rules!$B$12),""Unranked"",100*(SUMPRODUCT(N(peer_values&lt;((G207/INDEX('Pilot inputs'!$T$15:$T$44,MATCH(B207,'Pilo"&amp;"t inputs'!$B$15:$B$44,0)))^(1/3)-1)))+SUMPRODUCT(N(peer_values=((G207/INDEX('Pilot inputs'!$T$15:$T$44,MATCH(B207,'Pilot inputs'!$B$15:$B$44,0)))^(1/3)-1)))/2)/peer_count)),""Unranked""),""Unranked"")"),50.0)</f>
        <v>50</v>
      </c>
      <c r="K207" s="145">
        <f t="array" ref="K207">IFERROR(IF(AND(INDEX('Pilot inputs'!$AQ$15:$AQ$44,MATCH(B207,'Pilot inputs'!$B$15:$B$44,0))=1,ISNUMBER($F$12),$F$12&gt;=0,$F$12&lt;1),INDEX('Pilot inputs'!$AP$15:$AP$44,MATCH(B207,'Pilot inputs'!$B$15:$B$44,0)),"Unranked"),"Unranked")</f>
        <v>75</v>
      </c>
      <c r="L207" s="145">
        <f t="shared" si="129"/>
        <v>60</v>
      </c>
      <c r="M207" s="145">
        <f>IFERROR(__xludf.DUMMYFUNCTION("IFERROR(IF(ISNUMBER(L207),1+COUNTIF(FILTER($G$15:$G$24,$A$15:$A$24&lt;&gt;B207),""&gt;""&amp;L207)+COUNTIF(FILTER($G$15:$G$24,$A$15:$A$24&lt;&gt;B207),L207)/2,""Unranked""),""Unranked"")"),5.0)</f>
        <v>5</v>
      </c>
      <c r="N207" s="145">
        <f t="shared" si="130"/>
        <v>60.5</v>
      </c>
      <c r="O207" s="145">
        <f>IFERROR(__xludf.DUMMYFUNCTION("IFERROR(IF(ISNUMBER(N207),1+COUNTIF(FILTER($I$15:$I$24,$A$15:$A$24&lt;&gt;B207),""&gt;""&amp;N207)+COUNTIF(FILTER($I$15:$I$24,$A$15:$A$24&lt;&gt;B207),N207)/2,""Unranked""),""Unranked"")"),4.0)</f>
        <v>4</v>
      </c>
      <c r="P207" s="145">
        <f t="shared" si="131"/>
        <v>49.75</v>
      </c>
      <c r="Q207" s="145">
        <f>IFERROR(__xludf.DUMMYFUNCTION("IFERROR(IF(ISNUMBER(P207),1+COUNTIF(FILTER($K$15:$K$24,$A$15:$A$24&lt;&gt;B207),""&gt;""&amp;P207)+COUNTIF(FILTER($K$15:$K$24,$A$15:$A$24&lt;&gt;B207),P207)/2,""Unranked""),""Unranked"")"),6.0)</f>
        <v>6</v>
      </c>
      <c r="R207" s="145">
        <f t="shared" si="132"/>
        <v>0</v>
      </c>
      <c r="S207" s="145">
        <f t="shared" si="133"/>
        <v>0</v>
      </c>
      <c r="T207" s="145">
        <f t="shared" si="134"/>
        <v>0</v>
      </c>
      <c r="U207" s="93" t="s">
        <v>1717</v>
      </c>
      <c r="V207" s="93" t="s">
        <v>1718</v>
      </c>
      <c r="W207" s="93"/>
      <c r="X207" s="93"/>
    </row>
    <row r="208" ht="24.0" customHeight="1">
      <c r="A208" s="93">
        <v>64.0</v>
      </c>
      <c r="B208" s="93" t="s">
        <v>311</v>
      </c>
      <c r="C208" s="93" t="s">
        <v>313</v>
      </c>
      <c r="D208" s="93" t="s">
        <v>1743</v>
      </c>
      <c r="E208" s="145">
        <v>1.0</v>
      </c>
      <c r="F208" s="145">
        <f t="array" ref="F208">INDEX('Pilot inputs'!$R$15:$R$44,MATCH(B208,'Pilot inputs'!$B$15:$B$44,0))</f>
        <v>164.683</v>
      </c>
      <c r="G208" s="145">
        <f t="shared" si="128"/>
        <v>172.91715</v>
      </c>
      <c r="H208" s="145">
        <f t="array" ref="H208">IFERROR(IF(AND(INDEX('Pilot inputs'!$AQ$15:$AQ$44,MATCH(B208,'Pilot inputs'!$B$15:$B$44,0))=1,ISNUMBER($F$12),$F$12&gt;=0,$F$12&lt;1),INDEX('Pilot inputs'!$AG$15:$AG$44,MATCH(B208,'Pilot inputs'!$B$15:$B$44,0)),"Unranked"),"Unranked")</f>
        <v>100</v>
      </c>
      <c r="I208" s="145">
        <f t="array" ref="I208">IFERROR(IF(AND(INDEX('Pilot inputs'!$AQ$15:$AQ$44,MATCH(B208,'Pilot inputs'!$B$15:$B$44,0))=1,ISNUMBER($F$12),$F$12&gt;=0,$F$12&lt;1),INDEX('Pilot inputs'!$AL$15:$AL$44,MATCH(B208,'Pilot inputs'!$B$15:$B$44,0)),"Unranked"),"Unranked")</f>
        <v>15</v>
      </c>
      <c r="J208" s="145">
        <f>IFERROR(__xludf.DUMMYFUNCTION("IFERROR(IF(AND(INDEX('Pilot inputs'!$AQ$15:$AQ$44,MATCH(B208,'Pilot inputs'!$B$15:$B$44,0))=1,ISNUMBER($F$12),$F$12&gt;=0,$F$12&lt;1),LET(peer_values,FILTER('Pilot inputs'!$AB$15:$AB$44,'Pilot inputs'!$D$15:$D$44=INDEX('Pilot inputs'!$D$15:$D$44,MATCH(B208,'Pil"&amp;"ot inputs'!$B$15:$B$44,0)),'Pilot inputs'!$B$15:$B$44&lt;&gt;B208,'Pilot inputs'!$AA$15:$AA$44=1),peer_count,ROWS(peer_values),IF(peer_count+1&lt;MAX(3,Rules!$B$12),""Unranked"",100*(SUMPRODUCT(N(peer_values&lt;((G208/INDEX('Pilot inputs'!$T$15:$T$44,MATCH(B208,'Pilo"&amp;"t inputs'!$B$15:$B$44,0)))^(1/3)-1)))+SUMPRODUCT(N(peer_values=((G208/INDEX('Pilot inputs'!$T$15:$T$44,MATCH(B208,'Pilot inputs'!$B$15:$B$44,0)))^(1/3)-1)))/2)/peer_count)),""Unranked""),""Unranked"")"),100.0)</f>
        <v>100</v>
      </c>
      <c r="K208" s="145">
        <f t="array" ref="K208">IFERROR(IF(AND(INDEX('Pilot inputs'!$AQ$15:$AQ$44,MATCH(B208,'Pilot inputs'!$B$15:$B$44,0))=1,ISNUMBER($F$12),$F$12&gt;=0,$F$12&lt;1),INDEX('Pilot inputs'!$AP$15:$AP$44,MATCH(B208,'Pilot inputs'!$B$15:$B$44,0)),"Unranked"),"Unranked")</f>
        <v>75</v>
      </c>
      <c r="L208" s="145">
        <f t="shared" si="129"/>
        <v>72.5</v>
      </c>
      <c r="M208" s="145">
        <f>IFERROR(__xludf.DUMMYFUNCTION("IFERROR(IF(ISNUMBER(L208),1+COUNTIF(FILTER($G$15:$G$24,$A$15:$A$24&lt;&gt;B208),""&gt;""&amp;L208)+COUNTIF(FILTER($G$15:$G$24,$A$15:$A$24&lt;&gt;B208),L208)/2,""Unranked""),""Unranked"")"),1.0)</f>
        <v>1</v>
      </c>
      <c r="N208" s="145">
        <f t="shared" si="130"/>
        <v>73</v>
      </c>
      <c r="O208" s="145">
        <f>IFERROR(__xludf.DUMMYFUNCTION("IFERROR(IF(ISNUMBER(N208),1+COUNTIF(FILTER($I$15:$I$24,$A$15:$A$24&lt;&gt;B208),""&gt;""&amp;N208)+COUNTIF(FILTER($I$15:$I$24,$A$15:$A$24&lt;&gt;B208),N208)/2,""Unranked""),""Unranked"")"),1.0)</f>
        <v>1</v>
      </c>
      <c r="P208" s="145">
        <f t="shared" si="131"/>
        <v>59.75</v>
      </c>
      <c r="Q208" s="145">
        <f>IFERROR(__xludf.DUMMYFUNCTION("IFERROR(IF(ISNUMBER(P208),1+COUNTIF(FILTER($K$15:$K$24,$A$15:$A$24&lt;&gt;B208),""&gt;""&amp;P208)+COUNTIF(FILTER($K$15:$K$24,$A$15:$A$24&lt;&gt;B208),P208)/2,""Unranked""),""Unranked"")"),5.0)</f>
        <v>5</v>
      </c>
      <c r="R208" s="145">
        <f t="shared" si="132"/>
        <v>4</v>
      </c>
      <c r="S208" s="145">
        <f t="shared" si="133"/>
        <v>3</v>
      </c>
      <c r="T208" s="145">
        <f t="shared" si="134"/>
        <v>1</v>
      </c>
      <c r="U208" s="93" t="s">
        <v>1717</v>
      </c>
      <c r="V208" s="93" t="s">
        <v>1718</v>
      </c>
      <c r="W208" s="93"/>
      <c r="X208" s="93"/>
    </row>
    <row r="209" ht="24.0" customHeight="1">
      <c r="A209" s="93">
        <v>65.0</v>
      </c>
      <c r="B209" s="93" t="s">
        <v>1391</v>
      </c>
      <c r="C209" s="93" t="s">
        <v>318</v>
      </c>
      <c r="D209" s="93" t="s">
        <v>68</v>
      </c>
      <c r="E209" s="145">
        <v>-1.0</v>
      </c>
      <c r="F209" s="145">
        <f t="array" ref="F209">INDEX('Pilot inputs'!$F$15:$F$44,MATCH(B209,'Pilot inputs'!$B$15:$B$44,0))</f>
        <v>92.51</v>
      </c>
      <c r="G209" s="145">
        <f t="shared" si="128"/>
        <v>87.8845</v>
      </c>
      <c r="H209" s="145">
        <f>IFERROR(__xludf.DUMMYFUNCTION("IFERROR(IF(AND(INDEX('Pilot inputs'!$AQ$15:$AQ$44,MATCH(B209,'Pilot inputs'!$B$15:$B$44,0))=1,ISNUMBER($F$12),$F$12&gt;=0,$F$12&lt;1),(LET(peer_values,FILTER('Pilot inputs'!$F$15:$F$44,'Pilot inputs'!$D$15:$D$44=INDEX('Pilot inputs'!$D$15:$D$44,MATCH(B209,'Pilo"&amp;"t inputs'!$B$15:$B$44,0)),'Pilot inputs'!$B$15:$B$44&lt;&gt;B209,'Pilot inputs'!$AA$15:$AA$44=1),peer_count,ROWS(peer_values),IF(peer_count+1&lt;MAX(3,Rules!$B$12),""Unranked"",100*(SUMPRODUCT(N(peer_values&lt;G209))+SUMPRODUCT(N(peer_values=G209))/2)/peer_count))+IN"&amp;"DEX('Pilot inputs'!$AF$15:$AF$44,MATCH(B209,'Pilot inputs'!$B$15:$B$44,0)))/2,""Unranked""),""Unranked"")"),50.0)</f>
        <v>50</v>
      </c>
      <c r="I209" s="145">
        <f t="array" ref="I209">IFERROR(IF(AND(INDEX('Pilot inputs'!$AQ$15:$AQ$44,MATCH(B209,'Pilot inputs'!$B$15:$B$44,0))=1,ISNUMBER($F$12),$F$12&gt;=0,$F$12&lt;1),INDEX('Pilot inputs'!$AL$15:$AL$44,MATCH(B209,'Pilot inputs'!$B$15:$B$44,0)),"Unranked"),"Unranked")</f>
        <v>100</v>
      </c>
      <c r="J209" s="145">
        <f t="array" ref="J209">IFERROR(IF(AND(INDEX('Pilot inputs'!$AQ$15:$AQ$44,MATCH(B209,'Pilot inputs'!$B$15:$B$44,0))=1,ISNUMBER($F$12),$F$12&gt;=0,$F$12&lt;1),INDEX('Pilot inputs'!$AM$15:$AM$44,MATCH(B209,'Pilot inputs'!$B$15:$B$44,0)),"Unranked"),"Unranked")</f>
        <v>50</v>
      </c>
      <c r="K209" s="145">
        <f t="array" ref="K209">IFERROR(IF(AND(INDEX('Pilot inputs'!$AQ$15:$AQ$44,MATCH(B209,'Pilot inputs'!$B$15:$B$44,0))=1,ISNUMBER($F$12),$F$12&gt;=0,$F$12&lt;1),INDEX('Pilot inputs'!$AP$15:$AP$44,MATCH(B209,'Pilot inputs'!$B$15:$B$44,0)),"Unranked"),"Unranked")</f>
        <v>75</v>
      </c>
      <c r="L209" s="145">
        <f t="shared" si="129"/>
        <v>68.75</v>
      </c>
      <c r="M209" s="145">
        <f>IFERROR(__xludf.DUMMYFUNCTION("IFERROR(IF(ISNUMBER(L209),1+COUNTIF(FILTER($G$15:$G$24,$A$15:$A$24&lt;&gt;B209),""&gt;""&amp;L209)+COUNTIF(FILTER($G$15:$G$24,$A$15:$A$24&lt;&gt;B209),L209)/2,""Unranked""),""Unranked"")"),2.5)</f>
        <v>2.5</v>
      </c>
      <c r="N209" s="145">
        <f t="shared" si="130"/>
        <v>70</v>
      </c>
      <c r="O209" s="145">
        <f>IFERROR(__xludf.DUMMYFUNCTION("IFERROR(IF(ISNUMBER(N209),1+COUNTIF(FILTER($I$15:$I$24,$A$15:$A$24&lt;&gt;B209),""&gt;""&amp;N209)+COUNTIF(FILTER($I$15:$I$24,$A$15:$A$24&lt;&gt;B209),N209)/2,""Unranked""),""Unranked"")"),1.0)</f>
        <v>1</v>
      </c>
      <c r="P209" s="145">
        <f t="shared" si="131"/>
        <v>76.25</v>
      </c>
      <c r="Q209" s="145">
        <f>IFERROR(__xludf.DUMMYFUNCTION("IFERROR(IF(ISNUMBER(P209),1+COUNTIF(FILTER($K$15:$K$24,$A$15:$A$24&lt;&gt;B209),""&gt;""&amp;P209)+COUNTIF(FILTER($K$15:$K$24,$A$15:$A$24&lt;&gt;B209),P209)/2,""Unranked""),""Unranked"")"),1.0)</f>
        <v>1</v>
      </c>
      <c r="R209" s="145">
        <f t="shared" si="132"/>
        <v>0</v>
      </c>
      <c r="S209" s="145">
        <f t="shared" si="133"/>
        <v>0</v>
      </c>
      <c r="T209" s="145">
        <f t="shared" si="134"/>
        <v>0</v>
      </c>
      <c r="U209" s="93" t="s">
        <v>1717</v>
      </c>
      <c r="V209" s="93" t="s">
        <v>1718</v>
      </c>
      <c r="W209" s="93"/>
      <c r="X209" s="93"/>
    </row>
    <row r="210" ht="24.0" customHeight="1">
      <c r="A210" s="93">
        <v>66.0</v>
      </c>
      <c r="B210" s="93" t="s">
        <v>1391</v>
      </c>
      <c r="C210" s="93" t="s">
        <v>318</v>
      </c>
      <c r="D210" s="93" t="s">
        <v>68</v>
      </c>
      <c r="E210" s="145">
        <v>1.0</v>
      </c>
      <c r="F210" s="145">
        <f t="array" ref="F210">INDEX('Pilot inputs'!$F$15:$F$44,MATCH(B210,'Pilot inputs'!$B$15:$B$44,0))</f>
        <v>92.51</v>
      </c>
      <c r="G210" s="145">
        <f t="shared" si="128"/>
        <v>97.1355</v>
      </c>
      <c r="H210" s="145">
        <f>IFERROR(__xludf.DUMMYFUNCTION("IFERROR(IF(AND(INDEX('Pilot inputs'!$AQ$15:$AQ$44,MATCH(B210,'Pilot inputs'!$B$15:$B$44,0))=1,ISNUMBER($F$12),$F$12&gt;=0,$F$12&lt;1),(LET(peer_values,FILTER('Pilot inputs'!$F$15:$F$44,'Pilot inputs'!$D$15:$D$44=INDEX('Pilot inputs'!$D$15:$D$44,MATCH(B210,'Pilo"&amp;"t inputs'!$B$15:$B$44,0)),'Pilot inputs'!$B$15:$B$44&lt;&gt;B210,'Pilot inputs'!$AA$15:$AA$44=1),peer_count,ROWS(peer_values),IF(peer_count+1&lt;MAX(3,Rules!$B$12),""Unranked"",100*(SUMPRODUCT(N(peer_values&lt;G210))+SUMPRODUCT(N(peer_values=G210))/2)/peer_count))+IN"&amp;"DEX('Pilot inputs'!$AF$15:$AF$44,MATCH(B210,'Pilot inputs'!$B$15:$B$44,0)))/2,""Unranked""),""Unranked"")"),50.0)</f>
        <v>50</v>
      </c>
      <c r="I210" s="145">
        <f t="array" ref="I210">IFERROR(IF(AND(INDEX('Pilot inputs'!$AQ$15:$AQ$44,MATCH(B210,'Pilot inputs'!$B$15:$B$44,0))=1,ISNUMBER($F$12),$F$12&gt;=0,$F$12&lt;1),INDEX('Pilot inputs'!$AL$15:$AL$44,MATCH(B210,'Pilot inputs'!$B$15:$B$44,0)),"Unranked"),"Unranked")</f>
        <v>100</v>
      </c>
      <c r="J210" s="145">
        <f t="array" ref="J210">IFERROR(IF(AND(INDEX('Pilot inputs'!$AQ$15:$AQ$44,MATCH(B210,'Pilot inputs'!$B$15:$B$44,0))=1,ISNUMBER($F$12),$F$12&gt;=0,$F$12&lt;1),INDEX('Pilot inputs'!$AM$15:$AM$44,MATCH(B210,'Pilot inputs'!$B$15:$B$44,0)),"Unranked"),"Unranked")</f>
        <v>50</v>
      </c>
      <c r="K210" s="145">
        <f t="array" ref="K210">IFERROR(IF(AND(INDEX('Pilot inputs'!$AQ$15:$AQ$44,MATCH(B210,'Pilot inputs'!$B$15:$B$44,0))=1,ISNUMBER($F$12),$F$12&gt;=0,$F$12&lt;1),INDEX('Pilot inputs'!$AP$15:$AP$44,MATCH(B210,'Pilot inputs'!$B$15:$B$44,0)),"Unranked"),"Unranked")</f>
        <v>75</v>
      </c>
      <c r="L210" s="145">
        <f t="shared" si="129"/>
        <v>68.75</v>
      </c>
      <c r="M210" s="145">
        <f>IFERROR(__xludf.DUMMYFUNCTION("IFERROR(IF(ISNUMBER(L210),1+COUNTIF(FILTER($G$15:$G$24,$A$15:$A$24&lt;&gt;B210),""&gt;""&amp;L210)+COUNTIF(FILTER($G$15:$G$24,$A$15:$A$24&lt;&gt;B210),L210)/2,""Unranked""),""Unranked"")"),2.5)</f>
        <v>2.5</v>
      </c>
      <c r="N210" s="145">
        <f t="shared" si="130"/>
        <v>70</v>
      </c>
      <c r="O210" s="145">
        <f>IFERROR(__xludf.DUMMYFUNCTION("IFERROR(IF(ISNUMBER(N210),1+COUNTIF(FILTER($I$15:$I$24,$A$15:$A$24&lt;&gt;B210),""&gt;""&amp;N210)+COUNTIF(FILTER($I$15:$I$24,$A$15:$A$24&lt;&gt;B210),N210)/2,""Unranked""),""Unranked"")"),1.0)</f>
        <v>1</v>
      </c>
      <c r="P210" s="145">
        <f t="shared" si="131"/>
        <v>76.25</v>
      </c>
      <c r="Q210" s="145">
        <f>IFERROR(__xludf.DUMMYFUNCTION("IFERROR(IF(ISNUMBER(P210),1+COUNTIF(FILTER($K$15:$K$24,$A$15:$A$24&lt;&gt;B210),""&gt;""&amp;P210)+COUNTIF(FILTER($K$15:$K$24,$A$15:$A$24&lt;&gt;B210),P210)/2,""Unranked""),""Unranked"")"),1.0)</f>
        <v>1</v>
      </c>
      <c r="R210" s="145">
        <f t="shared" si="132"/>
        <v>0</v>
      </c>
      <c r="S210" s="145">
        <f t="shared" si="133"/>
        <v>0</v>
      </c>
      <c r="T210" s="145">
        <f t="shared" si="134"/>
        <v>0</v>
      </c>
      <c r="U210" s="93" t="s">
        <v>1717</v>
      </c>
      <c r="V210" s="93" t="s">
        <v>1718</v>
      </c>
      <c r="W210" s="93"/>
      <c r="X210" s="93"/>
    </row>
    <row r="211" ht="24.0" customHeight="1">
      <c r="A211" s="93">
        <v>67.0</v>
      </c>
      <c r="B211" s="93" t="s">
        <v>1391</v>
      </c>
      <c r="C211" s="93" t="s">
        <v>318</v>
      </c>
      <c r="D211" s="93" t="s">
        <v>1720</v>
      </c>
      <c r="E211" s="145">
        <v>-1.0</v>
      </c>
      <c r="F211" s="145">
        <f t="array" ref="F211">INDEX('Pilot inputs'!$H$15:$H$44,MATCH(B211,'Pilot inputs'!$B$15:$B$44,0))</f>
        <v>25.97</v>
      </c>
      <c r="G211" s="145">
        <f t="shared" si="128"/>
        <v>24.6715</v>
      </c>
      <c r="H211" s="145">
        <f>IFERROR(__xludf.DUMMYFUNCTION("IFERROR(IF(AND(INDEX('Pilot inputs'!$AQ$15:$AQ$44,MATCH(B211,'Pilot inputs'!$B$15:$B$44,0))=1,ISNUMBER($F$12),$F$12&gt;=0,$F$12&lt;1),(LET(peer_values,FILTER('Pilot inputs'!$H$15:$H$44,'Pilot inputs'!$D$15:$D$44=INDEX('Pilot inputs'!$D$15:$D$44,MATCH(B211,'Pilo"&amp;"t inputs'!$B$15:$B$44,0)),'Pilot inputs'!$B$15:$B$44&lt;&gt;B211,'Pilot inputs'!$AA$15:$AA$44=1),peer_count,ROWS(peer_values),IF(peer_count+1&lt;MAX(3,Rules!$B$12),""Unranked"",100*(SUMPRODUCT(N(peer_values&lt;G211))+SUMPRODUCT(N(peer_values=G211))/2)/peer_count))+IN"&amp;"DEX('Pilot inputs'!$AE$15:$AE$44,MATCH(B211,'Pilot inputs'!$B$15:$B$44,0)))/2,""Unranked""),""Unranked"")"),50.0)</f>
        <v>50</v>
      </c>
      <c r="I211" s="145">
        <f t="array" ref="I211">IFERROR(IF(AND(INDEX('Pilot inputs'!$AQ$15:$AQ$44,MATCH(B211,'Pilot inputs'!$B$15:$B$44,0))=1,ISNUMBER($F$12),$F$12&gt;=0,$F$12&lt;1),INDEX('Pilot inputs'!$AL$15:$AL$44,MATCH(B211,'Pilot inputs'!$B$15:$B$44,0)),"Unranked"),"Unranked")</f>
        <v>100</v>
      </c>
      <c r="J211" s="145">
        <f t="array" ref="J211">IFERROR(IF(AND(INDEX('Pilot inputs'!$AQ$15:$AQ$44,MATCH(B211,'Pilot inputs'!$B$15:$B$44,0))=1,ISNUMBER($F$12),$F$12&gt;=0,$F$12&lt;1),INDEX('Pilot inputs'!$AM$15:$AM$44,MATCH(B211,'Pilot inputs'!$B$15:$B$44,0)),"Unranked"),"Unranked")</f>
        <v>50</v>
      </c>
      <c r="K211" s="145">
        <f t="array" ref="K211">IFERROR(IF(AND(INDEX('Pilot inputs'!$AQ$15:$AQ$44,MATCH(B211,'Pilot inputs'!$B$15:$B$44,0))=1,ISNUMBER($F$12),$F$12&gt;=0,$F$12&lt;1),INDEX('Pilot inputs'!$AP$15:$AP$44,MATCH(B211,'Pilot inputs'!$B$15:$B$44,0)),"Unranked"),"Unranked")</f>
        <v>75</v>
      </c>
      <c r="L211" s="145">
        <f t="shared" si="129"/>
        <v>68.75</v>
      </c>
      <c r="M211" s="145">
        <f>IFERROR(__xludf.DUMMYFUNCTION("IFERROR(IF(ISNUMBER(L211),1+COUNTIF(FILTER($G$15:$G$24,$A$15:$A$24&lt;&gt;B211),""&gt;""&amp;L211)+COUNTIF(FILTER($G$15:$G$24,$A$15:$A$24&lt;&gt;B211),L211)/2,""Unranked""),""Unranked"")"),2.5)</f>
        <v>2.5</v>
      </c>
      <c r="N211" s="145">
        <f t="shared" si="130"/>
        <v>70</v>
      </c>
      <c r="O211" s="145">
        <f>IFERROR(__xludf.DUMMYFUNCTION("IFERROR(IF(ISNUMBER(N211),1+COUNTIF(FILTER($I$15:$I$24,$A$15:$A$24&lt;&gt;B211),""&gt;""&amp;N211)+COUNTIF(FILTER($I$15:$I$24,$A$15:$A$24&lt;&gt;B211),N211)/2,""Unranked""),""Unranked"")"),1.0)</f>
        <v>1</v>
      </c>
      <c r="P211" s="145">
        <f t="shared" si="131"/>
        <v>76.25</v>
      </c>
      <c r="Q211" s="145">
        <f>IFERROR(__xludf.DUMMYFUNCTION("IFERROR(IF(ISNUMBER(P211),1+COUNTIF(FILTER($K$15:$K$24,$A$15:$A$24&lt;&gt;B211),""&gt;""&amp;P211)+COUNTIF(FILTER($K$15:$K$24,$A$15:$A$24&lt;&gt;B211),P211)/2,""Unranked""),""Unranked"")"),1.0)</f>
        <v>1</v>
      </c>
      <c r="R211" s="145">
        <f t="shared" si="132"/>
        <v>0</v>
      </c>
      <c r="S211" s="145">
        <f t="shared" si="133"/>
        <v>0</v>
      </c>
      <c r="T211" s="145">
        <f t="shared" si="134"/>
        <v>0</v>
      </c>
      <c r="U211" s="93" t="s">
        <v>1717</v>
      </c>
      <c r="V211" s="93" t="s">
        <v>1718</v>
      </c>
      <c r="W211" s="93"/>
      <c r="X211" s="93"/>
    </row>
    <row r="212" ht="24.0" customHeight="1">
      <c r="A212" s="93">
        <v>68.0</v>
      </c>
      <c r="B212" s="93" t="s">
        <v>1391</v>
      </c>
      <c r="C212" s="93" t="s">
        <v>318</v>
      </c>
      <c r="D212" s="93" t="s">
        <v>1720</v>
      </c>
      <c r="E212" s="145">
        <v>1.0</v>
      </c>
      <c r="F212" s="145">
        <f t="array" ref="F212">INDEX('Pilot inputs'!$H$15:$H$44,MATCH(B212,'Pilot inputs'!$B$15:$B$44,0))</f>
        <v>25.97</v>
      </c>
      <c r="G212" s="145">
        <f t="shared" si="128"/>
        <v>27.2685</v>
      </c>
      <c r="H212" s="145">
        <f>IFERROR(__xludf.DUMMYFUNCTION("IFERROR(IF(AND(INDEX('Pilot inputs'!$AQ$15:$AQ$44,MATCH(B212,'Pilot inputs'!$B$15:$B$44,0))=1,ISNUMBER($F$12),$F$12&gt;=0,$F$12&lt;1),(LET(peer_values,FILTER('Pilot inputs'!$H$15:$H$44,'Pilot inputs'!$D$15:$D$44=INDEX('Pilot inputs'!$D$15:$D$44,MATCH(B212,'Pilo"&amp;"t inputs'!$B$15:$B$44,0)),'Pilot inputs'!$B$15:$B$44&lt;&gt;B212,'Pilot inputs'!$AA$15:$AA$44=1),peer_count,ROWS(peer_values),IF(peer_count+1&lt;MAX(3,Rules!$B$12),""Unranked"",100*(SUMPRODUCT(N(peer_values&lt;G212))+SUMPRODUCT(N(peer_values=G212))/2)/peer_count))+IN"&amp;"DEX('Pilot inputs'!$AE$15:$AE$44,MATCH(B212,'Pilot inputs'!$B$15:$B$44,0)))/2,""Unranked""),""Unranked"")"),50.0)</f>
        <v>50</v>
      </c>
      <c r="I212" s="145">
        <f t="array" ref="I212">IFERROR(IF(AND(INDEX('Pilot inputs'!$AQ$15:$AQ$44,MATCH(B212,'Pilot inputs'!$B$15:$B$44,0))=1,ISNUMBER($F$12),$F$12&gt;=0,$F$12&lt;1),INDEX('Pilot inputs'!$AL$15:$AL$44,MATCH(B212,'Pilot inputs'!$B$15:$B$44,0)),"Unranked"),"Unranked")</f>
        <v>100</v>
      </c>
      <c r="J212" s="145">
        <f t="array" ref="J212">IFERROR(IF(AND(INDEX('Pilot inputs'!$AQ$15:$AQ$44,MATCH(B212,'Pilot inputs'!$B$15:$B$44,0))=1,ISNUMBER($F$12),$F$12&gt;=0,$F$12&lt;1),INDEX('Pilot inputs'!$AM$15:$AM$44,MATCH(B212,'Pilot inputs'!$B$15:$B$44,0)),"Unranked"),"Unranked")</f>
        <v>50</v>
      </c>
      <c r="K212" s="145">
        <f t="array" ref="K212">IFERROR(IF(AND(INDEX('Pilot inputs'!$AQ$15:$AQ$44,MATCH(B212,'Pilot inputs'!$B$15:$B$44,0))=1,ISNUMBER($F$12),$F$12&gt;=0,$F$12&lt;1),INDEX('Pilot inputs'!$AP$15:$AP$44,MATCH(B212,'Pilot inputs'!$B$15:$B$44,0)),"Unranked"),"Unranked")</f>
        <v>75</v>
      </c>
      <c r="L212" s="145">
        <f t="shared" si="129"/>
        <v>68.75</v>
      </c>
      <c r="M212" s="145">
        <f>IFERROR(__xludf.DUMMYFUNCTION("IFERROR(IF(ISNUMBER(L212),1+COUNTIF(FILTER($G$15:$G$24,$A$15:$A$24&lt;&gt;B212),""&gt;""&amp;L212)+COUNTIF(FILTER($G$15:$G$24,$A$15:$A$24&lt;&gt;B212),L212)/2,""Unranked""),""Unranked"")"),2.5)</f>
        <v>2.5</v>
      </c>
      <c r="N212" s="145">
        <f t="shared" si="130"/>
        <v>70</v>
      </c>
      <c r="O212" s="145">
        <f>IFERROR(__xludf.DUMMYFUNCTION("IFERROR(IF(ISNUMBER(N212),1+COUNTIF(FILTER($I$15:$I$24,$A$15:$A$24&lt;&gt;B212),""&gt;""&amp;N212)+COUNTIF(FILTER($I$15:$I$24,$A$15:$A$24&lt;&gt;B212),N212)/2,""Unranked""),""Unranked"")"),1.0)</f>
        <v>1</v>
      </c>
      <c r="P212" s="145">
        <f t="shared" si="131"/>
        <v>76.25</v>
      </c>
      <c r="Q212" s="145">
        <f>IFERROR(__xludf.DUMMYFUNCTION("IFERROR(IF(ISNUMBER(P212),1+COUNTIF(FILTER($K$15:$K$24,$A$15:$A$24&lt;&gt;B212),""&gt;""&amp;P212)+COUNTIF(FILTER($K$15:$K$24,$A$15:$A$24&lt;&gt;B212),P212)/2,""Unranked""),""Unranked"")"),1.0)</f>
        <v>1</v>
      </c>
      <c r="R212" s="145">
        <f t="shared" si="132"/>
        <v>0</v>
      </c>
      <c r="S212" s="145">
        <f t="shared" si="133"/>
        <v>0</v>
      </c>
      <c r="T212" s="145">
        <f t="shared" si="134"/>
        <v>0</v>
      </c>
      <c r="U212" s="93" t="s">
        <v>1717</v>
      </c>
      <c r="V212" s="93" t="s">
        <v>1718</v>
      </c>
      <c r="W212" s="93"/>
      <c r="X212" s="93"/>
    </row>
    <row r="213" ht="24.0" customHeight="1">
      <c r="A213" s="93">
        <v>69.0</v>
      </c>
      <c r="B213" s="93" t="s">
        <v>1391</v>
      </c>
      <c r="C213" s="93" t="s">
        <v>318</v>
      </c>
      <c r="D213" s="93" t="s">
        <v>1230</v>
      </c>
      <c r="E213" s="145">
        <v>-1.0</v>
      </c>
      <c r="F213" s="145">
        <f t="array" ref="F213">INDEX('Pilot inputs'!$K$15:$K$44,MATCH(B213,'Pilot inputs'!$B$15:$B$44,0))</f>
        <v>13.27</v>
      </c>
      <c r="G213" s="145">
        <f t="shared" si="128"/>
        <v>12.6065</v>
      </c>
      <c r="H213" s="145">
        <f t="array" ref="H213">IFERROR(IF(AND(INDEX('Pilot inputs'!$AQ$15:$AQ$44,MATCH(B213,'Pilot inputs'!$B$15:$B$44,0))=1,ISNUMBER($F$12),$F$12&gt;=0,$F$12&lt;1),INDEX('Pilot inputs'!$AG$15:$AG$44,MATCH(B213,'Pilot inputs'!$B$15:$B$44,0)),"Unranked"),"Unranked")</f>
        <v>50</v>
      </c>
      <c r="I213" s="145">
        <f>IFERROR(__xludf.DUMMYFUNCTION("IFERROR(IF(AND(INDEX('Pilot inputs'!$AQ$15:$AQ$44,MATCH(B213,'Pilot inputs'!$B$15:$B$44,0))=1,ISNUMBER($F$12),$F$12&gt;=0,$F$12&lt;1),INDEX('Pilot inputs'!$AL$15:$AL$44,MATCH(B213,'Pilot inputs'!$B$15:$B$44,0))+IF(C213=""Utilities"",0.4,0.35)*((100-LET(peer_val"&amp;"ues,FILTER('Pilot inputs'!$K$15:$K$44,'Pilot inputs'!$D$15:$D$44=INDEX('Pilot inputs'!$D$15:$D$44,MATCH(B213,'Pilot inputs'!$B$15:$B$44,0)),'Pilot inputs'!$B$15:$B$44&lt;&gt;B213,'Pilot inputs'!$AA$15:$AA$44=1),peer_count,ROWS(peer_values),IF(peer_count+1&lt;MAX(3"&amp;",Rules!$B$12),""Unranked"",100*(SUMPRODUCT(N(peer_values&lt;G213))+SUMPRODUCT(N(peer_values=G213))/2)/peer_count)))-INDEX('Pilot inputs'!$AH$15:$AH$44,MATCH(B213,'Pilot inputs'!$B$15:$B$44,0))),""Unranked""),""Unranked"")"),100.0)</f>
        <v>100</v>
      </c>
      <c r="J213" s="145">
        <f t="array" ref="J213">IFERROR(IF(AND(INDEX('Pilot inputs'!$AQ$15:$AQ$44,MATCH(B213,'Pilot inputs'!$B$15:$B$44,0))=1,ISNUMBER($F$12),$F$12&gt;=0,$F$12&lt;1),INDEX('Pilot inputs'!$AM$15:$AM$44,MATCH(B213,'Pilot inputs'!$B$15:$B$44,0)),"Unranked"),"Unranked")</f>
        <v>50</v>
      </c>
      <c r="K213" s="145">
        <f t="array" ref="K213">IFERROR(IF(AND(INDEX('Pilot inputs'!$AQ$15:$AQ$44,MATCH(B213,'Pilot inputs'!$B$15:$B$44,0))=1,ISNUMBER($F$12),$F$12&gt;=0,$F$12&lt;1),INDEX('Pilot inputs'!$AP$15:$AP$44,MATCH(B213,'Pilot inputs'!$B$15:$B$44,0)),"Unranked"),"Unranked")</f>
        <v>75</v>
      </c>
      <c r="L213" s="145">
        <f t="shared" si="129"/>
        <v>68.75</v>
      </c>
      <c r="M213" s="145">
        <f>IFERROR(__xludf.DUMMYFUNCTION("IFERROR(IF(ISNUMBER(L213),1+COUNTIF(FILTER($G$15:$G$24,$A$15:$A$24&lt;&gt;B213),""&gt;""&amp;L213)+COUNTIF(FILTER($G$15:$G$24,$A$15:$A$24&lt;&gt;B213),L213)/2,""Unranked""),""Unranked"")"),2.5)</f>
        <v>2.5</v>
      </c>
      <c r="N213" s="145">
        <f t="shared" si="130"/>
        <v>70</v>
      </c>
      <c r="O213" s="145">
        <f>IFERROR(__xludf.DUMMYFUNCTION("IFERROR(IF(ISNUMBER(N213),1+COUNTIF(FILTER($I$15:$I$24,$A$15:$A$24&lt;&gt;B213),""&gt;""&amp;N213)+COUNTIF(FILTER($I$15:$I$24,$A$15:$A$24&lt;&gt;B213),N213)/2,""Unranked""),""Unranked"")"),1.0)</f>
        <v>1</v>
      </c>
      <c r="P213" s="145">
        <f t="shared" si="131"/>
        <v>76.25</v>
      </c>
      <c r="Q213" s="145">
        <f>IFERROR(__xludf.DUMMYFUNCTION("IFERROR(IF(ISNUMBER(P213),1+COUNTIF(FILTER($K$15:$K$24,$A$15:$A$24&lt;&gt;B213),""&gt;""&amp;P213)+COUNTIF(FILTER($K$15:$K$24,$A$15:$A$24&lt;&gt;B213),P213)/2,""Unranked""),""Unranked"")"),1.0)</f>
        <v>1</v>
      </c>
      <c r="R213" s="145">
        <f t="shared" si="132"/>
        <v>0</v>
      </c>
      <c r="S213" s="145">
        <f t="shared" si="133"/>
        <v>0</v>
      </c>
      <c r="T213" s="145">
        <f t="shared" si="134"/>
        <v>0</v>
      </c>
      <c r="U213" s="93" t="s">
        <v>1717</v>
      </c>
      <c r="V213" s="93" t="s">
        <v>1718</v>
      </c>
      <c r="W213" s="93"/>
      <c r="X213" s="93"/>
    </row>
    <row r="214" ht="24.0" customHeight="1">
      <c r="A214" s="93">
        <v>70.0</v>
      </c>
      <c r="B214" s="93" t="s">
        <v>1391</v>
      </c>
      <c r="C214" s="93" t="s">
        <v>318</v>
      </c>
      <c r="D214" s="93" t="s">
        <v>1230</v>
      </c>
      <c r="E214" s="145">
        <v>1.0</v>
      </c>
      <c r="F214" s="145">
        <f t="array" ref="F214">INDEX('Pilot inputs'!$K$15:$K$44,MATCH(B214,'Pilot inputs'!$B$15:$B$44,0))</f>
        <v>13.27</v>
      </c>
      <c r="G214" s="145">
        <f t="shared" si="128"/>
        <v>13.9335</v>
      </c>
      <c r="H214" s="145">
        <f t="array" ref="H214">IFERROR(IF(AND(INDEX('Pilot inputs'!$AQ$15:$AQ$44,MATCH(B214,'Pilot inputs'!$B$15:$B$44,0))=1,ISNUMBER($F$12),$F$12&gt;=0,$F$12&lt;1),INDEX('Pilot inputs'!$AG$15:$AG$44,MATCH(B214,'Pilot inputs'!$B$15:$B$44,0)),"Unranked"),"Unranked")</f>
        <v>50</v>
      </c>
      <c r="I214" s="145">
        <f>IFERROR(__xludf.DUMMYFUNCTION("IFERROR(IF(AND(INDEX('Pilot inputs'!$AQ$15:$AQ$44,MATCH(B214,'Pilot inputs'!$B$15:$B$44,0))=1,ISNUMBER($F$12),$F$12&gt;=0,$F$12&lt;1),INDEX('Pilot inputs'!$AL$15:$AL$44,MATCH(B214,'Pilot inputs'!$B$15:$B$44,0))+IF(C214=""Utilities"",0.4,0.35)*((100-LET(peer_val"&amp;"ues,FILTER('Pilot inputs'!$K$15:$K$44,'Pilot inputs'!$D$15:$D$44=INDEX('Pilot inputs'!$D$15:$D$44,MATCH(B214,'Pilot inputs'!$B$15:$B$44,0)),'Pilot inputs'!$B$15:$B$44&lt;&gt;B214,'Pilot inputs'!$AA$15:$AA$44=1),peer_count,ROWS(peer_values),IF(peer_count+1&lt;MAX(3"&amp;",Rules!$B$12),""Unranked"",100*(SUMPRODUCT(N(peer_values&lt;G214))+SUMPRODUCT(N(peer_values=G214))/2)/peer_count)))-INDEX('Pilot inputs'!$AH$15:$AH$44,MATCH(B214,'Pilot inputs'!$B$15:$B$44,0))),""Unranked""),""Unranked"")"),100.0)</f>
        <v>100</v>
      </c>
      <c r="J214" s="145">
        <f t="array" ref="J214">IFERROR(IF(AND(INDEX('Pilot inputs'!$AQ$15:$AQ$44,MATCH(B214,'Pilot inputs'!$B$15:$B$44,0))=1,ISNUMBER($F$12),$F$12&gt;=0,$F$12&lt;1),INDEX('Pilot inputs'!$AM$15:$AM$44,MATCH(B214,'Pilot inputs'!$B$15:$B$44,0)),"Unranked"),"Unranked")</f>
        <v>50</v>
      </c>
      <c r="K214" s="145">
        <f t="array" ref="K214">IFERROR(IF(AND(INDEX('Pilot inputs'!$AQ$15:$AQ$44,MATCH(B214,'Pilot inputs'!$B$15:$B$44,0))=1,ISNUMBER($F$12),$F$12&gt;=0,$F$12&lt;1),INDEX('Pilot inputs'!$AP$15:$AP$44,MATCH(B214,'Pilot inputs'!$B$15:$B$44,0)),"Unranked"),"Unranked")</f>
        <v>75</v>
      </c>
      <c r="L214" s="145">
        <f t="shared" si="129"/>
        <v>68.75</v>
      </c>
      <c r="M214" s="145">
        <f>IFERROR(__xludf.DUMMYFUNCTION("IFERROR(IF(ISNUMBER(L214),1+COUNTIF(FILTER($G$15:$G$24,$A$15:$A$24&lt;&gt;B214),""&gt;""&amp;L214)+COUNTIF(FILTER($G$15:$G$24,$A$15:$A$24&lt;&gt;B214),L214)/2,""Unranked""),""Unranked"")"),2.5)</f>
        <v>2.5</v>
      </c>
      <c r="N214" s="145">
        <f t="shared" si="130"/>
        <v>70</v>
      </c>
      <c r="O214" s="145">
        <f>IFERROR(__xludf.DUMMYFUNCTION("IFERROR(IF(ISNUMBER(N214),1+COUNTIF(FILTER($I$15:$I$24,$A$15:$A$24&lt;&gt;B214),""&gt;""&amp;N214)+COUNTIF(FILTER($I$15:$I$24,$A$15:$A$24&lt;&gt;B214),N214)/2,""Unranked""),""Unranked"")"),1.0)</f>
        <v>1</v>
      </c>
      <c r="P214" s="145">
        <f t="shared" si="131"/>
        <v>76.25</v>
      </c>
      <c r="Q214" s="145">
        <f>IFERROR(__xludf.DUMMYFUNCTION("IFERROR(IF(ISNUMBER(P214),1+COUNTIF(FILTER($K$15:$K$24,$A$15:$A$24&lt;&gt;B214),""&gt;""&amp;P214)+COUNTIF(FILTER($K$15:$K$24,$A$15:$A$24&lt;&gt;B214),P214)/2,""Unranked""),""Unranked"")"),1.0)</f>
        <v>1</v>
      </c>
      <c r="R214" s="145">
        <f t="shared" si="132"/>
        <v>0</v>
      </c>
      <c r="S214" s="145">
        <f t="shared" si="133"/>
        <v>0</v>
      </c>
      <c r="T214" s="145">
        <f t="shared" si="134"/>
        <v>0</v>
      </c>
      <c r="U214" s="93" t="s">
        <v>1717</v>
      </c>
      <c r="V214" s="93" t="s">
        <v>1718</v>
      </c>
      <c r="W214" s="93"/>
      <c r="X214" s="93"/>
    </row>
    <row r="215" ht="24.0" customHeight="1">
      <c r="A215" s="93">
        <v>71.0</v>
      </c>
      <c r="B215" s="93" t="s">
        <v>1391</v>
      </c>
      <c r="C215" s="93" t="s">
        <v>318</v>
      </c>
      <c r="D215" s="93" t="s">
        <v>1740</v>
      </c>
      <c r="E215" s="145">
        <v>-1.0</v>
      </c>
      <c r="F215" s="145">
        <f t="array" ref="F215">INDEX('Pilot inputs'!$L$15:$L$44,MATCH(B215,'Pilot inputs'!$B$15:$B$44,0))</f>
        <v>9.44</v>
      </c>
      <c r="G215" s="145">
        <f t="shared" si="128"/>
        <v>8.968</v>
      </c>
      <c r="H215" s="145">
        <f t="array" ref="H215">IFERROR(IF(AND(INDEX('Pilot inputs'!$AQ$15:$AQ$44,MATCH(B215,'Pilot inputs'!$B$15:$B$44,0))=1,ISNUMBER($F$12),$F$12&gt;=0,$F$12&lt;1),INDEX('Pilot inputs'!$AG$15:$AG$44,MATCH(B215,'Pilot inputs'!$B$15:$B$44,0)),"Unranked"),"Unranked")</f>
        <v>50</v>
      </c>
      <c r="I215" s="145">
        <f>IFERROR(__xludf.DUMMYFUNCTION("IFERROR(IF(AND(INDEX('Pilot inputs'!$AQ$15:$AQ$44,MATCH(B215,'Pilot inputs'!$B$15:$B$44,0))=1,ISNUMBER($F$12),$F$12&gt;=0,$F$12&lt;1),INDEX('Pilot inputs'!$AL$15:$AL$44,MATCH(B215,'Pilot inputs'!$B$15:$B$44,0))+IF(C215=""Utilities"",0.4,0.35)*((100-LET(peer_val"&amp;"ues,FILTER('Pilot inputs'!$L$15:$L$44,'Pilot inputs'!$D$15:$D$44=INDEX('Pilot inputs'!$D$15:$D$44,MATCH(B215,'Pilot inputs'!$B$15:$B$44,0)),'Pilot inputs'!$B$15:$B$44&lt;&gt;B215,'Pilot inputs'!$AA$15:$AA$44=1),peer_count,ROWS(peer_values),IF(peer_count+1&lt;MAX(3"&amp;",Rules!$B$12),""Unranked"",100*(SUMPRODUCT(N(peer_values&lt;G215))+SUMPRODUCT(N(peer_values=G215))/2)/peer_count)))-INDEX('Pilot inputs'!$AI$15:$AI$44,MATCH(B215,'Pilot inputs'!$B$15:$B$44,0))),""Unranked""),""Unranked"")"),100.0)</f>
        <v>100</v>
      </c>
      <c r="J215" s="145">
        <f t="array" ref="J215">IFERROR(IF(AND(INDEX('Pilot inputs'!$AQ$15:$AQ$44,MATCH(B215,'Pilot inputs'!$B$15:$B$44,0))=1,ISNUMBER($F$12),$F$12&gt;=0,$F$12&lt;1),INDEX('Pilot inputs'!$AM$15:$AM$44,MATCH(B215,'Pilot inputs'!$B$15:$B$44,0)),"Unranked"),"Unranked")</f>
        <v>50</v>
      </c>
      <c r="K215" s="145">
        <f t="array" ref="K215">IFERROR(IF(AND(INDEX('Pilot inputs'!$AQ$15:$AQ$44,MATCH(B215,'Pilot inputs'!$B$15:$B$44,0))=1,ISNUMBER($F$12),$F$12&gt;=0,$F$12&lt;1),INDEX('Pilot inputs'!$AP$15:$AP$44,MATCH(B215,'Pilot inputs'!$B$15:$B$44,0)),"Unranked"),"Unranked")</f>
        <v>75</v>
      </c>
      <c r="L215" s="145">
        <f t="shared" si="129"/>
        <v>68.75</v>
      </c>
      <c r="M215" s="145">
        <f>IFERROR(__xludf.DUMMYFUNCTION("IFERROR(IF(ISNUMBER(L215),1+COUNTIF(FILTER($G$15:$G$24,$A$15:$A$24&lt;&gt;B215),""&gt;""&amp;L215)+COUNTIF(FILTER($G$15:$G$24,$A$15:$A$24&lt;&gt;B215),L215)/2,""Unranked""),""Unranked"")"),2.5)</f>
        <v>2.5</v>
      </c>
      <c r="N215" s="145">
        <f t="shared" si="130"/>
        <v>70</v>
      </c>
      <c r="O215" s="145">
        <f>IFERROR(__xludf.DUMMYFUNCTION("IFERROR(IF(ISNUMBER(N215),1+COUNTIF(FILTER($I$15:$I$24,$A$15:$A$24&lt;&gt;B215),""&gt;""&amp;N215)+COUNTIF(FILTER($I$15:$I$24,$A$15:$A$24&lt;&gt;B215),N215)/2,""Unranked""),""Unranked"")"),1.0)</f>
        <v>1</v>
      </c>
      <c r="P215" s="145">
        <f t="shared" si="131"/>
        <v>76.25</v>
      </c>
      <c r="Q215" s="145">
        <f>IFERROR(__xludf.DUMMYFUNCTION("IFERROR(IF(ISNUMBER(P215),1+COUNTIF(FILTER($K$15:$K$24,$A$15:$A$24&lt;&gt;B215),""&gt;""&amp;P215)+COUNTIF(FILTER($K$15:$K$24,$A$15:$A$24&lt;&gt;B215),P215)/2,""Unranked""),""Unranked"")"),1.0)</f>
        <v>1</v>
      </c>
      <c r="R215" s="145">
        <f t="shared" si="132"/>
        <v>0</v>
      </c>
      <c r="S215" s="145">
        <f t="shared" si="133"/>
        <v>0</v>
      </c>
      <c r="T215" s="145">
        <f t="shared" si="134"/>
        <v>0</v>
      </c>
      <c r="U215" s="93" t="s">
        <v>1717</v>
      </c>
      <c r="V215" s="93" t="s">
        <v>1718</v>
      </c>
      <c r="W215" s="93"/>
      <c r="X215" s="93"/>
    </row>
    <row r="216" ht="24.0" customHeight="1">
      <c r="A216" s="93">
        <v>72.0</v>
      </c>
      <c r="B216" s="93" t="s">
        <v>1391</v>
      </c>
      <c r="C216" s="93" t="s">
        <v>318</v>
      </c>
      <c r="D216" s="93" t="s">
        <v>1740</v>
      </c>
      <c r="E216" s="145">
        <v>1.0</v>
      </c>
      <c r="F216" s="145">
        <f t="array" ref="F216">INDEX('Pilot inputs'!$L$15:$L$44,MATCH(B216,'Pilot inputs'!$B$15:$B$44,0))</f>
        <v>9.44</v>
      </c>
      <c r="G216" s="145">
        <f t="shared" si="128"/>
        <v>9.912</v>
      </c>
      <c r="H216" s="145">
        <f t="array" ref="H216">IFERROR(IF(AND(INDEX('Pilot inputs'!$AQ$15:$AQ$44,MATCH(B216,'Pilot inputs'!$B$15:$B$44,0))=1,ISNUMBER($F$12),$F$12&gt;=0,$F$12&lt;1),INDEX('Pilot inputs'!$AG$15:$AG$44,MATCH(B216,'Pilot inputs'!$B$15:$B$44,0)),"Unranked"),"Unranked")</f>
        <v>50</v>
      </c>
      <c r="I216" s="145">
        <f>IFERROR(__xludf.DUMMYFUNCTION("IFERROR(IF(AND(INDEX('Pilot inputs'!$AQ$15:$AQ$44,MATCH(B216,'Pilot inputs'!$B$15:$B$44,0))=1,ISNUMBER($F$12),$F$12&gt;=0,$F$12&lt;1),INDEX('Pilot inputs'!$AL$15:$AL$44,MATCH(B216,'Pilot inputs'!$B$15:$B$44,0))+IF(C216=""Utilities"",0.4,0.35)*((100-LET(peer_val"&amp;"ues,FILTER('Pilot inputs'!$L$15:$L$44,'Pilot inputs'!$D$15:$D$44=INDEX('Pilot inputs'!$D$15:$D$44,MATCH(B216,'Pilot inputs'!$B$15:$B$44,0)),'Pilot inputs'!$B$15:$B$44&lt;&gt;B216,'Pilot inputs'!$AA$15:$AA$44=1),peer_count,ROWS(peer_values),IF(peer_count+1&lt;MAX(3"&amp;",Rules!$B$12),""Unranked"",100*(SUMPRODUCT(N(peer_values&lt;G216))+SUMPRODUCT(N(peer_values=G216))/2)/peer_count)))-INDEX('Pilot inputs'!$AI$15:$AI$44,MATCH(B216,'Pilot inputs'!$B$15:$B$44,0))),""Unranked""),""Unranked"")"),100.0)</f>
        <v>100</v>
      </c>
      <c r="J216" s="145">
        <f t="array" ref="J216">IFERROR(IF(AND(INDEX('Pilot inputs'!$AQ$15:$AQ$44,MATCH(B216,'Pilot inputs'!$B$15:$B$44,0))=1,ISNUMBER($F$12),$F$12&gt;=0,$F$12&lt;1),INDEX('Pilot inputs'!$AM$15:$AM$44,MATCH(B216,'Pilot inputs'!$B$15:$B$44,0)),"Unranked"),"Unranked")</f>
        <v>50</v>
      </c>
      <c r="K216" s="145">
        <f t="array" ref="K216">IFERROR(IF(AND(INDEX('Pilot inputs'!$AQ$15:$AQ$44,MATCH(B216,'Pilot inputs'!$B$15:$B$44,0))=1,ISNUMBER($F$12),$F$12&gt;=0,$F$12&lt;1),INDEX('Pilot inputs'!$AP$15:$AP$44,MATCH(B216,'Pilot inputs'!$B$15:$B$44,0)),"Unranked"),"Unranked")</f>
        <v>75</v>
      </c>
      <c r="L216" s="145">
        <f t="shared" si="129"/>
        <v>68.75</v>
      </c>
      <c r="M216" s="145">
        <f>IFERROR(__xludf.DUMMYFUNCTION("IFERROR(IF(ISNUMBER(L216),1+COUNTIF(FILTER($G$15:$G$24,$A$15:$A$24&lt;&gt;B216),""&gt;""&amp;L216)+COUNTIF(FILTER($G$15:$G$24,$A$15:$A$24&lt;&gt;B216),L216)/2,""Unranked""),""Unranked"")"),2.5)</f>
        <v>2.5</v>
      </c>
      <c r="N216" s="145">
        <f t="shared" si="130"/>
        <v>70</v>
      </c>
      <c r="O216" s="145">
        <f>IFERROR(__xludf.DUMMYFUNCTION("IFERROR(IF(ISNUMBER(N216),1+COUNTIF(FILTER($I$15:$I$24,$A$15:$A$24&lt;&gt;B216),""&gt;""&amp;N216)+COUNTIF(FILTER($I$15:$I$24,$A$15:$A$24&lt;&gt;B216),N216)/2,""Unranked""),""Unranked"")"),1.0)</f>
        <v>1</v>
      </c>
      <c r="P216" s="145">
        <f t="shared" si="131"/>
        <v>76.25</v>
      </c>
      <c r="Q216" s="145">
        <f>IFERROR(__xludf.DUMMYFUNCTION("IFERROR(IF(ISNUMBER(P216),1+COUNTIF(FILTER($K$15:$K$24,$A$15:$A$24&lt;&gt;B216),""&gt;""&amp;P216)+COUNTIF(FILTER($K$15:$K$24,$A$15:$A$24&lt;&gt;B216),P216)/2,""Unranked""),""Unranked"")"),1.0)</f>
        <v>1</v>
      </c>
      <c r="R216" s="145">
        <f t="shared" si="132"/>
        <v>0</v>
      </c>
      <c r="S216" s="145">
        <f t="shared" si="133"/>
        <v>0</v>
      </c>
      <c r="T216" s="145">
        <f t="shared" si="134"/>
        <v>0</v>
      </c>
      <c r="U216" s="93" t="s">
        <v>1717</v>
      </c>
      <c r="V216" s="93" t="s">
        <v>1718</v>
      </c>
      <c r="W216" s="93"/>
      <c r="X216" s="93"/>
    </row>
    <row r="217" ht="24.0" customHeight="1">
      <c r="A217" s="93">
        <v>73.0</v>
      </c>
      <c r="B217" s="93" t="s">
        <v>1391</v>
      </c>
      <c r="C217" s="93" t="s">
        <v>318</v>
      </c>
      <c r="D217" s="93" t="s">
        <v>1741</v>
      </c>
      <c r="E217" s="145">
        <v>-1.0</v>
      </c>
      <c r="F217" s="145">
        <f t="array" ref="F217">INDEX('Pilot inputs'!$M$15:$M$44,MATCH(B217,'Pilot inputs'!$B$15:$B$44,0))</f>
        <v>0.1145</v>
      </c>
      <c r="G217" s="145">
        <f t="shared" si="128"/>
        <v>0.108775</v>
      </c>
      <c r="H217" s="145">
        <f t="array" ref="H217">IFERROR(IF(AND(INDEX('Pilot inputs'!$AQ$15:$AQ$44,MATCH(B217,'Pilot inputs'!$B$15:$B$44,0))=1,ISNUMBER($F$12),$F$12&gt;=0,$F$12&lt;1),INDEX('Pilot inputs'!$AG$15:$AG$44,MATCH(B217,'Pilot inputs'!$B$15:$B$44,0)),"Unranked"),"Unranked")</f>
        <v>50</v>
      </c>
      <c r="I217" s="145">
        <f>IFERROR(__xludf.DUMMYFUNCTION("IFERROR(IF(AND(INDEX('Pilot inputs'!$AQ$15:$AQ$44,MATCH(B217,'Pilot inputs'!$B$15:$B$44,0))=1,ISNUMBER($F$12),$F$12&gt;=0,$F$12&lt;1),INDEX('Pilot inputs'!$AL$15:$AL$44,MATCH(B217,'Pilot inputs'!$B$15:$B$44,0))+0.3*((LET(peer_values,FILTER('Pilot inputs'!$M$15:"&amp;"$M$44,'Pilot inputs'!$D$15:$D$44=INDEX('Pilot inputs'!$D$15:$D$44,MATCH(B217,'Pilot inputs'!$B$15:$B$44,0)),'Pilot inputs'!$B$15:$B$44&lt;&gt;B217,'Pilot inputs'!$AA$15:$AA$44=1),peer_count,ROWS(peer_values),IF(peer_count+1&lt;MAX(3,Rules!$B$12),""Unranked"",100*("&amp;"SUMPRODUCT(N(peer_values&lt;G217))+SUMPRODUCT(N(peer_values=G217))/2)/peer_count)))-INDEX('Pilot inputs'!$AJ$15:$AJ$44,MATCH(B217,'Pilot inputs'!$B$15:$B$44,0))),""Unranked""),""Unranked"")"),100.0)</f>
        <v>100</v>
      </c>
      <c r="J217" s="145">
        <f t="array" ref="J217">IFERROR(IF(AND(INDEX('Pilot inputs'!$AQ$15:$AQ$44,MATCH(B217,'Pilot inputs'!$B$15:$B$44,0))=1,ISNUMBER($F$12),$F$12&gt;=0,$F$12&lt;1),INDEX('Pilot inputs'!$AM$15:$AM$44,MATCH(B217,'Pilot inputs'!$B$15:$B$44,0)),"Unranked"),"Unranked")</f>
        <v>50</v>
      </c>
      <c r="K217" s="145">
        <f t="array" ref="K217">IFERROR(IF(AND(INDEX('Pilot inputs'!$AQ$15:$AQ$44,MATCH(B217,'Pilot inputs'!$B$15:$B$44,0))=1,ISNUMBER($F$12),$F$12&gt;=0,$F$12&lt;1),INDEX('Pilot inputs'!$AP$15:$AP$44,MATCH(B217,'Pilot inputs'!$B$15:$B$44,0)),"Unranked"),"Unranked")</f>
        <v>75</v>
      </c>
      <c r="L217" s="145">
        <f t="shared" si="129"/>
        <v>68.75</v>
      </c>
      <c r="M217" s="145">
        <f>IFERROR(__xludf.DUMMYFUNCTION("IFERROR(IF(ISNUMBER(L217),1+COUNTIF(FILTER($G$15:$G$24,$A$15:$A$24&lt;&gt;B217),""&gt;""&amp;L217)+COUNTIF(FILTER($G$15:$G$24,$A$15:$A$24&lt;&gt;B217),L217)/2,""Unranked""),""Unranked"")"),2.5)</f>
        <v>2.5</v>
      </c>
      <c r="N217" s="145">
        <f t="shared" si="130"/>
        <v>70</v>
      </c>
      <c r="O217" s="145">
        <f>IFERROR(__xludf.DUMMYFUNCTION("IFERROR(IF(ISNUMBER(N217),1+COUNTIF(FILTER($I$15:$I$24,$A$15:$A$24&lt;&gt;B217),""&gt;""&amp;N217)+COUNTIF(FILTER($I$15:$I$24,$A$15:$A$24&lt;&gt;B217),N217)/2,""Unranked""),""Unranked"")"),1.0)</f>
        <v>1</v>
      </c>
      <c r="P217" s="145">
        <f t="shared" si="131"/>
        <v>76.25</v>
      </c>
      <c r="Q217" s="145">
        <f>IFERROR(__xludf.DUMMYFUNCTION("IFERROR(IF(ISNUMBER(P217),1+COUNTIF(FILTER($K$15:$K$24,$A$15:$A$24&lt;&gt;B217),""&gt;""&amp;P217)+COUNTIF(FILTER($K$15:$K$24,$A$15:$A$24&lt;&gt;B217),P217)/2,""Unranked""),""Unranked"")"),1.0)</f>
        <v>1</v>
      </c>
      <c r="R217" s="145">
        <f t="shared" si="132"/>
        <v>0</v>
      </c>
      <c r="S217" s="145">
        <f t="shared" si="133"/>
        <v>0</v>
      </c>
      <c r="T217" s="145">
        <f t="shared" si="134"/>
        <v>0</v>
      </c>
      <c r="U217" s="93" t="s">
        <v>1717</v>
      </c>
      <c r="V217" s="93" t="s">
        <v>1718</v>
      </c>
      <c r="W217" s="93"/>
      <c r="X217" s="93"/>
    </row>
    <row r="218" ht="24.0" customHeight="1">
      <c r="A218" s="93">
        <v>74.0</v>
      </c>
      <c r="B218" s="93" t="s">
        <v>1391</v>
      </c>
      <c r="C218" s="93" t="s">
        <v>318</v>
      </c>
      <c r="D218" s="93" t="s">
        <v>1741</v>
      </c>
      <c r="E218" s="145">
        <v>1.0</v>
      </c>
      <c r="F218" s="145">
        <f t="array" ref="F218">INDEX('Pilot inputs'!$M$15:$M$44,MATCH(B218,'Pilot inputs'!$B$15:$B$44,0))</f>
        <v>0.1145</v>
      </c>
      <c r="G218" s="145">
        <f t="shared" si="128"/>
        <v>0.120225</v>
      </c>
      <c r="H218" s="145">
        <f t="array" ref="H218">IFERROR(IF(AND(INDEX('Pilot inputs'!$AQ$15:$AQ$44,MATCH(B218,'Pilot inputs'!$B$15:$B$44,0))=1,ISNUMBER($F$12),$F$12&gt;=0,$F$12&lt;1),INDEX('Pilot inputs'!$AG$15:$AG$44,MATCH(B218,'Pilot inputs'!$B$15:$B$44,0)),"Unranked"),"Unranked")</f>
        <v>50</v>
      </c>
      <c r="I218" s="145">
        <f>IFERROR(__xludf.DUMMYFUNCTION("IFERROR(IF(AND(INDEX('Pilot inputs'!$AQ$15:$AQ$44,MATCH(B218,'Pilot inputs'!$B$15:$B$44,0))=1,ISNUMBER($F$12),$F$12&gt;=0,$F$12&lt;1),INDEX('Pilot inputs'!$AL$15:$AL$44,MATCH(B218,'Pilot inputs'!$B$15:$B$44,0))+0.3*((LET(peer_values,FILTER('Pilot inputs'!$M$15:"&amp;"$M$44,'Pilot inputs'!$D$15:$D$44=INDEX('Pilot inputs'!$D$15:$D$44,MATCH(B218,'Pilot inputs'!$B$15:$B$44,0)),'Pilot inputs'!$B$15:$B$44&lt;&gt;B218,'Pilot inputs'!$AA$15:$AA$44=1),peer_count,ROWS(peer_values),IF(peer_count+1&lt;MAX(3,Rules!$B$12),""Unranked"",100*("&amp;"SUMPRODUCT(N(peer_values&lt;G218))+SUMPRODUCT(N(peer_values=G218))/2)/peer_count)))-INDEX('Pilot inputs'!$AJ$15:$AJ$44,MATCH(B218,'Pilot inputs'!$B$15:$B$44,0))),""Unranked""),""Unranked"")"),100.0)</f>
        <v>100</v>
      </c>
      <c r="J218" s="145">
        <f t="array" ref="J218">IFERROR(IF(AND(INDEX('Pilot inputs'!$AQ$15:$AQ$44,MATCH(B218,'Pilot inputs'!$B$15:$B$44,0))=1,ISNUMBER($F$12),$F$12&gt;=0,$F$12&lt;1),INDEX('Pilot inputs'!$AM$15:$AM$44,MATCH(B218,'Pilot inputs'!$B$15:$B$44,0)),"Unranked"),"Unranked")</f>
        <v>50</v>
      </c>
      <c r="K218" s="145">
        <f t="array" ref="K218">IFERROR(IF(AND(INDEX('Pilot inputs'!$AQ$15:$AQ$44,MATCH(B218,'Pilot inputs'!$B$15:$B$44,0))=1,ISNUMBER($F$12),$F$12&gt;=0,$F$12&lt;1),INDEX('Pilot inputs'!$AP$15:$AP$44,MATCH(B218,'Pilot inputs'!$B$15:$B$44,0)),"Unranked"),"Unranked")</f>
        <v>75</v>
      </c>
      <c r="L218" s="145">
        <f t="shared" si="129"/>
        <v>68.75</v>
      </c>
      <c r="M218" s="145">
        <f>IFERROR(__xludf.DUMMYFUNCTION("IFERROR(IF(ISNUMBER(L218),1+COUNTIF(FILTER($G$15:$G$24,$A$15:$A$24&lt;&gt;B218),""&gt;""&amp;L218)+COUNTIF(FILTER($G$15:$G$24,$A$15:$A$24&lt;&gt;B218),L218)/2,""Unranked""),""Unranked"")"),2.5)</f>
        <v>2.5</v>
      </c>
      <c r="N218" s="145">
        <f t="shared" si="130"/>
        <v>70</v>
      </c>
      <c r="O218" s="145">
        <f>IFERROR(__xludf.DUMMYFUNCTION("IFERROR(IF(ISNUMBER(N218),1+COUNTIF(FILTER($I$15:$I$24,$A$15:$A$24&lt;&gt;B218),""&gt;""&amp;N218)+COUNTIF(FILTER($I$15:$I$24,$A$15:$A$24&lt;&gt;B218),N218)/2,""Unranked""),""Unranked"")"),1.0)</f>
        <v>1</v>
      </c>
      <c r="P218" s="145">
        <f t="shared" si="131"/>
        <v>76.25</v>
      </c>
      <c r="Q218" s="145">
        <f>IFERROR(__xludf.DUMMYFUNCTION("IFERROR(IF(ISNUMBER(P218),1+COUNTIF(FILTER($K$15:$K$24,$A$15:$A$24&lt;&gt;B218),""&gt;""&amp;P218)+COUNTIF(FILTER($K$15:$K$24,$A$15:$A$24&lt;&gt;B218),P218)/2,""Unranked""),""Unranked"")"),1.0)</f>
        <v>1</v>
      </c>
      <c r="R218" s="145">
        <f t="shared" si="132"/>
        <v>0</v>
      </c>
      <c r="S218" s="145">
        <f t="shared" si="133"/>
        <v>0</v>
      </c>
      <c r="T218" s="145">
        <f t="shared" si="134"/>
        <v>0</v>
      </c>
      <c r="U218" s="93" t="s">
        <v>1717</v>
      </c>
      <c r="V218" s="93" t="s">
        <v>1718</v>
      </c>
      <c r="W218" s="93"/>
      <c r="X218" s="93"/>
    </row>
    <row r="219" ht="24.0" customHeight="1">
      <c r="A219" s="93">
        <v>75.0</v>
      </c>
      <c r="B219" s="93" t="s">
        <v>1391</v>
      </c>
      <c r="C219" s="93" t="s">
        <v>318</v>
      </c>
      <c r="D219" s="93" t="s">
        <v>1235</v>
      </c>
      <c r="E219" s="145">
        <v>-1.0</v>
      </c>
      <c r="F219" s="145">
        <f t="array" ref="F219">INDEX('Pilot inputs'!$O$15:$O$44,MATCH(B219,'Pilot inputs'!$B$15:$B$44,0))</f>
        <v>0.5722</v>
      </c>
      <c r="G219" s="145">
        <f t="shared" si="128"/>
        <v>0.54359</v>
      </c>
      <c r="H219" s="145">
        <f t="array" ref="H219">IFERROR(IF(AND(INDEX('Pilot inputs'!$AQ$15:$AQ$44,MATCH(B219,'Pilot inputs'!$B$15:$B$44,0))=1,ISNUMBER($F$12),$F$12&gt;=0,$F$12&lt;1),INDEX('Pilot inputs'!$AG$15:$AG$44,MATCH(B219,'Pilot inputs'!$B$15:$B$44,0)),"Unranked"),"Unranked")</f>
        <v>50</v>
      </c>
      <c r="I219" s="145">
        <f t="array" ref="I219">IFERROR(IF(AND(INDEX('Pilot inputs'!$AQ$15:$AQ$44,MATCH(B219,'Pilot inputs'!$B$15:$B$44,0))=1,ISNUMBER($F$12),$F$12&gt;=0,$F$12&lt;1),INDEX('Pilot inputs'!$AL$15:$AL$44,MATCH(B219,'Pilot inputs'!$B$15:$B$44,0)),"Unranked"),"Unranked")</f>
        <v>100</v>
      </c>
      <c r="J219" s="145">
        <f t="array" ref="J219">IFERROR(IF(AND(INDEX('Pilot inputs'!$AQ$15:$AQ$44,MATCH(B219,'Pilot inputs'!$B$15:$B$44,0))=1,ISNUMBER($F$12),$F$12&gt;=0,$F$12&lt;1),INDEX('Pilot inputs'!$AM$15:$AM$44,MATCH(B219,'Pilot inputs'!$B$15:$B$44,0)),"Unranked"),"Unranked")</f>
        <v>50</v>
      </c>
      <c r="K219" s="145">
        <f>IFERROR(__xludf.DUMMYFUNCTION("IFERROR(IF(AND(INDEX('Pilot inputs'!$AQ$15:$AQ$44,MATCH(B219,'Pilot inputs'!$B$15:$B$44,0))=1,ISNUMBER($F$12),$F$12&gt;=0,$F$12&lt;1),(LET(peer_values,FILTER('Pilot inputs'!$O$15:$O$44,'Pilot inputs'!$D$15:$D$44=INDEX('Pilot inputs'!$D$15:$D$44,MATCH(B219,'Pilo"&amp;"t inputs'!$B$15:$B$44,0)),'Pilot inputs'!$B$15:$B$44&lt;&gt;B219,'Pilot inputs'!$AA$15:$AA$44=1),peer_count,ROWS(peer_values),IF(peer_count+1&lt;MAX(3,Rules!$B$12),""Unranked"",100*(SUMPRODUCT(N(peer_values&lt;G219))+SUMPRODUCT(N(peer_values=G219))/2)/peer_count))+IN"&amp;"DEX('Pilot inputs'!$AO$15:$AO$44,MATCH(B219,'Pilot inputs'!$B$15:$B$44,0)))/2,""Unranked""),""Unranked"")"),75.0)</f>
        <v>75</v>
      </c>
      <c r="L219" s="145">
        <f t="shared" si="129"/>
        <v>68.75</v>
      </c>
      <c r="M219" s="145">
        <f>IFERROR(__xludf.DUMMYFUNCTION("IFERROR(IF(ISNUMBER(L219),1+COUNTIF(FILTER($G$15:$G$24,$A$15:$A$24&lt;&gt;B219),""&gt;""&amp;L219)+COUNTIF(FILTER($G$15:$G$24,$A$15:$A$24&lt;&gt;B219),L219)/2,""Unranked""),""Unranked"")"),2.5)</f>
        <v>2.5</v>
      </c>
      <c r="N219" s="145">
        <f t="shared" si="130"/>
        <v>70</v>
      </c>
      <c r="O219" s="145">
        <f>IFERROR(__xludf.DUMMYFUNCTION("IFERROR(IF(ISNUMBER(N219),1+COUNTIF(FILTER($I$15:$I$24,$A$15:$A$24&lt;&gt;B219),""&gt;""&amp;N219)+COUNTIF(FILTER($I$15:$I$24,$A$15:$A$24&lt;&gt;B219),N219)/2,""Unranked""),""Unranked"")"),1.0)</f>
        <v>1</v>
      </c>
      <c r="P219" s="145">
        <f t="shared" si="131"/>
        <v>76.25</v>
      </c>
      <c r="Q219" s="145">
        <f>IFERROR(__xludf.DUMMYFUNCTION("IFERROR(IF(ISNUMBER(P219),1+COUNTIF(FILTER($K$15:$K$24,$A$15:$A$24&lt;&gt;B219),""&gt;""&amp;P219)+COUNTIF(FILTER($K$15:$K$24,$A$15:$A$24&lt;&gt;B219),P219)/2,""Unranked""),""Unranked"")"),1.0)</f>
        <v>1</v>
      </c>
      <c r="R219" s="145">
        <f t="shared" si="132"/>
        <v>0</v>
      </c>
      <c r="S219" s="145">
        <f t="shared" si="133"/>
        <v>0</v>
      </c>
      <c r="T219" s="145">
        <f t="shared" si="134"/>
        <v>0</v>
      </c>
      <c r="U219" s="93" t="s">
        <v>1717</v>
      </c>
      <c r="V219" s="93" t="s">
        <v>1718</v>
      </c>
      <c r="W219" s="93"/>
      <c r="X219" s="93"/>
    </row>
    <row r="220" ht="24.0" customHeight="1">
      <c r="A220" s="93">
        <v>76.0</v>
      </c>
      <c r="B220" s="93" t="s">
        <v>1391</v>
      </c>
      <c r="C220" s="93" t="s">
        <v>318</v>
      </c>
      <c r="D220" s="93" t="s">
        <v>1235</v>
      </c>
      <c r="E220" s="145">
        <v>1.0</v>
      </c>
      <c r="F220" s="145">
        <f t="array" ref="F220">INDEX('Pilot inputs'!$O$15:$O$44,MATCH(B220,'Pilot inputs'!$B$15:$B$44,0))</f>
        <v>0.5722</v>
      </c>
      <c r="G220" s="145">
        <f t="shared" si="128"/>
        <v>0.60081</v>
      </c>
      <c r="H220" s="145">
        <f t="array" ref="H220">IFERROR(IF(AND(INDEX('Pilot inputs'!$AQ$15:$AQ$44,MATCH(B220,'Pilot inputs'!$B$15:$B$44,0))=1,ISNUMBER($F$12),$F$12&gt;=0,$F$12&lt;1),INDEX('Pilot inputs'!$AG$15:$AG$44,MATCH(B220,'Pilot inputs'!$B$15:$B$44,0)),"Unranked"),"Unranked")</f>
        <v>50</v>
      </c>
      <c r="I220" s="145">
        <f t="array" ref="I220">IFERROR(IF(AND(INDEX('Pilot inputs'!$AQ$15:$AQ$44,MATCH(B220,'Pilot inputs'!$B$15:$B$44,0))=1,ISNUMBER($F$12),$F$12&gt;=0,$F$12&lt;1),INDEX('Pilot inputs'!$AL$15:$AL$44,MATCH(B220,'Pilot inputs'!$B$15:$B$44,0)),"Unranked"),"Unranked")</f>
        <v>100</v>
      </c>
      <c r="J220" s="145">
        <f t="array" ref="J220">IFERROR(IF(AND(INDEX('Pilot inputs'!$AQ$15:$AQ$44,MATCH(B220,'Pilot inputs'!$B$15:$B$44,0))=1,ISNUMBER($F$12),$F$12&gt;=0,$F$12&lt;1),INDEX('Pilot inputs'!$AM$15:$AM$44,MATCH(B220,'Pilot inputs'!$B$15:$B$44,0)),"Unranked"),"Unranked")</f>
        <v>50</v>
      </c>
      <c r="K220" s="145">
        <f>IFERROR(__xludf.DUMMYFUNCTION("IFERROR(IF(AND(INDEX('Pilot inputs'!$AQ$15:$AQ$44,MATCH(B220,'Pilot inputs'!$B$15:$B$44,0))=1,ISNUMBER($F$12),$F$12&gt;=0,$F$12&lt;1),(LET(peer_values,FILTER('Pilot inputs'!$O$15:$O$44,'Pilot inputs'!$D$15:$D$44=INDEX('Pilot inputs'!$D$15:$D$44,MATCH(B220,'Pilo"&amp;"t inputs'!$B$15:$B$44,0)),'Pilot inputs'!$B$15:$B$44&lt;&gt;B220,'Pilot inputs'!$AA$15:$AA$44=1),peer_count,ROWS(peer_values),IF(peer_count+1&lt;MAX(3,Rules!$B$12),""Unranked"",100*(SUMPRODUCT(N(peer_values&lt;G220))+SUMPRODUCT(N(peer_values=G220))/2)/peer_count))+IN"&amp;"DEX('Pilot inputs'!$AO$15:$AO$44,MATCH(B220,'Pilot inputs'!$B$15:$B$44,0)))/2,""Unranked""),""Unranked"")"),100.0)</f>
        <v>100</v>
      </c>
      <c r="L220" s="145">
        <f t="shared" si="129"/>
        <v>75</v>
      </c>
      <c r="M220" s="145">
        <f>IFERROR(__xludf.DUMMYFUNCTION("IFERROR(IF(ISNUMBER(L220),1+COUNTIF(FILTER($G$15:$G$24,$A$15:$A$24&lt;&gt;B220),""&gt;""&amp;L220)+COUNTIF(FILTER($G$15:$G$24,$A$15:$A$24&lt;&gt;B220),L220)/2,""Unranked""),""Unranked"")"),1.0)</f>
        <v>1</v>
      </c>
      <c r="N220" s="145">
        <f t="shared" si="130"/>
        <v>80</v>
      </c>
      <c r="O220" s="145">
        <f>IFERROR(__xludf.DUMMYFUNCTION("IFERROR(IF(ISNUMBER(N220),1+COUNTIF(FILTER($I$15:$I$24,$A$15:$A$24&lt;&gt;B220),""&gt;""&amp;N220)+COUNTIF(FILTER($I$15:$I$24,$A$15:$A$24&lt;&gt;B220),N220)/2,""Unranked""),""Unranked"")"),1.0)</f>
        <v>1</v>
      </c>
      <c r="P220" s="145">
        <f t="shared" si="131"/>
        <v>82.5</v>
      </c>
      <c r="Q220" s="145">
        <f>IFERROR(__xludf.DUMMYFUNCTION("IFERROR(IF(ISNUMBER(P220),1+COUNTIF(FILTER($K$15:$K$24,$A$15:$A$24&lt;&gt;B220),""&gt;""&amp;P220)+COUNTIF(FILTER($K$15:$K$24,$A$15:$A$24&lt;&gt;B220),P220)/2,""Unranked""),""Unranked"")"),1.0)</f>
        <v>1</v>
      </c>
      <c r="R220" s="145">
        <f t="shared" si="132"/>
        <v>1.5</v>
      </c>
      <c r="S220" s="145">
        <f t="shared" si="133"/>
        <v>0</v>
      </c>
      <c r="T220" s="145">
        <f t="shared" si="134"/>
        <v>0</v>
      </c>
      <c r="U220" s="93" t="s">
        <v>1717</v>
      </c>
      <c r="V220" s="93" t="s">
        <v>1718</v>
      </c>
      <c r="W220" s="93"/>
      <c r="X220" s="93"/>
    </row>
    <row r="221" ht="24.0" customHeight="1">
      <c r="A221" s="93">
        <v>77.0</v>
      </c>
      <c r="B221" s="93" t="s">
        <v>1391</v>
      </c>
      <c r="C221" s="93" t="s">
        <v>318</v>
      </c>
      <c r="D221" s="93" t="s">
        <v>1742</v>
      </c>
      <c r="E221" s="145">
        <v>-1.0</v>
      </c>
      <c r="F221" s="145">
        <f t="array" ref="F221">INDEX('Pilot inputs'!$P$15:$P$44,MATCH(B221,'Pilot inputs'!$B$15:$B$44,0))</f>
        <v>0.3632</v>
      </c>
      <c r="G221" s="145">
        <f t="shared" si="128"/>
        <v>0.34504</v>
      </c>
      <c r="H221" s="145">
        <f t="array" ref="H221">IFERROR(IF(AND(INDEX('Pilot inputs'!$AQ$15:$AQ$44,MATCH(B221,'Pilot inputs'!$B$15:$B$44,0))=1,ISNUMBER($F$12),$F$12&gt;=0,$F$12&lt;1),INDEX('Pilot inputs'!$AG$15:$AG$44,MATCH(B221,'Pilot inputs'!$B$15:$B$44,0)),"Unranked"),"Unranked")</f>
        <v>50</v>
      </c>
      <c r="I221" s="145">
        <f t="array" ref="I221">IFERROR(IF(AND(INDEX('Pilot inputs'!$AQ$15:$AQ$44,MATCH(B221,'Pilot inputs'!$B$15:$B$44,0))=1,ISNUMBER($F$12),$F$12&gt;=0,$F$12&lt;1),INDEX('Pilot inputs'!$AL$15:$AL$44,MATCH(B221,'Pilot inputs'!$B$15:$B$44,0)),"Unranked"),"Unranked")</f>
        <v>100</v>
      </c>
      <c r="J221" s="145">
        <f t="array" ref="J221">IFERROR(IF(AND(INDEX('Pilot inputs'!$AQ$15:$AQ$44,MATCH(B221,'Pilot inputs'!$B$15:$B$44,0))=1,ISNUMBER($F$12),$F$12&gt;=0,$F$12&lt;1),INDEX('Pilot inputs'!$AM$15:$AM$44,MATCH(B221,'Pilot inputs'!$B$15:$B$44,0)),"Unranked"),"Unranked")</f>
        <v>50</v>
      </c>
      <c r="K221" s="145">
        <f>IFERROR(__xludf.DUMMYFUNCTION("IFERROR(IF(AND(INDEX('Pilot inputs'!$AQ$15:$AQ$44,MATCH(B221,'Pilot inputs'!$B$15:$B$44,0))=1,ISNUMBER($F$12),$F$12&gt;=0,$F$12&lt;1),(LET(peer_values,FILTER('Pilot inputs'!$P$15:$P$44,'Pilot inputs'!$D$15:$D$44=INDEX('Pilot inputs'!$D$15:$D$44,MATCH(B221,'Pilo"&amp;"t inputs'!$B$15:$B$44,0)),'Pilot inputs'!$B$15:$B$44&lt;&gt;B221,'Pilot inputs'!$AA$15:$AA$44=1),peer_count,ROWS(peer_values),IF(peer_count+1&lt;MAX(3,Rules!$B$12),""Unranked"",100*(SUMPRODUCT(N(peer_values&lt;G221))+SUMPRODUCT(N(peer_values=G221))/2)/peer_count))+IN"&amp;"DEX('Pilot inputs'!$AN$15:$AN$44,MATCH(B221,'Pilot inputs'!$B$15:$B$44,0)))/2,""Unranked""),""Unranked"")"),75.0)</f>
        <v>75</v>
      </c>
      <c r="L221" s="145">
        <f t="shared" si="129"/>
        <v>68.75</v>
      </c>
      <c r="M221" s="145">
        <f>IFERROR(__xludf.DUMMYFUNCTION("IFERROR(IF(ISNUMBER(L221),1+COUNTIF(FILTER($G$15:$G$24,$A$15:$A$24&lt;&gt;B221),""&gt;""&amp;L221)+COUNTIF(FILTER($G$15:$G$24,$A$15:$A$24&lt;&gt;B221),L221)/2,""Unranked""),""Unranked"")"),2.5)</f>
        <v>2.5</v>
      </c>
      <c r="N221" s="145">
        <f t="shared" si="130"/>
        <v>70</v>
      </c>
      <c r="O221" s="145">
        <f>IFERROR(__xludf.DUMMYFUNCTION("IFERROR(IF(ISNUMBER(N221),1+COUNTIF(FILTER($I$15:$I$24,$A$15:$A$24&lt;&gt;B221),""&gt;""&amp;N221)+COUNTIF(FILTER($I$15:$I$24,$A$15:$A$24&lt;&gt;B221),N221)/2,""Unranked""),""Unranked"")"),1.0)</f>
        <v>1</v>
      </c>
      <c r="P221" s="145">
        <f t="shared" si="131"/>
        <v>76.25</v>
      </c>
      <c r="Q221" s="145">
        <f>IFERROR(__xludf.DUMMYFUNCTION("IFERROR(IF(ISNUMBER(P221),1+COUNTIF(FILTER($K$15:$K$24,$A$15:$A$24&lt;&gt;B221),""&gt;""&amp;P221)+COUNTIF(FILTER($K$15:$K$24,$A$15:$A$24&lt;&gt;B221),P221)/2,""Unranked""),""Unranked"")"),1.0)</f>
        <v>1</v>
      </c>
      <c r="R221" s="145">
        <f t="shared" si="132"/>
        <v>0</v>
      </c>
      <c r="S221" s="145">
        <f t="shared" si="133"/>
        <v>0</v>
      </c>
      <c r="T221" s="145">
        <f t="shared" si="134"/>
        <v>0</v>
      </c>
      <c r="U221" s="93" t="s">
        <v>1717</v>
      </c>
      <c r="V221" s="93" t="s">
        <v>1718</v>
      </c>
      <c r="W221" s="93"/>
      <c r="X221" s="93"/>
    </row>
    <row r="222" ht="24.0" customHeight="1">
      <c r="A222" s="93">
        <v>78.0</v>
      </c>
      <c r="B222" s="93" t="s">
        <v>1391</v>
      </c>
      <c r="C222" s="93" t="s">
        <v>318</v>
      </c>
      <c r="D222" s="93" t="s">
        <v>1742</v>
      </c>
      <c r="E222" s="145">
        <v>1.0</v>
      </c>
      <c r="F222" s="145">
        <f t="array" ref="F222">INDEX('Pilot inputs'!$P$15:$P$44,MATCH(B222,'Pilot inputs'!$B$15:$B$44,0))</f>
        <v>0.3632</v>
      </c>
      <c r="G222" s="145">
        <f t="shared" si="128"/>
        <v>0.38136</v>
      </c>
      <c r="H222" s="145">
        <f t="array" ref="H222">IFERROR(IF(AND(INDEX('Pilot inputs'!$AQ$15:$AQ$44,MATCH(B222,'Pilot inputs'!$B$15:$B$44,0))=1,ISNUMBER($F$12),$F$12&gt;=0,$F$12&lt;1),INDEX('Pilot inputs'!$AG$15:$AG$44,MATCH(B222,'Pilot inputs'!$B$15:$B$44,0)),"Unranked"),"Unranked")</f>
        <v>50</v>
      </c>
      <c r="I222" s="145">
        <f t="array" ref="I222">IFERROR(IF(AND(INDEX('Pilot inputs'!$AQ$15:$AQ$44,MATCH(B222,'Pilot inputs'!$B$15:$B$44,0))=1,ISNUMBER($F$12),$F$12&gt;=0,$F$12&lt;1),INDEX('Pilot inputs'!$AL$15:$AL$44,MATCH(B222,'Pilot inputs'!$B$15:$B$44,0)),"Unranked"),"Unranked")</f>
        <v>100</v>
      </c>
      <c r="J222" s="145">
        <f t="array" ref="J222">IFERROR(IF(AND(INDEX('Pilot inputs'!$AQ$15:$AQ$44,MATCH(B222,'Pilot inputs'!$B$15:$B$44,0))=1,ISNUMBER($F$12),$F$12&gt;=0,$F$12&lt;1),INDEX('Pilot inputs'!$AM$15:$AM$44,MATCH(B222,'Pilot inputs'!$B$15:$B$44,0)),"Unranked"),"Unranked")</f>
        <v>50</v>
      </c>
      <c r="K222" s="145">
        <f>IFERROR(__xludf.DUMMYFUNCTION("IFERROR(IF(AND(INDEX('Pilot inputs'!$AQ$15:$AQ$44,MATCH(B222,'Pilot inputs'!$B$15:$B$44,0))=1,ISNUMBER($F$12),$F$12&gt;=0,$F$12&lt;1),(LET(peer_values,FILTER('Pilot inputs'!$P$15:$P$44,'Pilot inputs'!$D$15:$D$44=INDEX('Pilot inputs'!$D$15:$D$44,MATCH(B222,'Pilo"&amp;"t inputs'!$B$15:$B$44,0)),'Pilot inputs'!$B$15:$B$44&lt;&gt;B222,'Pilot inputs'!$AA$15:$AA$44=1),peer_count,ROWS(peer_values),IF(peer_count+1&lt;MAX(3,Rules!$B$12),""Unranked"",100*(SUMPRODUCT(N(peer_values&lt;G222))+SUMPRODUCT(N(peer_values=G222))/2)/peer_count))+IN"&amp;"DEX('Pilot inputs'!$AN$15:$AN$44,MATCH(B222,'Pilot inputs'!$B$15:$B$44,0)))/2,""Unranked""),""Unranked"")"),75.0)</f>
        <v>75</v>
      </c>
      <c r="L222" s="145">
        <f t="shared" si="129"/>
        <v>68.75</v>
      </c>
      <c r="M222" s="145">
        <f>IFERROR(__xludf.DUMMYFUNCTION("IFERROR(IF(ISNUMBER(L222),1+COUNTIF(FILTER($G$15:$G$24,$A$15:$A$24&lt;&gt;B222),""&gt;""&amp;L222)+COUNTIF(FILTER($G$15:$G$24,$A$15:$A$24&lt;&gt;B222),L222)/2,""Unranked""),""Unranked"")"),2.5)</f>
        <v>2.5</v>
      </c>
      <c r="N222" s="145">
        <f t="shared" si="130"/>
        <v>70</v>
      </c>
      <c r="O222" s="145">
        <f>IFERROR(__xludf.DUMMYFUNCTION("IFERROR(IF(ISNUMBER(N222),1+COUNTIF(FILTER($I$15:$I$24,$A$15:$A$24&lt;&gt;B222),""&gt;""&amp;N222)+COUNTIF(FILTER($I$15:$I$24,$A$15:$A$24&lt;&gt;B222),N222)/2,""Unranked""),""Unranked"")"),1.0)</f>
        <v>1</v>
      </c>
      <c r="P222" s="145">
        <f t="shared" si="131"/>
        <v>76.25</v>
      </c>
      <c r="Q222" s="145">
        <f>IFERROR(__xludf.DUMMYFUNCTION("IFERROR(IF(ISNUMBER(P222),1+COUNTIF(FILTER($K$15:$K$24,$A$15:$A$24&lt;&gt;B222),""&gt;""&amp;P222)+COUNTIF(FILTER($K$15:$K$24,$A$15:$A$24&lt;&gt;B222),P222)/2,""Unranked""),""Unranked"")"),1.0)</f>
        <v>1</v>
      </c>
      <c r="R222" s="145">
        <f t="shared" si="132"/>
        <v>0</v>
      </c>
      <c r="S222" s="145">
        <f t="shared" si="133"/>
        <v>0</v>
      </c>
      <c r="T222" s="145">
        <f t="shared" si="134"/>
        <v>0</v>
      </c>
      <c r="U222" s="93" t="s">
        <v>1717</v>
      </c>
      <c r="V222" s="93" t="s">
        <v>1718</v>
      </c>
      <c r="W222" s="93"/>
      <c r="X222" s="93"/>
    </row>
    <row r="223" ht="24.0" customHeight="1">
      <c r="A223" s="93">
        <v>79.0</v>
      </c>
      <c r="B223" s="93" t="s">
        <v>1391</v>
      </c>
      <c r="C223" s="93" t="s">
        <v>318</v>
      </c>
      <c r="D223" s="93" t="s">
        <v>1743</v>
      </c>
      <c r="E223" s="145">
        <v>-1.0</v>
      </c>
      <c r="F223" s="145">
        <f t="array" ref="F223">INDEX('Pilot inputs'!$R$15:$R$44,MATCH(B223,'Pilot inputs'!$B$15:$B$44,0))</f>
        <v>23.769</v>
      </c>
      <c r="G223" s="145">
        <f t="shared" si="128"/>
        <v>22.58055</v>
      </c>
      <c r="H223" s="145">
        <f t="array" ref="H223">IFERROR(IF(AND(INDEX('Pilot inputs'!$AQ$15:$AQ$44,MATCH(B223,'Pilot inputs'!$B$15:$B$44,0))=1,ISNUMBER($F$12),$F$12&gt;=0,$F$12&lt;1),INDEX('Pilot inputs'!$AG$15:$AG$44,MATCH(B223,'Pilot inputs'!$B$15:$B$44,0)),"Unranked"),"Unranked")</f>
        <v>50</v>
      </c>
      <c r="I223" s="145">
        <f t="array" ref="I223">IFERROR(IF(AND(INDEX('Pilot inputs'!$AQ$15:$AQ$44,MATCH(B223,'Pilot inputs'!$B$15:$B$44,0))=1,ISNUMBER($F$12),$F$12&gt;=0,$F$12&lt;1),INDEX('Pilot inputs'!$AL$15:$AL$44,MATCH(B223,'Pilot inputs'!$B$15:$B$44,0)),"Unranked"),"Unranked")</f>
        <v>100</v>
      </c>
      <c r="J223" s="145">
        <f>IFERROR(__xludf.DUMMYFUNCTION("IFERROR(IF(AND(INDEX('Pilot inputs'!$AQ$15:$AQ$44,MATCH(B223,'Pilot inputs'!$B$15:$B$44,0))=1,ISNUMBER($F$12),$F$12&gt;=0,$F$12&lt;1),LET(peer_values,FILTER('Pilot inputs'!$AB$15:$AB$44,'Pilot inputs'!$D$15:$D$44=INDEX('Pilot inputs'!$D$15:$D$44,MATCH(B223,'Pil"&amp;"ot inputs'!$B$15:$B$44,0)),'Pilot inputs'!$B$15:$B$44&lt;&gt;B223,'Pilot inputs'!$AA$15:$AA$44=1),peer_count,ROWS(peer_values),IF(peer_count+1&lt;MAX(3,Rules!$B$12),""Unranked"",100*(SUMPRODUCT(N(peer_values&lt;((G223/INDEX('Pilot inputs'!$T$15:$T$44,MATCH(B223,'Pilo"&amp;"t inputs'!$B$15:$B$44,0)))^(1/3)-1)))+SUMPRODUCT(N(peer_values=((G223/INDEX('Pilot inputs'!$T$15:$T$44,MATCH(B223,'Pilot inputs'!$B$15:$B$44,0)))^(1/3)-1)))/2)/peer_count)),""Unranked""),""Unranked"")"),0.0)</f>
        <v>0</v>
      </c>
      <c r="K223" s="145">
        <f t="array" ref="K223">IFERROR(IF(AND(INDEX('Pilot inputs'!$AQ$15:$AQ$44,MATCH(B223,'Pilot inputs'!$B$15:$B$44,0))=1,ISNUMBER($F$12),$F$12&gt;=0,$F$12&lt;1),INDEX('Pilot inputs'!$AP$15:$AP$44,MATCH(B223,'Pilot inputs'!$B$15:$B$44,0)),"Unranked"),"Unranked")</f>
        <v>75</v>
      </c>
      <c r="L223" s="145">
        <f t="shared" si="129"/>
        <v>56.25</v>
      </c>
      <c r="M223" s="145">
        <f>IFERROR(__xludf.DUMMYFUNCTION("IFERROR(IF(ISNUMBER(L223),1+COUNTIF(FILTER($G$15:$G$24,$A$15:$A$24&lt;&gt;B223),""&gt;""&amp;L223)+COUNTIF(FILTER($G$15:$G$24,$A$15:$A$24&lt;&gt;B223),L223)/2,""Unranked""),""Unranked"")"),5.0)</f>
        <v>5</v>
      </c>
      <c r="N223" s="145">
        <f t="shared" si="130"/>
        <v>57.5</v>
      </c>
      <c r="O223" s="145">
        <f>IFERROR(__xludf.DUMMYFUNCTION("IFERROR(IF(ISNUMBER(N223),1+COUNTIF(FILTER($I$15:$I$24,$A$15:$A$24&lt;&gt;B223),""&gt;""&amp;N223)+COUNTIF(FILTER($I$15:$I$24,$A$15:$A$24&lt;&gt;B223),N223)/2,""Unranked""),""Unranked"")"),6.0)</f>
        <v>6</v>
      </c>
      <c r="P223" s="145">
        <f t="shared" si="131"/>
        <v>66.25</v>
      </c>
      <c r="Q223" s="145">
        <f>IFERROR(__xludf.DUMMYFUNCTION("IFERROR(IF(ISNUMBER(P223),1+COUNTIF(FILTER($K$15:$K$24,$A$15:$A$24&lt;&gt;B223),""&gt;""&amp;P223)+COUNTIF(FILTER($K$15:$K$24,$A$15:$A$24&lt;&gt;B223),P223)/2,""Unranked""),""Unranked"")"),1.0)</f>
        <v>1</v>
      </c>
      <c r="R223" s="145">
        <f t="shared" si="132"/>
        <v>2.5</v>
      </c>
      <c r="S223" s="145">
        <f t="shared" si="133"/>
        <v>5</v>
      </c>
      <c r="T223" s="145">
        <f t="shared" si="134"/>
        <v>0</v>
      </c>
      <c r="U223" s="93" t="s">
        <v>1717</v>
      </c>
      <c r="V223" s="93" t="s">
        <v>1718</v>
      </c>
      <c r="W223" s="93"/>
      <c r="X223" s="93"/>
    </row>
    <row r="224" ht="24.0" customHeight="1">
      <c r="A224" s="93">
        <v>80.0</v>
      </c>
      <c r="B224" s="93" t="s">
        <v>1391</v>
      </c>
      <c r="C224" s="93" t="s">
        <v>318</v>
      </c>
      <c r="D224" s="93" t="s">
        <v>1743</v>
      </c>
      <c r="E224" s="145">
        <v>1.0</v>
      </c>
      <c r="F224" s="145">
        <f t="array" ref="F224">INDEX('Pilot inputs'!$R$15:$R$44,MATCH(B224,'Pilot inputs'!$B$15:$B$44,0))</f>
        <v>23.769</v>
      </c>
      <c r="G224" s="145">
        <f t="shared" si="128"/>
        <v>24.95745</v>
      </c>
      <c r="H224" s="145">
        <f t="array" ref="H224">IFERROR(IF(AND(INDEX('Pilot inputs'!$AQ$15:$AQ$44,MATCH(B224,'Pilot inputs'!$B$15:$B$44,0))=1,ISNUMBER($F$12),$F$12&gt;=0,$F$12&lt;1),INDEX('Pilot inputs'!$AG$15:$AG$44,MATCH(B224,'Pilot inputs'!$B$15:$B$44,0)),"Unranked"),"Unranked")</f>
        <v>50</v>
      </c>
      <c r="I224" s="145">
        <f t="array" ref="I224">IFERROR(IF(AND(INDEX('Pilot inputs'!$AQ$15:$AQ$44,MATCH(B224,'Pilot inputs'!$B$15:$B$44,0))=1,ISNUMBER($F$12),$F$12&gt;=0,$F$12&lt;1),INDEX('Pilot inputs'!$AL$15:$AL$44,MATCH(B224,'Pilot inputs'!$B$15:$B$44,0)),"Unranked"),"Unranked")</f>
        <v>100</v>
      </c>
      <c r="J224" s="145">
        <f>IFERROR(__xludf.DUMMYFUNCTION("IFERROR(IF(AND(INDEX('Pilot inputs'!$AQ$15:$AQ$44,MATCH(B224,'Pilot inputs'!$B$15:$B$44,0))=1,ISNUMBER($F$12),$F$12&gt;=0,$F$12&lt;1),LET(peer_values,FILTER('Pilot inputs'!$AB$15:$AB$44,'Pilot inputs'!$D$15:$D$44=INDEX('Pilot inputs'!$D$15:$D$44,MATCH(B224,'Pil"&amp;"ot inputs'!$B$15:$B$44,0)),'Pilot inputs'!$B$15:$B$44&lt;&gt;B224,'Pilot inputs'!$AA$15:$AA$44=1),peer_count,ROWS(peer_values),IF(peer_count+1&lt;MAX(3,Rules!$B$12),""Unranked"",100*(SUMPRODUCT(N(peer_values&lt;((G224/INDEX('Pilot inputs'!$T$15:$T$44,MATCH(B224,'Pilo"&amp;"t inputs'!$B$15:$B$44,0)))^(1/3)-1)))+SUMPRODUCT(N(peer_values=((G224/INDEX('Pilot inputs'!$T$15:$T$44,MATCH(B224,'Pilot inputs'!$B$15:$B$44,0)))^(1/3)-1)))/2)/peer_count)),""Unranked""),""Unranked"")"),50.0)</f>
        <v>50</v>
      </c>
      <c r="K224" s="145">
        <f t="array" ref="K224">IFERROR(IF(AND(INDEX('Pilot inputs'!$AQ$15:$AQ$44,MATCH(B224,'Pilot inputs'!$B$15:$B$44,0))=1,ISNUMBER($F$12),$F$12&gt;=0,$F$12&lt;1),INDEX('Pilot inputs'!$AP$15:$AP$44,MATCH(B224,'Pilot inputs'!$B$15:$B$44,0)),"Unranked"),"Unranked")</f>
        <v>75</v>
      </c>
      <c r="L224" s="145">
        <f t="shared" si="129"/>
        <v>68.75</v>
      </c>
      <c r="M224" s="145">
        <f>IFERROR(__xludf.DUMMYFUNCTION("IFERROR(IF(ISNUMBER(L224),1+COUNTIF(FILTER($G$15:$G$24,$A$15:$A$24&lt;&gt;B224),""&gt;""&amp;L224)+COUNTIF(FILTER($G$15:$G$24,$A$15:$A$24&lt;&gt;B224),L224)/2,""Unranked""),""Unranked"")"),2.5)</f>
        <v>2.5</v>
      </c>
      <c r="N224" s="145">
        <f t="shared" si="130"/>
        <v>70</v>
      </c>
      <c r="O224" s="145">
        <f>IFERROR(__xludf.DUMMYFUNCTION("IFERROR(IF(ISNUMBER(N224),1+COUNTIF(FILTER($I$15:$I$24,$A$15:$A$24&lt;&gt;B224),""&gt;""&amp;N224)+COUNTIF(FILTER($I$15:$I$24,$A$15:$A$24&lt;&gt;B224),N224)/2,""Unranked""),""Unranked"")"),1.0)</f>
        <v>1</v>
      </c>
      <c r="P224" s="145">
        <f t="shared" si="131"/>
        <v>76.25</v>
      </c>
      <c r="Q224" s="145">
        <f>IFERROR(__xludf.DUMMYFUNCTION("IFERROR(IF(ISNUMBER(P224),1+COUNTIF(FILTER($K$15:$K$24,$A$15:$A$24&lt;&gt;B224),""&gt;""&amp;P224)+COUNTIF(FILTER($K$15:$K$24,$A$15:$A$24&lt;&gt;B224),P224)/2,""Unranked""),""Unranked"")"),1.0)</f>
        <v>1</v>
      </c>
      <c r="R224" s="145">
        <f t="shared" si="132"/>
        <v>0</v>
      </c>
      <c r="S224" s="145">
        <f t="shared" si="133"/>
        <v>0</v>
      </c>
      <c r="T224" s="145">
        <f t="shared" si="134"/>
        <v>0</v>
      </c>
      <c r="U224" s="93" t="s">
        <v>1717</v>
      </c>
      <c r="V224" s="93" t="s">
        <v>1718</v>
      </c>
      <c r="W224" s="93"/>
      <c r="X224" s="93"/>
    </row>
    <row r="225" ht="24.0" customHeight="1">
      <c r="A225" s="93">
        <v>81.0</v>
      </c>
      <c r="B225" s="93" t="s">
        <v>322</v>
      </c>
      <c r="C225" s="93" t="s">
        <v>324</v>
      </c>
      <c r="D225" s="93" t="s">
        <v>68</v>
      </c>
      <c r="E225" s="145">
        <v>-1.0</v>
      </c>
      <c r="F225" s="145">
        <f t="array" ref="F225">INDEX('Pilot inputs'!$F$15:$F$44,MATCH(B225,'Pilot inputs'!$B$15:$B$44,0))</f>
        <v>190.79</v>
      </c>
      <c r="G225" s="145">
        <f t="shared" si="128"/>
        <v>181.2505</v>
      </c>
      <c r="H225" s="145">
        <f>IFERROR(__xludf.DUMMYFUNCTION("IFERROR(IF(AND(INDEX('Pilot inputs'!$AQ$15:$AQ$44,MATCH(B225,'Pilot inputs'!$B$15:$B$44,0))=1,ISNUMBER($F$12),$F$12&gt;=0,$F$12&lt;1),(LET(peer_values,FILTER('Pilot inputs'!$F$15:$F$44,'Pilot inputs'!$D$15:$D$44=INDEX('Pilot inputs'!$D$15:$D$44,MATCH(B225,'Pilo"&amp;"t inputs'!$B$15:$B$44,0)),'Pilot inputs'!$B$15:$B$44&lt;&gt;B225,'Pilot inputs'!$AA$15:$AA$44=1),peer_count,ROWS(peer_values),IF(peer_count+1&lt;MAX(3,Rules!$B$12),""Unranked"",100*(SUMPRODUCT(N(peer_values&lt;G225))+SUMPRODUCT(N(peer_values=G225))/2)/peer_count))+IN"&amp;"DEX('Pilot inputs'!$AF$15:$AF$44,MATCH(B225,'Pilot inputs'!$B$15:$B$44,0)))/2,""Unranked""),""Unranked"")"),100.0)</f>
        <v>100</v>
      </c>
      <c r="I225" s="145">
        <f t="array" ref="I225">IFERROR(IF(AND(INDEX('Pilot inputs'!$AQ$15:$AQ$44,MATCH(B225,'Pilot inputs'!$B$15:$B$44,0))=1,ISNUMBER($F$12),$F$12&gt;=0,$F$12&lt;1),INDEX('Pilot inputs'!$AL$15:$AL$44,MATCH(B225,'Pilot inputs'!$B$15:$B$44,0)),"Unranked"),"Unranked")</f>
        <v>65</v>
      </c>
      <c r="J225" s="145">
        <f t="array" ref="J225">IFERROR(IF(AND(INDEX('Pilot inputs'!$AQ$15:$AQ$44,MATCH(B225,'Pilot inputs'!$B$15:$B$44,0))=1,ISNUMBER($F$12),$F$12&gt;=0,$F$12&lt;1),INDEX('Pilot inputs'!$AM$15:$AM$44,MATCH(B225,'Pilot inputs'!$B$15:$B$44,0)),"Unranked"),"Unranked")</f>
        <v>0</v>
      </c>
      <c r="K225" s="145">
        <f t="array" ref="K225">IFERROR(IF(AND(INDEX('Pilot inputs'!$AQ$15:$AQ$44,MATCH(B225,'Pilot inputs'!$B$15:$B$44,0))=1,ISNUMBER($F$12),$F$12&gt;=0,$F$12&lt;1),INDEX('Pilot inputs'!$AP$15:$AP$44,MATCH(B225,'Pilot inputs'!$B$15:$B$44,0)),"Unranked"),"Unranked")</f>
        <v>50</v>
      </c>
      <c r="L225" s="145">
        <f t="shared" si="129"/>
        <v>53.75</v>
      </c>
      <c r="M225" s="145">
        <f>IFERROR(__xludf.DUMMYFUNCTION("IFERROR(IF(ISNUMBER(L225),1+COUNTIF(FILTER($G$15:$G$24,$A$15:$A$24&lt;&gt;B225),""&gt;""&amp;L225)+COUNTIF(FILTER($G$15:$G$24,$A$15:$A$24&lt;&gt;B225),L225)/2,""Unranked""),""Unranked"")"),7.0)</f>
        <v>7</v>
      </c>
      <c r="N225" s="145">
        <f t="shared" si="130"/>
        <v>48</v>
      </c>
      <c r="O225" s="145">
        <f>IFERROR(__xludf.DUMMYFUNCTION("IFERROR(IF(ISNUMBER(N225),1+COUNTIF(FILTER($I$15:$I$24,$A$15:$A$24&lt;&gt;B225),""&gt;""&amp;N225)+COUNTIF(FILTER($I$15:$I$24,$A$15:$A$24&lt;&gt;B225),N225)/2,""Unranked""),""Unranked"")"),9.0)</f>
        <v>9</v>
      </c>
      <c r="P225" s="145">
        <f t="shared" si="131"/>
        <v>53.5</v>
      </c>
      <c r="Q225" s="145">
        <f>IFERROR(__xludf.DUMMYFUNCTION("IFERROR(IF(ISNUMBER(P225),1+COUNTIF(FILTER($K$15:$K$24,$A$15:$A$24&lt;&gt;B225),""&gt;""&amp;P225)+COUNTIF(FILTER($K$15:$K$24,$A$15:$A$24&lt;&gt;B225),P225)/2,""Unranked""),""Unranked"")"),5.0)</f>
        <v>5</v>
      </c>
      <c r="R225" s="145">
        <f t="shared" si="132"/>
        <v>0</v>
      </c>
      <c r="S225" s="145">
        <f t="shared" si="133"/>
        <v>0</v>
      </c>
      <c r="T225" s="145">
        <f t="shared" si="134"/>
        <v>0</v>
      </c>
      <c r="U225" s="93" t="s">
        <v>1717</v>
      </c>
      <c r="V225" s="93" t="s">
        <v>1718</v>
      </c>
      <c r="W225" s="93"/>
      <c r="X225" s="93"/>
    </row>
    <row r="226" ht="24.0" customHeight="1">
      <c r="A226" s="93">
        <v>82.0</v>
      </c>
      <c r="B226" s="93" t="s">
        <v>322</v>
      </c>
      <c r="C226" s="93" t="s">
        <v>324</v>
      </c>
      <c r="D226" s="93" t="s">
        <v>68</v>
      </c>
      <c r="E226" s="145">
        <v>1.0</v>
      </c>
      <c r="F226" s="145">
        <f t="array" ref="F226">INDEX('Pilot inputs'!$F$15:$F$44,MATCH(B226,'Pilot inputs'!$B$15:$B$44,0))</f>
        <v>190.79</v>
      </c>
      <c r="G226" s="145">
        <f t="shared" si="128"/>
        <v>200.3295</v>
      </c>
      <c r="H226" s="145">
        <f>IFERROR(__xludf.DUMMYFUNCTION("IFERROR(IF(AND(INDEX('Pilot inputs'!$AQ$15:$AQ$44,MATCH(B226,'Pilot inputs'!$B$15:$B$44,0))=1,ISNUMBER($F$12),$F$12&gt;=0,$F$12&lt;1),(LET(peer_values,FILTER('Pilot inputs'!$F$15:$F$44,'Pilot inputs'!$D$15:$D$44=INDEX('Pilot inputs'!$D$15:$D$44,MATCH(B226,'Pilo"&amp;"t inputs'!$B$15:$B$44,0)),'Pilot inputs'!$B$15:$B$44&lt;&gt;B226,'Pilot inputs'!$AA$15:$AA$44=1),peer_count,ROWS(peer_values),IF(peer_count+1&lt;MAX(3,Rules!$B$12),""Unranked"",100*(SUMPRODUCT(N(peer_values&lt;G226))+SUMPRODUCT(N(peer_values=G226))/2)/peer_count))+IN"&amp;"DEX('Pilot inputs'!$AF$15:$AF$44,MATCH(B226,'Pilot inputs'!$B$15:$B$44,0)))/2,""Unranked""),""Unranked"")"),100.0)</f>
        <v>100</v>
      </c>
      <c r="I226" s="145">
        <f t="array" ref="I226">IFERROR(IF(AND(INDEX('Pilot inputs'!$AQ$15:$AQ$44,MATCH(B226,'Pilot inputs'!$B$15:$B$44,0))=1,ISNUMBER($F$12),$F$12&gt;=0,$F$12&lt;1),INDEX('Pilot inputs'!$AL$15:$AL$44,MATCH(B226,'Pilot inputs'!$B$15:$B$44,0)),"Unranked"),"Unranked")</f>
        <v>65</v>
      </c>
      <c r="J226" s="145">
        <f t="array" ref="J226">IFERROR(IF(AND(INDEX('Pilot inputs'!$AQ$15:$AQ$44,MATCH(B226,'Pilot inputs'!$B$15:$B$44,0))=1,ISNUMBER($F$12),$F$12&gt;=0,$F$12&lt;1),INDEX('Pilot inputs'!$AM$15:$AM$44,MATCH(B226,'Pilot inputs'!$B$15:$B$44,0)),"Unranked"),"Unranked")</f>
        <v>0</v>
      </c>
      <c r="K226" s="145">
        <f t="array" ref="K226">IFERROR(IF(AND(INDEX('Pilot inputs'!$AQ$15:$AQ$44,MATCH(B226,'Pilot inputs'!$B$15:$B$44,0))=1,ISNUMBER($F$12),$F$12&gt;=0,$F$12&lt;1),INDEX('Pilot inputs'!$AP$15:$AP$44,MATCH(B226,'Pilot inputs'!$B$15:$B$44,0)),"Unranked"),"Unranked")</f>
        <v>50</v>
      </c>
      <c r="L226" s="145">
        <f t="shared" si="129"/>
        <v>53.75</v>
      </c>
      <c r="M226" s="145">
        <f>IFERROR(__xludf.DUMMYFUNCTION("IFERROR(IF(ISNUMBER(L226),1+COUNTIF(FILTER($G$15:$G$24,$A$15:$A$24&lt;&gt;B226),""&gt;""&amp;L226)+COUNTIF(FILTER($G$15:$G$24,$A$15:$A$24&lt;&gt;B226),L226)/2,""Unranked""),""Unranked"")"),7.0)</f>
        <v>7</v>
      </c>
      <c r="N226" s="145">
        <f t="shared" si="130"/>
        <v>48</v>
      </c>
      <c r="O226" s="145">
        <f>IFERROR(__xludf.DUMMYFUNCTION("IFERROR(IF(ISNUMBER(N226),1+COUNTIF(FILTER($I$15:$I$24,$A$15:$A$24&lt;&gt;B226),""&gt;""&amp;N226)+COUNTIF(FILTER($I$15:$I$24,$A$15:$A$24&lt;&gt;B226),N226)/2,""Unranked""),""Unranked"")"),9.0)</f>
        <v>9</v>
      </c>
      <c r="P226" s="145">
        <f t="shared" si="131"/>
        <v>53.5</v>
      </c>
      <c r="Q226" s="145">
        <f>IFERROR(__xludf.DUMMYFUNCTION("IFERROR(IF(ISNUMBER(P226),1+COUNTIF(FILTER($K$15:$K$24,$A$15:$A$24&lt;&gt;B226),""&gt;""&amp;P226)+COUNTIF(FILTER($K$15:$K$24,$A$15:$A$24&lt;&gt;B226),P226)/2,""Unranked""),""Unranked"")"),5.0)</f>
        <v>5</v>
      </c>
      <c r="R226" s="145">
        <f t="shared" si="132"/>
        <v>0</v>
      </c>
      <c r="S226" s="145">
        <f t="shared" si="133"/>
        <v>0</v>
      </c>
      <c r="T226" s="145">
        <f t="shared" si="134"/>
        <v>0</v>
      </c>
      <c r="U226" s="93" t="s">
        <v>1717</v>
      </c>
      <c r="V226" s="93" t="s">
        <v>1718</v>
      </c>
      <c r="W226" s="93"/>
      <c r="X226" s="93"/>
    </row>
    <row r="227" ht="24.0" customHeight="1">
      <c r="A227" s="93">
        <v>83.0</v>
      </c>
      <c r="B227" s="93" t="s">
        <v>322</v>
      </c>
      <c r="C227" s="93" t="s">
        <v>324</v>
      </c>
      <c r="D227" s="93" t="s">
        <v>1720</v>
      </c>
      <c r="E227" s="145">
        <v>-1.0</v>
      </c>
      <c r="F227" s="145">
        <f t="array" ref="F227">INDEX('Pilot inputs'!$H$15:$H$44,MATCH(B227,'Pilot inputs'!$B$15:$B$44,0))</f>
        <v>138.895</v>
      </c>
      <c r="G227" s="145">
        <f t="shared" si="128"/>
        <v>131.95025</v>
      </c>
      <c r="H227" s="145">
        <f>IFERROR(__xludf.DUMMYFUNCTION("IFERROR(IF(AND(INDEX('Pilot inputs'!$AQ$15:$AQ$44,MATCH(B227,'Pilot inputs'!$B$15:$B$44,0))=1,ISNUMBER($F$12),$F$12&gt;=0,$F$12&lt;1),(LET(peer_values,FILTER('Pilot inputs'!$H$15:$H$44,'Pilot inputs'!$D$15:$D$44=INDEX('Pilot inputs'!$D$15:$D$44,MATCH(B227,'Pilo"&amp;"t inputs'!$B$15:$B$44,0)),'Pilot inputs'!$B$15:$B$44&lt;&gt;B227,'Pilot inputs'!$AA$15:$AA$44=1),peer_count,ROWS(peer_values),IF(peer_count+1&lt;MAX(3,Rules!$B$12),""Unranked"",100*(SUMPRODUCT(N(peer_values&lt;G227))+SUMPRODUCT(N(peer_values=G227))/2)/peer_count))+IN"&amp;"DEX('Pilot inputs'!$AE$15:$AE$44,MATCH(B227,'Pilot inputs'!$B$15:$B$44,0)))/2,""Unranked""),""Unranked"")"),100.0)</f>
        <v>100</v>
      </c>
      <c r="I227" s="145">
        <f t="array" ref="I227">IFERROR(IF(AND(INDEX('Pilot inputs'!$AQ$15:$AQ$44,MATCH(B227,'Pilot inputs'!$B$15:$B$44,0))=1,ISNUMBER($F$12),$F$12&gt;=0,$F$12&lt;1),INDEX('Pilot inputs'!$AL$15:$AL$44,MATCH(B227,'Pilot inputs'!$B$15:$B$44,0)),"Unranked"),"Unranked")</f>
        <v>65</v>
      </c>
      <c r="J227" s="145">
        <f t="array" ref="J227">IFERROR(IF(AND(INDEX('Pilot inputs'!$AQ$15:$AQ$44,MATCH(B227,'Pilot inputs'!$B$15:$B$44,0))=1,ISNUMBER($F$12),$F$12&gt;=0,$F$12&lt;1),INDEX('Pilot inputs'!$AM$15:$AM$44,MATCH(B227,'Pilot inputs'!$B$15:$B$44,0)),"Unranked"),"Unranked")</f>
        <v>0</v>
      </c>
      <c r="K227" s="145">
        <f t="array" ref="K227">IFERROR(IF(AND(INDEX('Pilot inputs'!$AQ$15:$AQ$44,MATCH(B227,'Pilot inputs'!$B$15:$B$44,0))=1,ISNUMBER($F$12),$F$12&gt;=0,$F$12&lt;1),INDEX('Pilot inputs'!$AP$15:$AP$44,MATCH(B227,'Pilot inputs'!$B$15:$B$44,0)),"Unranked"),"Unranked")</f>
        <v>50</v>
      </c>
      <c r="L227" s="145">
        <f t="shared" si="129"/>
        <v>53.75</v>
      </c>
      <c r="M227" s="145">
        <f>IFERROR(__xludf.DUMMYFUNCTION("IFERROR(IF(ISNUMBER(L227),1+COUNTIF(FILTER($G$15:$G$24,$A$15:$A$24&lt;&gt;B227),""&gt;""&amp;L227)+COUNTIF(FILTER($G$15:$G$24,$A$15:$A$24&lt;&gt;B227),L227)/2,""Unranked""),""Unranked"")"),7.0)</f>
        <v>7</v>
      </c>
      <c r="N227" s="145">
        <f t="shared" si="130"/>
        <v>48</v>
      </c>
      <c r="O227" s="145">
        <f>IFERROR(__xludf.DUMMYFUNCTION("IFERROR(IF(ISNUMBER(N227),1+COUNTIF(FILTER($I$15:$I$24,$A$15:$A$24&lt;&gt;B227),""&gt;""&amp;N227)+COUNTIF(FILTER($I$15:$I$24,$A$15:$A$24&lt;&gt;B227),N227)/2,""Unranked""),""Unranked"")"),9.0)</f>
        <v>9</v>
      </c>
      <c r="P227" s="145">
        <f t="shared" si="131"/>
        <v>53.5</v>
      </c>
      <c r="Q227" s="145">
        <f>IFERROR(__xludf.DUMMYFUNCTION("IFERROR(IF(ISNUMBER(P227),1+COUNTIF(FILTER($K$15:$K$24,$A$15:$A$24&lt;&gt;B227),""&gt;""&amp;P227)+COUNTIF(FILTER($K$15:$K$24,$A$15:$A$24&lt;&gt;B227),P227)/2,""Unranked""),""Unranked"")"),5.0)</f>
        <v>5</v>
      </c>
      <c r="R227" s="145">
        <f t="shared" si="132"/>
        <v>0</v>
      </c>
      <c r="S227" s="145">
        <f t="shared" si="133"/>
        <v>0</v>
      </c>
      <c r="T227" s="145">
        <f t="shared" si="134"/>
        <v>0</v>
      </c>
      <c r="U227" s="93" t="s">
        <v>1717</v>
      </c>
      <c r="V227" s="93" t="s">
        <v>1718</v>
      </c>
      <c r="W227" s="93"/>
      <c r="X227" s="93"/>
    </row>
    <row r="228" ht="24.0" customHeight="1">
      <c r="A228" s="93">
        <v>84.0</v>
      </c>
      <c r="B228" s="93" t="s">
        <v>322</v>
      </c>
      <c r="C228" s="93" t="s">
        <v>324</v>
      </c>
      <c r="D228" s="93" t="s">
        <v>1720</v>
      </c>
      <c r="E228" s="145">
        <v>1.0</v>
      </c>
      <c r="F228" s="145">
        <f t="array" ref="F228">INDEX('Pilot inputs'!$H$15:$H$44,MATCH(B228,'Pilot inputs'!$B$15:$B$44,0))</f>
        <v>138.895</v>
      </c>
      <c r="G228" s="145">
        <f t="shared" si="128"/>
        <v>145.83975</v>
      </c>
      <c r="H228" s="145">
        <f>IFERROR(__xludf.DUMMYFUNCTION("IFERROR(IF(AND(INDEX('Pilot inputs'!$AQ$15:$AQ$44,MATCH(B228,'Pilot inputs'!$B$15:$B$44,0))=1,ISNUMBER($F$12),$F$12&gt;=0,$F$12&lt;1),(LET(peer_values,FILTER('Pilot inputs'!$H$15:$H$44,'Pilot inputs'!$D$15:$D$44=INDEX('Pilot inputs'!$D$15:$D$44,MATCH(B228,'Pilo"&amp;"t inputs'!$B$15:$B$44,0)),'Pilot inputs'!$B$15:$B$44&lt;&gt;B228,'Pilot inputs'!$AA$15:$AA$44=1),peer_count,ROWS(peer_values),IF(peer_count+1&lt;MAX(3,Rules!$B$12),""Unranked"",100*(SUMPRODUCT(N(peer_values&lt;G228))+SUMPRODUCT(N(peer_values=G228))/2)/peer_count))+IN"&amp;"DEX('Pilot inputs'!$AE$15:$AE$44,MATCH(B228,'Pilot inputs'!$B$15:$B$44,0)))/2,""Unranked""),""Unranked"")"),100.0)</f>
        <v>100</v>
      </c>
      <c r="I228" s="145">
        <f t="array" ref="I228">IFERROR(IF(AND(INDEX('Pilot inputs'!$AQ$15:$AQ$44,MATCH(B228,'Pilot inputs'!$B$15:$B$44,0))=1,ISNUMBER($F$12),$F$12&gt;=0,$F$12&lt;1),INDEX('Pilot inputs'!$AL$15:$AL$44,MATCH(B228,'Pilot inputs'!$B$15:$B$44,0)),"Unranked"),"Unranked")</f>
        <v>65</v>
      </c>
      <c r="J228" s="145">
        <f t="array" ref="J228">IFERROR(IF(AND(INDEX('Pilot inputs'!$AQ$15:$AQ$44,MATCH(B228,'Pilot inputs'!$B$15:$B$44,0))=1,ISNUMBER($F$12),$F$12&gt;=0,$F$12&lt;1),INDEX('Pilot inputs'!$AM$15:$AM$44,MATCH(B228,'Pilot inputs'!$B$15:$B$44,0)),"Unranked"),"Unranked")</f>
        <v>0</v>
      </c>
      <c r="K228" s="145">
        <f t="array" ref="K228">IFERROR(IF(AND(INDEX('Pilot inputs'!$AQ$15:$AQ$44,MATCH(B228,'Pilot inputs'!$B$15:$B$44,0))=1,ISNUMBER($F$12),$F$12&gt;=0,$F$12&lt;1),INDEX('Pilot inputs'!$AP$15:$AP$44,MATCH(B228,'Pilot inputs'!$B$15:$B$44,0)),"Unranked"),"Unranked")</f>
        <v>50</v>
      </c>
      <c r="L228" s="145">
        <f t="shared" si="129"/>
        <v>53.75</v>
      </c>
      <c r="M228" s="145">
        <f>IFERROR(__xludf.DUMMYFUNCTION("IFERROR(IF(ISNUMBER(L228),1+COUNTIF(FILTER($G$15:$G$24,$A$15:$A$24&lt;&gt;B228),""&gt;""&amp;L228)+COUNTIF(FILTER($G$15:$G$24,$A$15:$A$24&lt;&gt;B228),L228)/2,""Unranked""),""Unranked"")"),7.0)</f>
        <v>7</v>
      </c>
      <c r="N228" s="145">
        <f t="shared" si="130"/>
        <v>48</v>
      </c>
      <c r="O228" s="145">
        <f>IFERROR(__xludf.DUMMYFUNCTION("IFERROR(IF(ISNUMBER(N228),1+COUNTIF(FILTER($I$15:$I$24,$A$15:$A$24&lt;&gt;B228),""&gt;""&amp;N228)+COUNTIF(FILTER($I$15:$I$24,$A$15:$A$24&lt;&gt;B228),N228)/2,""Unranked""),""Unranked"")"),9.0)</f>
        <v>9</v>
      </c>
      <c r="P228" s="145">
        <f t="shared" si="131"/>
        <v>53.5</v>
      </c>
      <c r="Q228" s="145">
        <f>IFERROR(__xludf.DUMMYFUNCTION("IFERROR(IF(ISNUMBER(P228),1+COUNTIF(FILTER($K$15:$K$24,$A$15:$A$24&lt;&gt;B228),""&gt;""&amp;P228)+COUNTIF(FILTER($K$15:$K$24,$A$15:$A$24&lt;&gt;B228),P228)/2,""Unranked""),""Unranked"")"),5.0)</f>
        <v>5</v>
      </c>
      <c r="R228" s="145">
        <f t="shared" si="132"/>
        <v>0</v>
      </c>
      <c r="S228" s="145">
        <f t="shared" si="133"/>
        <v>0</v>
      </c>
      <c r="T228" s="145">
        <f t="shared" si="134"/>
        <v>0</v>
      </c>
      <c r="U228" s="93" t="s">
        <v>1717</v>
      </c>
      <c r="V228" s="93" t="s">
        <v>1718</v>
      </c>
      <c r="W228" s="93"/>
      <c r="X228" s="93"/>
    </row>
    <row r="229" ht="24.0" customHeight="1">
      <c r="A229" s="93">
        <v>85.0</v>
      </c>
      <c r="B229" s="93" t="s">
        <v>322</v>
      </c>
      <c r="C229" s="93" t="s">
        <v>324</v>
      </c>
      <c r="D229" s="93" t="s">
        <v>1230</v>
      </c>
      <c r="E229" s="145">
        <v>-1.0</v>
      </c>
      <c r="F229" s="145">
        <f t="array" ref="F229">INDEX('Pilot inputs'!$K$15:$K$44,MATCH(B229,'Pilot inputs'!$B$15:$B$44,0))</f>
        <v>11.96</v>
      </c>
      <c r="G229" s="145">
        <f t="shared" si="128"/>
        <v>11.362</v>
      </c>
      <c r="H229" s="145">
        <f t="array" ref="H229">IFERROR(IF(AND(INDEX('Pilot inputs'!$AQ$15:$AQ$44,MATCH(B229,'Pilot inputs'!$B$15:$B$44,0))=1,ISNUMBER($F$12),$F$12&gt;=0,$F$12&lt;1),INDEX('Pilot inputs'!$AG$15:$AG$44,MATCH(B229,'Pilot inputs'!$B$15:$B$44,0)),"Unranked"),"Unranked")</f>
        <v>100</v>
      </c>
      <c r="I229" s="145">
        <f>IFERROR(__xludf.DUMMYFUNCTION("IFERROR(IF(AND(INDEX('Pilot inputs'!$AQ$15:$AQ$44,MATCH(B229,'Pilot inputs'!$B$15:$B$44,0))=1,ISNUMBER($F$12),$F$12&gt;=0,$F$12&lt;1),INDEX('Pilot inputs'!$AL$15:$AL$44,MATCH(B229,'Pilot inputs'!$B$15:$B$44,0))+IF(C229=""Utilities"",0.4,0.35)*((100-LET(peer_val"&amp;"ues,FILTER('Pilot inputs'!$K$15:$K$44,'Pilot inputs'!$D$15:$D$44=INDEX('Pilot inputs'!$D$15:$D$44,MATCH(B229,'Pilot inputs'!$B$15:$B$44,0)),'Pilot inputs'!$B$15:$B$44&lt;&gt;B229,'Pilot inputs'!$AA$15:$AA$44=1),peer_count,ROWS(peer_values),IF(peer_count+1&lt;MAX(3"&amp;",Rules!$B$12),""Unranked"",100*(SUMPRODUCT(N(peer_values&lt;G229))+SUMPRODUCT(N(peer_values=G229))/2)/peer_count)))-INDEX('Pilot inputs'!$AH$15:$AH$44,MATCH(B229,'Pilot inputs'!$B$15:$B$44,0))),""Unranked""),""Unranked"")"),65.0)</f>
        <v>65</v>
      </c>
      <c r="J229" s="145">
        <f t="array" ref="J229">IFERROR(IF(AND(INDEX('Pilot inputs'!$AQ$15:$AQ$44,MATCH(B229,'Pilot inputs'!$B$15:$B$44,0))=1,ISNUMBER($F$12),$F$12&gt;=0,$F$12&lt;1),INDEX('Pilot inputs'!$AM$15:$AM$44,MATCH(B229,'Pilot inputs'!$B$15:$B$44,0)),"Unranked"),"Unranked")</f>
        <v>0</v>
      </c>
      <c r="K229" s="145">
        <f t="array" ref="K229">IFERROR(IF(AND(INDEX('Pilot inputs'!$AQ$15:$AQ$44,MATCH(B229,'Pilot inputs'!$B$15:$B$44,0))=1,ISNUMBER($F$12),$F$12&gt;=0,$F$12&lt;1),INDEX('Pilot inputs'!$AP$15:$AP$44,MATCH(B229,'Pilot inputs'!$B$15:$B$44,0)),"Unranked"),"Unranked")</f>
        <v>50</v>
      </c>
      <c r="L229" s="145">
        <f t="shared" si="129"/>
        <v>53.75</v>
      </c>
      <c r="M229" s="145">
        <f>IFERROR(__xludf.DUMMYFUNCTION("IFERROR(IF(ISNUMBER(L229),1+COUNTIF(FILTER($G$15:$G$24,$A$15:$A$24&lt;&gt;B229),""&gt;""&amp;L229)+COUNTIF(FILTER($G$15:$G$24,$A$15:$A$24&lt;&gt;B229),L229)/2,""Unranked""),""Unranked"")"),7.0)</f>
        <v>7</v>
      </c>
      <c r="N229" s="145">
        <f t="shared" si="130"/>
        <v>48</v>
      </c>
      <c r="O229" s="145">
        <f>IFERROR(__xludf.DUMMYFUNCTION("IFERROR(IF(ISNUMBER(N229),1+COUNTIF(FILTER($I$15:$I$24,$A$15:$A$24&lt;&gt;B229),""&gt;""&amp;N229)+COUNTIF(FILTER($I$15:$I$24,$A$15:$A$24&lt;&gt;B229),N229)/2,""Unranked""),""Unranked"")"),9.0)</f>
        <v>9</v>
      </c>
      <c r="P229" s="145">
        <f t="shared" si="131"/>
        <v>53.5</v>
      </c>
      <c r="Q229" s="145">
        <f>IFERROR(__xludf.DUMMYFUNCTION("IFERROR(IF(ISNUMBER(P229),1+COUNTIF(FILTER($K$15:$K$24,$A$15:$A$24&lt;&gt;B229),""&gt;""&amp;P229)+COUNTIF(FILTER($K$15:$K$24,$A$15:$A$24&lt;&gt;B229),P229)/2,""Unranked""),""Unranked"")"),5.0)</f>
        <v>5</v>
      </c>
      <c r="R229" s="145">
        <f t="shared" si="132"/>
        <v>0</v>
      </c>
      <c r="S229" s="145">
        <f t="shared" si="133"/>
        <v>0</v>
      </c>
      <c r="T229" s="145">
        <f t="shared" si="134"/>
        <v>0</v>
      </c>
      <c r="U229" s="93" t="s">
        <v>1717</v>
      </c>
      <c r="V229" s="93" t="s">
        <v>1718</v>
      </c>
      <c r="W229" s="93"/>
      <c r="X229" s="93"/>
    </row>
    <row r="230" ht="24.0" customHeight="1">
      <c r="A230" s="93">
        <v>86.0</v>
      </c>
      <c r="B230" s="93" t="s">
        <v>322</v>
      </c>
      <c r="C230" s="93" t="s">
        <v>324</v>
      </c>
      <c r="D230" s="93" t="s">
        <v>1230</v>
      </c>
      <c r="E230" s="145">
        <v>1.0</v>
      </c>
      <c r="F230" s="145">
        <f t="array" ref="F230">INDEX('Pilot inputs'!$K$15:$K$44,MATCH(B230,'Pilot inputs'!$B$15:$B$44,0))</f>
        <v>11.96</v>
      </c>
      <c r="G230" s="145">
        <f t="shared" si="128"/>
        <v>12.558</v>
      </c>
      <c r="H230" s="145">
        <f t="array" ref="H230">IFERROR(IF(AND(INDEX('Pilot inputs'!$AQ$15:$AQ$44,MATCH(B230,'Pilot inputs'!$B$15:$B$44,0))=1,ISNUMBER($F$12),$F$12&gt;=0,$F$12&lt;1),INDEX('Pilot inputs'!$AG$15:$AG$44,MATCH(B230,'Pilot inputs'!$B$15:$B$44,0)),"Unranked"),"Unranked")</f>
        <v>100</v>
      </c>
      <c r="I230" s="145">
        <f>IFERROR(__xludf.DUMMYFUNCTION("IFERROR(IF(AND(INDEX('Pilot inputs'!$AQ$15:$AQ$44,MATCH(B230,'Pilot inputs'!$B$15:$B$44,0))=1,ISNUMBER($F$12),$F$12&gt;=0,$F$12&lt;1),INDEX('Pilot inputs'!$AL$15:$AL$44,MATCH(B230,'Pilot inputs'!$B$15:$B$44,0))+IF(C230=""Utilities"",0.4,0.35)*((100-LET(peer_val"&amp;"ues,FILTER('Pilot inputs'!$K$15:$K$44,'Pilot inputs'!$D$15:$D$44=INDEX('Pilot inputs'!$D$15:$D$44,MATCH(B230,'Pilot inputs'!$B$15:$B$44,0)),'Pilot inputs'!$B$15:$B$44&lt;&gt;B230,'Pilot inputs'!$AA$15:$AA$44=1),peer_count,ROWS(peer_values),IF(peer_count+1&lt;MAX(3"&amp;",Rules!$B$12),""Unranked"",100*(SUMPRODUCT(N(peer_values&lt;G230))+SUMPRODUCT(N(peer_values=G230))/2)/peer_count)))-INDEX('Pilot inputs'!$AH$15:$AH$44,MATCH(B230,'Pilot inputs'!$B$15:$B$44,0))),""Unranked""),""Unranked"")"),65.0)</f>
        <v>65</v>
      </c>
      <c r="J230" s="145">
        <f t="array" ref="J230">IFERROR(IF(AND(INDEX('Pilot inputs'!$AQ$15:$AQ$44,MATCH(B230,'Pilot inputs'!$B$15:$B$44,0))=1,ISNUMBER($F$12),$F$12&gt;=0,$F$12&lt;1),INDEX('Pilot inputs'!$AM$15:$AM$44,MATCH(B230,'Pilot inputs'!$B$15:$B$44,0)),"Unranked"),"Unranked")</f>
        <v>0</v>
      </c>
      <c r="K230" s="145">
        <f t="array" ref="K230">IFERROR(IF(AND(INDEX('Pilot inputs'!$AQ$15:$AQ$44,MATCH(B230,'Pilot inputs'!$B$15:$B$44,0))=1,ISNUMBER($F$12),$F$12&gt;=0,$F$12&lt;1),INDEX('Pilot inputs'!$AP$15:$AP$44,MATCH(B230,'Pilot inputs'!$B$15:$B$44,0)),"Unranked"),"Unranked")</f>
        <v>50</v>
      </c>
      <c r="L230" s="145">
        <f t="shared" si="129"/>
        <v>53.75</v>
      </c>
      <c r="M230" s="145">
        <f>IFERROR(__xludf.DUMMYFUNCTION("IFERROR(IF(ISNUMBER(L230),1+COUNTIF(FILTER($G$15:$G$24,$A$15:$A$24&lt;&gt;B230),""&gt;""&amp;L230)+COUNTIF(FILTER($G$15:$G$24,$A$15:$A$24&lt;&gt;B230),L230)/2,""Unranked""),""Unranked"")"),7.0)</f>
        <v>7</v>
      </c>
      <c r="N230" s="145">
        <f t="shared" si="130"/>
        <v>48</v>
      </c>
      <c r="O230" s="145">
        <f>IFERROR(__xludf.DUMMYFUNCTION("IFERROR(IF(ISNUMBER(N230),1+COUNTIF(FILTER($I$15:$I$24,$A$15:$A$24&lt;&gt;B230),""&gt;""&amp;N230)+COUNTIF(FILTER($I$15:$I$24,$A$15:$A$24&lt;&gt;B230),N230)/2,""Unranked""),""Unranked"")"),9.0)</f>
        <v>9</v>
      </c>
      <c r="P230" s="145">
        <f t="shared" si="131"/>
        <v>53.5</v>
      </c>
      <c r="Q230" s="145">
        <f>IFERROR(__xludf.DUMMYFUNCTION("IFERROR(IF(ISNUMBER(P230),1+COUNTIF(FILTER($K$15:$K$24,$A$15:$A$24&lt;&gt;B230),""&gt;""&amp;P230)+COUNTIF(FILTER($K$15:$K$24,$A$15:$A$24&lt;&gt;B230),P230)/2,""Unranked""),""Unranked"")"),5.0)</f>
        <v>5</v>
      </c>
      <c r="R230" s="145">
        <f t="shared" si="132"/>
        <v>0</v>
      </c>
      <c r="S230" s="145">
        <f t="shared" si="133"/>
        <v>0</v>
      </c>
      <c r="T230" s="145">
        <f t="shared" si="134"/>
        <v>0</v>
      </c>
      <c r="U230" s="93" t="s">
        <v>1717</v>
      </c>
      <c r="V230" s="93" t="s">
        <v>1718</v>
      </c>
      <c r="W230" s="93"/>
      <c r="X230" s="93"/>
    </row>
    <row r="231" ht="24.0" customHeight="1">
      <c r="A231" s="93">
        <v>87.0</v>
      </c>
      <c r="B231" s="93" t="s">
        <v>322</v>
      </c>
      <c r="C231" s="93" t="s">
        <v>324</v>
      </c>
      <c r="D231" s="93" t="s">
        <v>1740</v>
      </c>
      <c r="E231" s="145">
        <v>-1.0</v>
      </c>
      <c r="F231" s="145">
        <f t="array" ref="F231">INDEX('Pilot inputs'!$L$15:$L$44,MATCH(B231,'Pilot inputs'!$B$15:$B$44,0))</f>
        <v>7.48</v>
      </c>
      <c r="G231" s="145">
        <f t="shared" si="128"/>
        <v>7.106</v>
      </c>
      <c r="H231" s="145">
        <f t="array" ref="H231">IFERROR(IF(AND(INDEX('Pilot inputs'!$AQ$15:$AQ$44,MATCH(B231,'Pilot inputs'!$B$15:$B$44,0))=1,ISNUMBER($F$12),$F$12&gt;=0,$F$12&lt;1),INDEX('Pilot inputs'!$AG$15:$AG$44,MATCH(B231,'Pilot inputs'!$B$15:$B$44,0)),"Unranked"),"Unranked")</f>
        <v>100</v>
      </c>
      <c r="I231" s="145">
        <f>IFERROR(__xludf.DUMMYFUNCTION("IFERROR(IF(AND(INDEX('Pilot inputs'!$AQ$15:$AQ$44,MATCH(B231,'Pilot inputs'!$B$15:$B$44,0))=1,ISNUMBER($F$12),$F$12&gt;=0,$F$12&lt;1),INDEX('Pilot inputs'!$AL$15:$AL$44,MATCH(B231,'Pilot inputs'!$B$15:$B$44,0))+IF(C231=""Utilities"",0.4,0.35)*((100-LET(peer_val"&amp;"ues,FILTER('Pilot inputs'!$L$15:$L$44,'Pilot inputs'!$D$15:$D$44=INDEX('Pilot inputs'!$D$15:$D$44,MATCH(B231,'Pilot inputs'!$B$15:$B$44,0)),'Pilot inputs'!$B$15:$B$44&lt;&gt;B231,'Pilot inputs'!$AA$15:$AA$44=1),peer_count,ROWS(peer_values),IF(peer_count+1&lt;MAX(3"&amp;",Rules!$B$12),""Unranked"",100*(SUMPRODUCT(N(peer_values&lt;G231))+SUMPRODUCT(N(peer_values=G231))/2)/peer_count)))-INDEX('Pilot inputs'!$AI$15:$AI$44,MATCH(B231,'Pilot inputs'!$B$15:$B$44,0))),""Unranked""),""Unranked"")"),65.0)</f>
        <v>65</v>
      </c>
      <c r="J231" s="145">
        <f t="array" ref="J231">IFERROR(IF(AND(INDEX('Pilot inputs'!$AQ$15:$AQ$44,MATCH(B231,'Pilot inputs'!$B$15:$B$44,0))=1,ISNUMBER($F$12),$F$12&gt;=0,$F$12&lt;1),INDEX('Pilot inputs'!$AM$15:$AM$44,MATCH(B231,'Pilot inputs'!$B$15:$B$44,0)),"Unranked"),"Unranked")</f>
        <v>0</v>
      </c>
      <c r="K231" s="145">
        <f t="array" ref="K231">IFERROR(IF(AND(INDEX('Pilot inputs'!$AQ$15:$AQ$44,MATCH(B231,'Pilot inputs'!$B$15:$B$44,0))=1,ISNUMBER($F$12),$F$12&gt;=0,$F$12&lt;1),INDEX('Pilot inputs'!$AP$15:$AP$44,MATCH(B231,'Pilot inputs'!$B$15:$B$44,0)),"Unranked"),"Unranked")</f>
        <v>50</v>
      </c>
      <c r="L231" s="145">
        <f t="shared" si="129"/>
        <v>53.75</v>
      </c>
      <c r="M231" s="145">
        <f>IFERROR(__xludf.DUMMYFUNCTION("IFERROR(IF(ISNUMBER(L231),1+COUNTIF(FILTER($G$15:$G$24,$A$15:$A$24&lt;&gt;B231),""&gt;""&amp;L231)+COUNTIF(FILTER($G$15:$G$24,$A$15:$A$24&lt;&gt;B231),L231)/2,""Unranked""),""Unranked"")"),7.0)</f>
        <v>7</v>
      </c>
      <c r="N231" s="145">
        <f t="shared" si="130"/>
        <v>48</v>
      </c>
      <c r="O231" s="145">
        <f>IFERROR(__xludf.DUMMYFUNCTION("IFERROR(IF(ISNUMBER(N231),1+COUNTIF(FILTER($I$15:$I$24,$A$15:$A$24&lt;&gt;B231),""&gt;""&amp;N231)+COUNTIF(FILTER($I$15:$I$24,$A$15:$A$24&lt;&gt;B231),N231)/2,""Unranked""),""Unranked"")"),9.0)</f>
        <v>9</v>
      </c>
      <c r="P231" s="145">
        <f t="shared" si="131"/>
        <v>53.5</v>
      </c>
      <c r="Q231" s="145">
        <f>IFERROR(__xludf.DUMMYFUNCTION("IFERROR(IF(ISNUMBER(P231),1+COUNTIF(FILTER($K$15:$K$24,$A$15:$A$24&lt;&gt;B231),""&gt;""&amp;P231)+COUNTIF(FILTER($K$15:$K$24,$A$15:$A$24&lt;&gt;B231),P231)/2,""Unranked""),""Unranked"")"),5.0)</f>
        <v>5</v>
      </c>
      <c r="R231" s="145">
        <f t="shared" si="132"/>
        <v>0</v>
      </c>
      <c r="S231" s="145">
        <f t="shared" si="133"/>
        <v>0</v>
      </c>
      <c r="T231" s="145">
        <f t="shared" si="134"/>
        <v>0</v>
      </c>
      <c r="U231" s="93" t="s">
        <v>1717</v>
      </c>
      <c r="V231" s="93" t="s">
        <v>1718</v>
      </c>
      <c r="W231" s="93"/>
      <c r="X231" s="93"/>
    </row>
    <row r="232" ht="24.0" customHeight="1">
      <c r="A232" s="93">
        <v>88.0</v>
      </c>
      <c r="B232" s="93" t="s">
        <v>322</v>
      </c>
      <c r="C232" s="93" t="s">
        <v>324</v>
      </c>
      <c r="D232" s="93" t="s">
        <v>1740</v>
      </c>
      <c r="E232" s="145">
        <v>1.0</v>
      </c>
      <c r="F232" s="145">
        <f t="array" ref="F232">INDEX('Pilot inputs'!$L$15:$L$44,MATCH(B232,'Pilot inputs'!$B$15:$B$44,0))</f>
        <v>7.48</v>
      </c>
      <c r="G232" s="145">
        <f t="shared" si="128"/>
        <v>7.854</v>
      </c>
      <c r="H232" s="145">
        <f t="array" ref="H232">IFERROR(IF(AND(INDEX('Pilot inputs'!$AQ$15:$AQ$44,MATCH(B232,'Pilot inputs'!$B$15:$B$44,0))=1,ISNUMBER($F$12),$F$12&gt;=0,$F$12&lt;1),INDEX('Pilot inputs'!$AG$15:$AG$44,MATCH(B232,'Pilot inputs'!$B$15:$B$44,0)),"Unranked"),"Unranked")</f>
        <v>100</v>
      </c>
      <c r="I232" s="145">
        <f>IFERROR(__xludf.DUMMYFUNCTION("IFERROR(IF(AND(INDEX('Pilot inputs'!$AQ$15:$AQ$44,MATCH(B232,'Pilot inputs'!$B$15:$B$44,0))=1,ISNUMBER($F$12),$F$12&gt;=0,$F$12&lt;1),INDEX('Pilot inputs'!$AL$15:$AL$44,MATCH(B232,'Pilot inputs'!$B$15:$B$44,0))+IF(C232=""Utilities"",0.4,0.35)*((100-LET(peer_val"&amp;"ues,FILTER('Pilot inputs'!$L$15:$L$44,'Pilot inputs'!$D$15:$D$44=INDEX('Pilot inputs'!$D$15:$D$44,MATCH(B232,'Pilot inputs'!$B$15:$B$44,0)),'Pilot inputs'!$B$15:$B$44&lt;&gt;B232,'Pilot inputs'!$AA$15:$AA$44=1),peer_count,ROWS(peer_values),IF(peer_count+1&lt;MAX(3"&amp;",Rules!$B$12),""Unranked"",100*(SUMPRODUCT(N(peer_values&lt;G232))+SUMPRODUCT(N(peer_values=G232))/2)/peer_count)))-INDEX('Pilot inputs'!$AI$15:$AI$44,MATCH(B232,'Pilot inputs'!$B$15:$B$44,0))),""Unranked""),""Unranked"")"),65.0)</f>
        <v>65</v>
      </c>
      <c r="J232" s="145">
        <f t="array" ref="J232">IFERROR(IF(AND(INDEX('Pilot inputs'!$AQ$15:$AQ$44,MATCH(B232,'Pilot inputs'!$B$15:$B$44,0))=1,ISNUMBER($F$12),$F$12&gt;=0,$F$12&lt;1),INDEX('Pilot inputs'!$AM$15:$AM$44,MATCH(B232,'Pilot inputs'!$B$15:$B$44,0)),"Unranked"),"Unranked")</f>
        <v>0</v>
      </c>
      <c r="K232" s="145">
        <f t="array" ref="K232">IFERROR(IF(AND(INDEX('Pilot inputs'!$AQ$15:$AQ$44,MATCH(B232,'Pilot inputs'!$B$15:$B$44,0))=1,ISNUMBER($F$12),$F$12&gt;=0,$F$12&lt;1),INDEX('Pilot inputs'!$AP$15:$AP$44,MATCH(B232,'Pilot inputs'!$B$15:$B$44,0)),"Unranked"),"Unranked")</f>
        <v>50</v>
      </c>
      <c r="L232" s="145">
        <f t="shared" si="129"/>
        <v>53.75</v>
      </c>
      <c r="M232" s="145">
        <f>IFERROR(__xludf.DUMMYFUNCTION("IFERROR(IF(ISNUMBER(L232),1+COUNTIF(FILTER($G$15:$G$24,$A$15:$A$24&lt;&gt;B232),""&gt;""&amp;L232)+COUNTIF(FILTER($G$15:$G$24,$A$15:$A$24&lt;&gt;B232),L232)/2,""Unranked""),""Unranked"")"),7.0)</f>
        <v>7</v>
      </c>
      <c r="N232" s="145">
        <f t="shared" si="130"/>
        <v>48</v>
      </c>
      <c r="O232" s="145">
        <f>IFERROR(__xludf.DUMMYFUNCTION("IFERROR(IF(ISNUMBER(N232),1+COUNTIF(FILTER($I$15:$I$24,$A$15:$A$24&lt;&gt;B232),""&gt;""&amp;N232)+COUNTIF(FILTER($I$15:$I$24,$A$15:$A$24&lt;&gt;B232),N232)/2,""Unranked""),""Unranked"")"),9.0)</f>
        <v>9</v>
      </c>
      <c r="P232" s="145">
        <f t="shared" si="131"/>
        <v>53.5</v>
      </c>
      <c r="Q232" s="145">
        <f>IFERROR(__xludf.DUMMYFUNCTION("IFERROR(IF(ISNUMBER(P232),1+COUNTIF(FILTER($K$15:$K$24,$A$15:$A$24&lt;&gt;B232),""&gt;""&amp;P232)+COUNTIF(FILTER($K$15:$K$24,$A$15:$A$24&lt;&gt;B232),P232)/2,""Unranked""),""Unranked"")"),5.0)</f>
        <v>5</v>
      </c>
      <c r="R232" s="145">
        <f t="shared" si="132"/>
        <v>0</v>
      </c>
      <c r="S232" s="145">
        <f t="shared" si="133"/>
        <v>0</v>
      </c>
      <c r="T232" s="145">
        <f t="shared" si="134"/>
        <v>0</v>
      </c>
      <c r="U232" s="93" t="s">
        <v>1717</v>
      </c>
      <c r="V232" s="93" t="s">
        <v>1718</v>
      </c>
      <c r="W232" s="93"/>
      <c r="X232" s="93"/>
    </row>
    <row r="233" ht="24.0" customHeight="1">
      <c r="A233" s="93">
        <v>89.0</v>
      </c>
      <c r="B233" s="93" t="s">
        <v>322</v>
      </c>
      <c r="C233" s="93" t="s">
        <v>324</v>
      </c>
      <c r="D233" s="93" t="s">
        <v>1741</v>
      </c>
      <c r="E233" s="145">
        <v>-1.0</v>
      </c>
      <c r="F233" s="145">
        <f t="array" ref="F233">INDEX('Pilot inputs'!$M$15:$M$44,MATCH(B233,'Pilot inputs'!$B$15:$B$44,0))</f>
        <v>0.1129</v>
      </c>
      <c r="G233" s="145">
        <f t="shared" si="128"/>
        <v>0.107255</v>
      </c>
      <c r="H233" s="145">
        <f t="array" ref="H233">IFERROR(IF(AND(INDEX('Pilot inputs'!$AQ$15:$AQ$44,MATCH(B233,'Pilot inputs'!$B$15:$B$44,0))=1,ISNUMBER($F$12),$F$12&gt;=0,$F$12&lt;1),INDEX('Pilot inputs'!$AG$15:$AG$44,MATCH(B233,'Pilot inputs'!$B$15:$B$44,0)),"Unranked"),"Unranked")</f>
        <v>100</v>
      </c>
      <c r="I233" s="145">
        <f>IFERROR(__xludf.DUMMYFUNCTION("IFERROR(IF(AND(INDEX('Pilot inputs'!$AQ$15:$AQ$44,MATCH(B233,'Pilot inputs'!$B$15:$B$44,0))=1,ISNUMBER($F$12),$F$12&gt;=0,$F$12&lt;1),INDEX('Pilot inputs'!$AL$15:$AL$44,MATCH(B233,'Pilot inputs'!$B$15:$B$44,0))+0.3*((LET(peer_values,FILTER('Pilot inputs'!$M$15:"&amp;"$M$44,'Pilot inputs'!$D$15:$D$44=INDEX('Pilot inputs'!$D$15:$D$44,MATCH(B233,'Pilot inputs'!$B$15:$B$44,0)),'Pilot inputs'!$B$15:$B$44&lt;&gt;B233,'Pilot inputs'!$AA$15:$AA$44=1),peer_count,ROWS(peer_values),IF(peer_count+1&lt;MAX(3,Rules!$B$12),""Unranked"",100*("&amp;"SUMPRODUCT(N(peer_values&lt;G233))+SUMPRODUCT(N(peer_values=G233))/2)/peer_count)))-INDEX('Pilot inputs'!$AJ$15:$AJ$44,MATCH(B233,'Pilot inputs'!$B$15:$B$44,0))),""Unranked""),""Unranked"")"),65.0)</f>
        <v>65</v>
      </c>
      <c r="J233" s="145">
        <f t="array" ref="J233">IFERROR(IF(AND(INDEX('Pilot inputs'!$AQ$15:$AQ$44,MATCH(B233,'Pilot inputs'!$B$15:$B$44,0))=1,ISNUMBER($F$12),$F$12&gt;=0,$F$12&lt;1),INDEX('Pilot inputs'!$AM$15:$AM$44,MATCH(B233,'Pilot inputs'!$B$15:$B$44,0)),"Unranked"),"Unranked")</f>
        <v>0</v>
      </c>
      <c r="K233" s="145">
        <f t="array" ref="K233">IFERROR(IF(AND(INDEX('Pilot inputs'!$AQ$15:$AQ$44,MATCH(B233,'Pilot inputs'!$B$15:$B$44,0))=1,ISNUMBER($F$12),$F$12&gt;=0,$F$12&lt;1),INDEX('Pilot inputs'!$AP$15:$AP$44,MATCH(B233,'Pilot inputs'!$B$15:$B$44,0)),"Unranked"),"Unranked")</f>
        <v>50</v>
      </c>
      <c r="L233" s="145">
        <f t="shared" si="129"/>
        <v>53.75</v>
      </c>
      <c r="M233" s="145">
        <f>IFERROR(__xludf.DUMMYFUNCTION("IFERROR(IF(ISNUMBER(L233),1+COUNTIF(FILTER($G$15:$G$24,$A$15:$A$24&lt;&gt;B233),""&gt;""&amp;L233)+COUNTIF(FILTER($G$15:$G$24,$A$15:$A$24&lt;&gt;B233),L233)/2,""Unranked""),""Unranked"")"),7.0)</f>
        <v>7</v>
      </c>
      <c r="N233" s="145">
        <f t="shared" si="130"/>
        <v>48</v>
      </c>
      <c r="O233" s="145">
        <f>IFERROR(__xludf.DUMMYFUNCTION("IFERROR(IF(ISNUMBER(N233),1+COUNTIF(FILTER($I$15:$I$24,$A$15:$A$24&lt;&gt;B233),""&gt;""&amp;N233)+COUNTIF(FILTER($I$15:$I$24,$A$15:$A$24&lt;&gt;B233),N233)/2,""Unranked""),""Unranked"")"),9.0)</f>
        <v>9</v>
      </c>
      <c r="P233" s="145">
        <f t="shared" si="131"/>
        <v>53.5</v>
      </c>
      <c r="Q233" s="145">
        <f>IFERROR(__xludf.DUMMYFUNCTION("IFERROR(IF(ISNUMBER(P233),1+COUNTIF(FILTER($K$15:$K$24,$A$15:$A$24&lt;&gt;B233),""&gt;""&amp;P233)+COUNTIF(FILTER($K$15:$K$24,$A$15:$A$24&lt;&gt;B233),P233)/2,""Unranked""),""Unranked"")"),5.0)</f>
        <v>5</v>
      </c>
      <c r="R233" s="145">
        <f t="shared" si="132"/>
        <v>0</v>
      </c>
      <c r="S233" s="145">
        <f t="shared" si="133"/>
        <v>0</v>
      </c>
      <c r="T233" s="145">
        <f t="shared" si="134"/>
        <v>0</v>
      </c>
      <c r="U233" s="93" t="s">
        <v>1717</v>
      </c>
      <c r="V233" s="93" t="s">
        <v>1718</v>
      </c>
      <c r="W233" s="93"/>
      <c r="X233" s="93"/>
    </row>
    <row r="234" ht="24.0" customHeight="1">
      <c r="A234" s="93">
        <v>90.0</v>
      </c>
      <c r="B234" s="93" t="s">
        <v>322</v>
      </c>
      <c r="C234" s="93" t="s">
        <v>324</v>
      </c>
      <c r="D234" s="93" t="s">
        <v>1741</v>
      </c>
      <c r="E234" s="145">
        <v>1.0</v>
      </c>
      <c r="F234" s="145">
        <f t="array" ref="F234">INDEX('Pilot inputs'!$M$15:$M$44,MATCH(B234,'Pilot inputs'!$B$15:$B$44,0))</f>
        <v>0.1129</v>
      </c>
      <c r="G234" s="145">
        <f t="shared" si="128"/>
        <v>0.118545</v>
      </c>
      <c r="H234" s="145">
        <f t="array" ref="H234">IFERROR(IF(AND(INDEX('Pilot inputs'!$AQ$15:$AQ$44,MATCH(B234,'Pilot inputs'!$B$15:$B$44,0))=1,ISNUMBER($F$12),$F$12&gt;=0,$F$12&lt;1),INDEX('Pilot inputs'!$AG$15:$AG$44,MATCH(B234,'Pilot inputs'!$B$15:$B$44,0)),"Unranked"),"Unranked")</f>
        <v>100</v>
      </c>
      <c r="I234" s="145">
        <f>IFERROR(__xludf.DUMMYFUNCTION("IFERROR(IF(AND(INDEX('Pilot inputs'!$AQ$15:$AQ$44,MATCH(B234,'Pilot inputs'!$B$15:$B$44,0))=1,ISNUMBER($F$12),$F$12&gt;=0,$F$12&lt;1),INDEX('Pilot inputs'!$AL$15:$AL$44,MATCH(B234,'Pilot inputs'!$B$15:$B$44,0))+0.3*((LET(peer_values,FILTER('Pilot inputs'!$M$15:"&amp;"$M$44,'Pilot inputs'!$D$15:$D$44=INDEX('Pilot inputs'!$D$15:$D$44,MATCH(B234,'Pilot inputs'!$B$15:$B$44,0)),'Pilot inputs'!$B$15:$B$44&lt;&gt;B234,'Pilot inputs'!$AA$15:$AA$44=1),peer_count,ROWS(peer_values),IF(peer_count+1&lt;MAX(3,Rules!$B$12),""Unranked"",100*("&amp;"SUMPRODUCT(N(peer_values&lt;G234))+SUMPRODUCT(N(peer_values=G234))/2)/peer_count)))-INDEX('Pilot inputs'!$AJ$15:$AJ$44,MATCH(B234,'Pilot inputs'!$B$15:$B$44,0))),""Unranked""),""Unranked"")"),65.0)</f>
        <v>65</v>
      </c>
      <c r="J234" s="145">
        <f t="array" ref="J234">IFERROR(IF(AND(INDEX('Pilot inputs'!$AQ$15:$AQ$44,MATCH(B234,'Pilot inputs'!$B$15:$B$44,0))=1,ISNUMBER($F$12),$F$12&gt;=0,$F$12&lt;1),INDEX('Pilot inputs'!$AM$15:$AM$44,MATCH(B234,'Pilot inputs'!$B$15:$B$44,0)),"Unranked"),"Unranked")</f>
        <v>0</v>
      </c>
      <c r="K234" s="145">
        <f t="array" ref="K234">IFERROR(IF(AND(INDEX('Pilot inputs'!$AQ$15:$AQ$44,MATCH(B234,'Pilot inputs'!$B$15:$B$44,0))=1,ISNUMBER($F$12),$F$12&gt;=0,$F$12&lt;1),INDEX('Pilot inputs'!$AP$15:$AP$44,MATCH(B234,'Pilot inputs'!$B$15:$B$44,0)),"Unranked"),"Unranked")</f>
        <v>50</v>
      </c>
      <c r="L234" s="145">
        <f t="shared" si="129"/>
        <v>53.75</v>
      </c>
      <c r="M234" s="145">
        <f>IFERROR(__xludf.DUMMYFUNCTION("IFERROR(IF(ISNUMBER(L234),1+COUNTIF(FILTER($G$15:$G$24,$A$15:$A$24&lt;&gt;B234),""&gt;""&amp;L234)+COUNTIF(FILTER($G$15:$G$24,$A$15:$A$24&lt;&gt;B234),L234)/2,""Unranked""),""Unranked"")"),7.0)</f>
        <v>7</v>
      </c>
      <c r="N234" s="145">
        <f t="shared" si="130"/>
        <v>48</v>
      </c>
      <c r="O234" s="145">
        <f>IFERROR(__xludf.DUMMYFUNCTION("IFERROR(IF(ISNUMBER(N234),1+COUNTIF(FILTER($I$15:$I$24,$A$15:$A$24&lt;&gt;B234),""&gt;""&amp;N234)+COUNTIF(FILTER($I$15:$I$24,$A$15:$A$24&lt;&gt;B234),N234)/2,""Unranked""),""Unranked"")"),9.0)</f>
        <v>9</v>
      </c>
      <c r="P234" s="145">
        <f t="shared" si="131"/>
        <v>53.5</v>
      </c>
      <c r="Q234" s="145">
        <f>IFERROR(__xludf.DUMMYFUNCTION("IFERROR(IF(ISNUMBER(P234),1+COUNTIF(FILTER($K$15:$K$24,$A$15:$A$24&lt;&gt;B234),""&gt;""&amp;P234)+COUNTIF(FILTER($K$15:$K$24,$A$15:$A$24&lt;&gt;B234),P234)/2,""Unranked""),""Unranked"")"),5.0)</f>
        <v>5</v>
      </c>
      <c r="R234" s="145">
        <f t="shared" si="132"/>
        <v>0</v>
      </c>
      <c r="S234" s="145">
        <f t="shared" si="133"/>
        <v>0</v>
      </c>
      <c r="T234" s="145">
        <f t="shared" si="134"/>
        <v>0</v>
      </c>
      <c r="U234" s="93" t="s">
        <v>1717</v>
      </c>
      <c r="V234" s="93" t="s">
        <v>1718</v>
      </c>
      <c r="W234" s="93"/>
      <c r="X234" s="93"/>
    </row>
    <row r="235" ht="24.0" customHeight="1">
      <c r="A235" s="93">
        <v>91.0</v>
      </c>
      <c r="B235" s="93" t="s">
        <v>322</v>
      </c>
      <c r="C235" s="93" t="s">
        <v>324</v>
      </c>
      <c r="D235" s="93" t="s">
        <v>1235</v>
      </c>
      <c r="E235" s="145">
        <v>-1.0</v>
      </c>
      <c r="F235" s="145">
        <f t="array" ref="F235">INDEX('Pilot inputs'!$O$15:$O$44,MATCH(B235,'Pilot inputs'!$B$15:$B$44,0))</f>
        <v>0.0827</v>
      </c>
      <c r="G235" s="145">
        <f t="shared" si="128"/>
        <v>0.078565</v>
      </c>
      <c r="H235" s="145">
        <f t="array" ref="H235">IFERROR(IF(AND(INDEX('Pilot inputs'!$AQ$15:$AQ$44,MATCH(B235,'Pilot inputs'!$B$15:$B$44,0))=1,ISNUMBER($F$12),$F$12&gt;=0,$F$12&lt;1),INDEX('Pilot inputs'!$AG$15:$AG$44,MATCH(B235,'Pilot inputs'!$B$15:$B$44,0)),"Unranked"),"Unranked")</f>
        <v>100</v>
      </c>
      <c r="I235" s="145">
        <f t="array" ref="I235">IFERROR(IF(AND(INDEX('Pilot inputs'!$AQ$15:$AQ$44,MATCH(B235,'Pilot inputs'!$B$15:$B$44,0))=1,ISNUMBER($F$12),$F$12&gt;=0,$F$12&lt;1),INDEX('Pilot inputs'!$AL$15:$AL$44,MATCH(B235,'Pilot inputs'!$B$15:$B$44,0)),"Unranked"),"Unranked")</f>
        <v>65</v>
      </c>
      <c r="J235" s="145">
        <f t="array" ref="J235">IFERROR(IF(AND(INDEX('Pilot inputs'!$AQ$15:$AQ$44,MATCH(B235,'Pilot inputs'!$B$15:$B$44,0))=1,ISNUMBER($F$12),$F$12&gt;=0,$F$12&lt;1),INDEX('Pilot inputs'!$AM$15:$AM$44,MATCH(B235,'Pilot inputs'!$B$15:$B$44,0)),"Unranked"),"Unranked")</f>
        <v>0</v>
      </c>
      <c r="K235" s="145">
        <f>IFERROR(__xludf.DUMMYFUNCTION("IFERROR(IF(AND(INDEX('Pilot inputs'!$AQ$15:$AQ$44,MATCH(B235,'Pilot inputs'!$B$15:$B$44,0))=1,ISNUMBER($F$12),$F$12&gt;=0,$F$12&lt;1),(LET(peer_values,FILTER('Pilot inputs'!$O$15:$O$44,'Pilot inputs'!$D$15:$D$44=INDEX('Pilot inputs'!$D$15:$D$44,MATCH(B235,'Pilo"&amp;"t inputs'!$B$15:$B$44,0)),'Pilot inputs'!$B$15:$B$44&lt;&gt;B235,'Pilot inputs'!$AA$15:$AA$44=1),peer_count,ROWS(peer_values),IF(peer_count+1&lt;MAX(3,Rules!$B$12),""Unranked"",100*(SUMPRODUCT(N(peer_values&lt;G235))+SUMPRODUCT(N(peer_values=G235))/2)/peer_count))+IN"&amp;"DEX('Pilot inputs'!$AO$15:$AO$44,MATCH(B235,'Pilot inputs'!$B$15:$B$44,0)))/2,""Unranked""),""Unranked"")"),50.0)</f>
        <v>50</v>
      </c>
      <c r="L235" s="145">
        <f t="shared" si="129"/>
        <v>53.75</v>
      </c>
      <c r="M235" s="145">
        <f>IFERROR(__xludf.DUMMYFUNCTION("IFERROR(IF(ISNUMBER(L235),1+COUNTIF(FILTER($G$15:$G$24,$A$15:$A$24&lt;&gt;B235),""&gt;""&amp;L235)+COUNTIF(FILTER($G$15:$G$24,$A$15:$A$24&lt;&gt;B235),L235)/2,""Unranked""),""Unranked"")"),7.0)</f>
        <v>7</v>
      </c>
      <c r="N235" s="145">
        <f t="shared" si="130"/>
        <v>48</v>
      </c>
      <c r="O235" s="145">
        <f>IFERROR(__xludf.DUMMYFUNCTION("IFERROR(IF(ISNUMBER(N235),1+COUNTIF(FILTER($I$15:$I$24,$A$15:$A$24&lt;&gt;B235),""&gt;""&amp;N235)+COUNTIF(FILTER($I$15:$I$24,$A$15:$A$24&lt;&gt;B235),N235)/2,""Unranked""),""Unranked"")"),9.0)</f>
        <v>9</v>
      </c>
      <c r="P235" s="145">
        <f t="shared" si="131"/>
        <v>53.5</v>
      </c>
      <c r="Q235" s="145">
        <f>IFERROR(__xludf.DUMMYFUNCTION("IFERROR(IF(ISNUMBER(P235),1+COUNTIF(FILTER($K$15:$K$24,$A$15:$A$24&lt;&gt;B235),""&gt;""&amp;P235)+COUNTIF(FILTER($K$15:$K$24,$A$15:$A$24&lt;&gt;B235),P235)/2,""Unranked""),""Unranked"")"),5.0)</f>
        <v>5</v>
      </c>
      <c r="R235" s="145">
        <f t="shared" si="132"/>
        <v>0</v>
      </c>
      <c r="S235" s="145">
        <f t="shared" si="133"/>
        <v>0</v>
      </c>
      <c r="T235" s="145">
        <f t="shared" si="134"/>
        <v>0</v>
      </c>
      <c r="U235" s="93" t="s">
        <v>1717</v>
      </c>
      <c r="V235" s="93" t="s">
        <v>1718</v>
      </c>
      <c r="W235" s="93"/>
      <c r="X235" s="93"/>
    </row>
    <row r="236" ht="24.0" customHeight="1">
      <c r="A236" s="93">
        <v>92.0</v>
      </c>
      <c r="B236" s="93" t="s">
        <v>322</v>
      </c>
      <c r="C236" s="93" t="s">
        <v>324</v>
      </c>
      <c r="D236" s="93" t="s">
        <v>1235</v>
      </c>
      <c r="E236" s="145">
        <v>1.0</v>
      </c>
      <c r="F236" s="145">
        <f t="array" ref="F236">INDEX('Pilot inputs'!$O$15:$O$44,MATCH(B236,'Pilot inputs'!$B$15:$B$44,0))</f>
        <v>0.0827</v>
      </c>
      <c r="G236" s="145">
        <f t="shared" si="128"/>
        <v>0.086835</v>
      </c>
      <c r="H236" s="145">
        <f t="array" ref="H236">IFERROR(IF(AND(INDEX('Pilot inputs'!$AQ$15:$AQ$44,MATCH(B236,'Pilot inputs'!$B$15:$B$44,0))=1,ISNUMBER($F$12),$F$12&gt;=0,$F$12&lt;1),INDEX('Pilot inputs'!$AG$15:$AG$44,MATCH(B236,'Pilot inputs'!$B$15:$B$44,0)),"Unranked"),"Unranked")</f>
        <v>100</v>
      </c>
      <c r="I236" s="145">
        <f t="array" ref="I236">IFERROR(IF(AND(INDEX('Pilot inputs'!$AQ$15:$AQ$44,MATCH(B236,'Pilot inputs'!$B$15:$B$44,0))=1,ISNUMBER($F$12),$F$12&gt;=0,$F$12&lt;1),INDEX('Pilot inputs'!$AL$15:$AL$44,MATCH(B236,'Pilot inputs'!$B$15:$B$44,0)),"Unranked"),"Unranked")</f>
        <v>65</v>
      </c>
      <c r="J236" s="145">
        <f t="array" ref="J236">IFERROR(IF(AND(INDEX('Pilot inputs'!$AQ$15:$AQ$44,MATCH(B236,'Pilot inputs'!$B$15:$B$44,0))=1,ISNUMBER($F$12),$F$12&gt;=0,$F$12&lt;1),INDEX('Pilot inputs'!$AM$15:$AM$44,MATCH(B236,'Pilot inputs'!$B$15:$B$44,0)),"Unranked"),"Unranked")</f>
        <v>0</v>
      </c>
      <c r="K236" s="145">
        <f>IFERROR(__xludf.DUMMYFUNCTION("IFERROR(IF(AND(INDEX('Pilot inputs'!$AQ$15:$AQ$44,MATCH(B236,'Pilot inputs'!$B$15:$B$44,0))=1,ISNUMBER($F$12),$F$12&gt;=0,$F$12&lt;1),(LET(peer_values,FILTER('Pilot inputs'!$O$15:$O$44,'Pilot inputs'!$D$15:$D$44=INDEX('Pilot inputs'!$D$15:$D$44,MATCH(B236,'Pilo"&amp;"t inputs'!$B$15:$B$44,0)),'Pilot inputs'!$B$15:$B$44&lt;&gt;B236,'Pilot inputs'!$AA$15:$AA$44=1),peer_count,ROWS(peer_values),IF(peer_count+1&lt;MAX(3,Rules!$B$12),""Unranked"",100*(SUMPRODUCT(N(peer_values&lt;G236))+SUMPRODUCT(N(peer_values=G236))/2)/peer_count))+IN"&amp;"DEX('Pilot inputs'!$AO$15:$AO$44,MATCH(B236,'Pilot inputs'!$B$15:$B$44,0)))/2,""Unranked""),""Unranked"")"),50.0)</f>
        <v>50</v>
      </c>
      <c r="L236" s="145">
        <f t="shared" si="129"/>
        <v>53.75</v>
      </c>
      <c r="M236" s="145">
        <f>IFERROR(__xludf.DUMMYFUNCTION("IFERROR(IF(ISNUMBER(L236),1+COUNTIF(FILTER($G$15:$G$24,$A$15:$A$24&lt;&gt;B236),""&gt;""&amp;L236)+COUNTIF(FILTER($G$15:$G$24,$A$15:$A$24&lt;&gt;B236),L236)/2,""Unranked""),""Unranked"")"),7.0)</f>
        <v>7</v>
      </c>
      <c r="N236" s="145">
        <f t="shared" si="130"/>
        <v>48</v>
      </c>
      <c r="O236" s="145">
        <f>IFERROR(__xludf.DUMMYFUNCTION("IFERROR(IF(ISNUMBER(N236),1+COUNTIF(FILTER($I$15:$I$24,$A$15:$A$24&lt;&gt;B236),""&gt;""&amp;N236)+COUNTIF(FILTER($I$15:$I$24,$A$15:$A$24&lt;&gt;B236),N236)/2,""Unranked""),""Unranked"")"),9.0)</f>
        <v>9</v>
      </c>
      <c r="P236" s="145">
        <f t="shared" si="131"/>
        <v>53.5</v>
      </c>
      <c r="Q236" s="145">
        <f>IFERROR(__xludf.DUMMYFUNCTION("IFERROR(IF(ISNUMBER(P236),1+COUNTIF(FILTER($K$15:$K$24,$A$15:$A$24&lt;&gt;B236),""&gt;""&amp;P236)+COUNTIF(FILTER($K$15:$K$24,$A$15:$A$24&lt;&gt;B236),P236)/2,""Unranked""),""Unranked"")"),5.0)</f>
        <v>5</v>
      </c>
      <c r="R236" s="145">
        <f t="shared" si="132"/>
        <v>0</v>
      </c>
      <c r="S236" s="145">
        <f t="shared" si="133"/>
        <v>0</v>
      </c>
      <c r="T236" s="145">
        <f t="shared" si="134"/>
        <v>0</v>
      </c>
      <c r="U236" s="93" t="s">
        <v>1717</v>
      </c>
      <c r="V236" s="93" t="s">
        <v>1718</v>
      </c>
      <c r="W236" s="93"/>
      <c r="X236" s="93"/>
    </row>
    <row r="237" ht="24.0" customHeight="1">
      <c r="A237" s="93">
        <v>93.0</v>
      </c>
      <c r="B237" s="93" t="s">
        <v>322</v>
      </c>
      <c r="C237" s="93" t="s">
        <v>324</v>
      </c>
      <c r="D237" s="93" t="s">
        <v>1742</v>
      </c>
      <c r="E237" s="145">
        <v>-1.0</v>
      </c>
      <c r="F237" s="145">
        <f t="array" ref="F237">INDEX('Pilot inputs'!$P$15:$P$44,MATCH(B237,'Pilot inputs'!$B$15:$B$44,0))</f>
        <v>0.2307</v>
      </c>
      <c r="G237" s="145">
        <f t="shared" si="128"/>
        <v>0.219165</v>
      </c>
      <c r="H237" s="145">
        <f t="array" ref="H237">IFERROR(IF(AND(INDEX('Pilot inputs'!$AQ$15:$AQ$44,MATCH(B237,'Pilot inputs'!$B$15:$B$44,0))=1,ISNUMBER($F$12),$F$12&gt;=0,$F$12&lt;1),INDEX('Pilot inputs'!$AG$15:$AG$44,MATCH(B237,'Pilot inputs'!$B$15:$B$44,0)),"Unranked"),"Unranked")</f>
        <v>100</v>
      </c>
      <c r="I237" s="145">
        <f t="array" ref="I237">IFERROR(IF(AND(INDEX('Pilot inputs'!$AQ$15:$AQ$44,MATCH(B237,'Pilot inputs'!$B$15:$B$44,0))=1,ISNUMBER($F$12),$F$12&gt;=0,$F$12&lt;1),INDEX('Pilot inputs'!$AL$15:$AL$44,MATCH(B237,'Pilot inputs'!$B$15:$B$44,0)),"Unranked"),"Unranked")</f>
        <v>65</v>
      </c>
      <c r="J237" s="145">
        <f t="array" ref="J237">IFERROR(IF(AND(INDEX('Pilot inputs'!$AQ$15:$AQ$44,MATCH(B237,'Pilot inputs'!$B$15:$B$44,0))=1,ISNUMBER($F$12),$F$12&gt;=0,$F$12&lt;1),INDEX('Pilot inputs'!$AM$15:$AM$44,MATCH(B237,'Pilot inputs'!$B$15:$B$44,0)),"Unranked"),"Unranked")</f>
        <v>0</v>
      </c>
      <c r="K237" s="145">
        <f>IFERROR(__xludf.DUMMYFUNCTION("IFERROR(IF(AND(INDEX('Pilot inputs'!$AQ$15:$AQ$44,MATCH(B237,'Pilot inputs'!$B$15:$B$44,0))=1,ISNUMBER($F$12),$F$12&gt;=0,$F$12&lt;1),(LET(peer_values,FILTER('Pilot inputs'!$P$15:$P$44,'Pilot inputs'!$D$15:$D$44=INDEX('Pilot inputs'!$D$15:$D$44,MATCH(B237,'Pilo"&amp;"t inputs'!$B$15:$B$44,0)),'Pilot inputs'!$B$15:$B$44&lt;&gt;B237,'Pilot inputs'!$AA$15:$AA$44=1),peer_count,ROWS(peer_values),IF(peer_count+1&lt;MAX(3,Rules!$B$12),""Unranked"",100*(SUMPRODUCT(N(peer_values&lt;G237))+SUMPRODUCT(N(peer_values=G237))/2)/peer_count))+IN"&amp;"DEX('Pilot inputs'!$AN$15:$AN$44,MATCH(B237,'Pilot inputs'!$B$15:$B$44,0)))/2,""Unranked""),""Unranked"")"),25.0)</f>
        <v>25</v>
      </c>
      <c r="L237" s="145">
        <f t="shared" si="129"/>
        <v>47.5</v>
      </c>
      <c r="M237" s="145">
        <f>IFERROR(__xludf.DUMMYFUNCTION("IFERROR(IF(ISNUMBER(L237),1+COUNTIF(FILTER($G$15:$G$24,$A$15:$A$24&lt;&gt;B237),""&gt;""&amp;L237)+COUNTIF(FILTER($G$15:$G$24,$A$15:$A$24&lt;&gt;B237),L237)/2,""Unranked""),""Unranked"")"),8.0)</f>
        <v>8</v>
      </c>
      <c r="N237" s="145">
        <f t="shared" si="130"/>
        <v>38</v>
      </c>
      <c r="O237" s="145">
        <f>IFERROR(__xludf.DUMMYFUNCTION("IFERROR(IF(ISNUMBER(N237),1+COUNTIF(FILTER($I$15:$I$24,$A$15:$A$24&lt;&gt;B237),""&gt;""&amp;N237)+COUNTIF(FILTER($I$15:$I$24,$A$15:$A$24&lt;&gt;B237),N237)/2,""Unranked""),""Unranked"")"),9.0)</f>
        <v>9</v>
      </c>
      <c r="P237" s="145">
        <f t="shared" si="131"/>
        <v>47.25</v>
      </c>
      <c r="Q237" s="145">
        <f>IFERROR(__xludf.DUMMYFUNCTION("IFERROR(IF(ISNUMBER(P237),1+COUNTIF(FILTER($K$15:$K$24,$A$15:$A$24&lt;&gt;B237),""&gt;""&amp;P237)+COUNTIF(FILTER($K$15:$K$24,$A$15:$A$24&lt;&gt;B237),P237)/2,""Unranked""),""Unranked"")"),6.0)</f>
        <v>6</v>
      </c>
      <c r="R237" s="145">
        <f t="shared" si="132"/>
        <v>1</v>
      </c>
      <c r="S237" s="145">
        <f t="shared" si="133"/>
        <v>0</v>
      </c>
      <c r="T237" s="145">
        <f t="shared" si="134"/>
        <v>1</v>
      </c>
      <c r="U237" s="93" t="s">
        <v>1717</v>
      </c>
      <c r="V237" s="93" t="s">
        <v>1718</v>
      </c>
      <c r="W237" s="93"/>
      <c r="X237" s="93"/>
    </row>
    <row r="238" ht="24.0" customHeight="1">
      <c r="A238" s="93">
        <v>94.0</v>
      </c>
      <c r="B238" s="93" t="s">
        <v>322</v>
      </c>
      <c r="C238" s="93" t="s">
        <v>324</v>
      </c>
      <c r="D238" s="93" t="s">
        <v>1742</v>
      </c>
      <c r="E238" s="145">
        <v>1.0</v>
      </c>
      <c r="F238" s="145">
        <f t="array" ref="F238">INDEX('Pilot inputs'!$P$15:$P$44,MATCH(B238,'Pilot inputs'!$B$15:$B$44,0))</f>
        <v>0.2307</v>
      </c>
      <c r="G238" s="145">
        <f t="shared" si="128"/>
        <v>0.242235</v>
      </c>
      <c r="H238" s="145">
        <f t="array" ref="H238">IFERROR(IF(AND(INDEX('Pilot inputs'!$AQ$15:$AQ$44,MATCH(B238,'Pilot inputs'!$B$15:$B$44,0))=1,ISNUMBER($F$12),$F$12&gt;=0,$F$12&lt;1),INDEX('Pilot inputs'!$AG$15:$AG$44,MATCH(B238,'Pilot inputs'!$B$15:$B$44,0)),"Unranked"),"Unranked")</f>
        <v>100</v>
      </c>
      <c r="I238" s="145">
        <f t="array" ref="I238">IFERROR(IF(AND(INDEX('Pilot inputs'!$AQ$15:$AQ$44,MATCH(B238,'Pilot inputs'!$B$15:$B$44,0))=1,ISNUMBER($F$12),$F$12&gt;=0,$F$12&lt;1),INDEX('Pilot inputs'!$AL$15:$AL$44,MATCH(B238,'Pilot inputs'!$B$15:$B$44,0)),"Unranked"),"Unranked")</f>
        <v>65</v>
      </c>
      <c r="J238" s="145">
        <f t="array" ref="J238">IFERROR(IF(AND(INDEX('Pilot inputs'!$AQ$15:$AQ$44,MATCH(B238,'Pilot inputs'!$B$15:$B$44,0))=1,ISNUMBER($F$12),$F$12&gt;=0,$F$12&lt;1),INDEX('Pilot inputs'!$AM$15:$AM$44,MATCH(B238,'Pilot inputs'!$B$15:$B$44,0)),"Unranked"),"Unranked")</f>
        <v>0</v>
      </c>
      <c r="K238" s="145">
        <f>IFERROR(__xludf.DUMMYFUNCTION("IFERROR(IF(AND(INDEX('Pilot inputs'!$AQ$15:$AQ$44,MATCH(B238,'Pilot inputs'!$B$15:$B$44,0))=1,ISNUMBER($F$12),$F$12&gt;=0,$F$12&lt;1),(LET(peer_values,FILTER('Pilot inputs'!$P$15:$P$44,'Pilot inputs'!$D$15:$D$44=INDEX('Pilot inputs'!$D$15:$D$44,MATCH(B238,'Pilo"&amp;"t inputs'!$B$15:$B$44,0)),'Pilot inputs'!$B$15:$B$44&lt;&gt;B238,'Pilot inputs'!$AA$15:$AA$44=1),peer_count,ROWS(peer_values),IF(peer_count+1&lt;MAX(3,Rules!$B$12),""Unranked"",100*(SUMPRODUCT(N(peer_values&lt;G238))+SUMPRODUCT(N(peer_values=G238))/2)/peer_count))+IN"&amp;"DEX('Pilot inputs'!$AN$15:$AN$44,MATCH(B238,'Pilot inputs'!$B$15:$B$44,0)))/2,""Unranked""),""Unranked"")"),50.0)</f>
        <v>50</v>
      </c>
      <c r="L238" s="145">
        <f t="shared" si="129"/>
        <v>53.75</v>
      </c>
      <c r="M238" s="145">
        <f>IFERROR(__xludf.DUMMYFUNCTION("IFERROR(IF(ISNUMBER(L238),1+COUNTIF(FILTER($G$15:$G$24,$A$15:$A$24&lt;&gt;B238),""&gt;""&amp;L238)+COUNTIF(FILTER($G$15:$G$24,$A$15:$A$24&lt;&gt;B238),L238)/2,""Unranked""),""Unranked"")"),7.0)</f>
        <v>7</v>
      </c>
      <c r="N238" s="145">
        <f t="shared" si="130"/>
        <v>48</v>
      </c>
      <c r="O238" s="145">
        <f>IFERROR(__xludf.DUMMYFUNCTION("IFERROR(IF(ISNUMBER(N238),1+COUNTIF(FILTER($I$15:$I$24,$A$15:$A$24&lt;&gt;B238),""&gt;""&amp;N238)+COUNTIF(FILTER($I$15:$I$24,$A$15:$A$24&lt;&gt;B238),N238)/2,""Unranked""),""Unranked"")"),9.0)</f>
        <v>9</v>
      </c>
      <c r="P238" s="145">
        <f t="shared" si="131"/>
        <v>53.5</v>
      </c>
      <c r="Q238" s="145">
        <f>IFERROR(__xludf.DUMMYFUNCTION("IFERROR(IF(ISNUMBER(P238),1+COUNTIF(FILTER($K$15:$K$24,$A$15:$A$24&lt;&gt;B238),""&gt;""&amp;P238)+COUNTIF(FILTER($K$15:$K$24,$A$15:$A$24&lt;&gt;B238),P238)/2,""Unranked""),""Unranked"")"),5.0)</f>
        <v>5</v>
      </c>
      <c r="R238" s="145">
        <f t="shared" si="132"/>
        <v>0</v>
      </c>
      <c r="S238" s="145">
        <f t="shared" si="133"/>
        <v>0</v>
      </c>
      <c r="T238" s="145">
        <f t="shared" si="134"/>
        <v>0</v>
      </c>
      <c r="U238" s="93" t="s">
        <v>1717</v>
      </c>
      <c r="V238" s="93" t="s">
        <v>1718</v>
      </c>
      <c r="W238" s="93"/>
      <c r="X238" s="93"/>
    </row>
    <row r="239" ht="24.0" customHeight="1">
      <c r="A239" s="93">
        <v>95.0</v>
      </c>
      <c r="B239" s="93" t="s">
        <v>322</v>
      </c>
      <c r="C239" s="93" t="s">
        <v>324</v>
      </c>
      <c r="D239" s="93" t="s">
        <v>1743</v>
      </c>
      <c r="E239" s="145">
        <v>-1.0</v>
      </c>
      <c r="F239" s="145">
        <f t="array" ref="F239">INDEX('Pilot inputs'!$R$15:$R$44,MATCH(B239,'Pilot inputs'!$B$15:$B$44,0))</f>
        <v>138.191</v>
      </c>
      <c r="G239" s="145">
        <f t="shared" si="128"/>
        <v>131.28145</v>
      </c>
      <c r="H239" s="145">
        <f t="array" ref="H239">IFERROR(IF(AND(INDEX('Pilot inputs'!$AQ$15:$AQ$44,MATCH(B239,'Pilot inputs'!$B$15:$B$44,0))=1,ISNUMBER($F$12),$F$12&gt;=0,$F$12&lt;1),INDEX('Pilot inputs'!$AG$15:$AG$44,MATCH(B239,'Pilot inputs'!$B$15:$B$44,0)),"Unranked"),"Unranked")</f>
        <v>100</v>
      </c>
      <c r="I239" s="145">
        <f t="array" ref="I239">IFERROR(IF(AND(INDEX('Pilot inputs'!$AQ$15:$AQ$44,MATCH(B239,'Pilot inputs'!$B$15:$B$44,0))=1,ISNUMBER($F$12),$F$12&gt;=0,$F$12&lt;1),INDEX('Pilot inputs'!$AL$15:$AL$44,MATCH(B239,'Pilot inputs'!$B$15:$B$44,0)),"Unranked"),"Unranked")</f>
        <v>65</v>
      </c>
      <c r="J239" s="145">
        <f>IFERROR(__xludf.DUMMYFUNCTION("IFERROR(IF(AND(INDEX('Pilot inputs'!$AQ$15:$AQ$44,MATCH(B239,'Pilot inputs'!$B$15:$B$44,0))=1,ISNUMBER($F$12),$F$12&gt;=0,$F$12&lt;1),LET(peer_values,FILTER('Pilot inputs'!$AB$15:$AB$44,'Pilot inputs'!$D$15:$D$44=INDEX('Pilot inputs'!$D$15:$D$44,MATCH(B239,'Pil"&amp;"ot inputs'!$B$15:$B$44,0)),'Pilot inputs'!$B$15:$B$44&lt;&gt;B239,'Pilot inputs'!$AA$15:$AA$44=1),peer_count,ROWS(peer_values),IF(peer_count+1&lt;MAX(3,Rules!$B$12),""Unranked"",100*(SUMPRODUCT(N(peer_values&lt;((G239/INDEX('Pilot inputs'!$T$15:$T$44,MATCH(B239,'Pilo"&amp;"t inputs'!$B$15:$B$44,0)))^(1/3)-1)))+SUMPRODUCT(N(peer_values=((G239/INDEX('Pilot inputs'!$T$15:$T$44,MATCH(B239,'Pilot inputs'!$B$15:$B$44,0)))^(1/3)-1)))/2)/peer_count)),""Unranked""),""Unranked"")"),0.0)</f>
        <v>0</v>
      </c>
      <c r="K239" s="145">
        <f t="array" ref="K239">IFERROR(IF(AND(INDEX('Pilot inputs'!$AQ$15:$AQ$44,MATCH(B239,'Pilot inputs'!$B$15:$B$44,0))=1,ISNUMBER($F$12),$F$12&gt;=0,$F$12&lt;1),INDEX('Pilot inputs'!$AP$15:$AP$44,MATCH(B239,'Pilot inputs'!$B$15:$B$44,0)),"Unranked"),"Unranked")</f>
        <v>50</v>
      </c>
      <c r="L239" s="145">
        <f t="shared" si="129"/>
        <v>53.75</v>
      </c>
      <c r="M239" s="145">
        <f>IFERROR(__xludf.DUMMYFUNCTION("IFERROR(IF(ISNUMBER(L239),1+COUNTIF(FILTER($G$15:$G$24,$A$15:$A$24&lt;&gt;B239),""&gt;""&amp;L239)+COUNTIF(FILTER($G$15:$G$24,$A$15:$A$24&lt;&gt;B239),L239)/2,""Unranked""),""Unranked"")"),7.0)</f>
        <v>7</v>
      </c>
      <c r="N239" s="145">
        <f t="shared" si="130"/>
        <v>48</v>
      </c>
      <c r="O239" s="145">
        <f>IFERROR(__xludf.DUMMYFUNCTION("IFERROR(IF(ISNUMBER(N239),1+COUNTIF(FILTER($I$15:$I$24,$A$15:$A$24&lt;&gt;B239),""&gt;""&amp;N239)+COUNTIF(FILTER($I$15:$I$24,$A$15:$A$24&lt;&gt;B239),N239)/2,""Unranked""),""Unranked"")"),9.0)</f>
        <v>9</v>
      </c>
      <c r="P239" s="145">
        <f t="shared" si="131"/>
        <v>53.5</v>
      </c>
      <c r="Q239" s="145">
        <f>IFERROR(__xludf.DUMMYFUNCTION("IFERROR(IF(ISNUMBER(P239),1+COUNTIF(FILTER($K$15:$K$24,$A$15:$A$24&lt;&gt;B239),""&gt;""&amp;P239)+COUNTIF(FILTER($K$15:$K$24,$A$15:$A$24&lt;&gt;B239),P239)/2,""Unranked""),""Unranked"")"),5.0)</f>
        <v>5</v>
      </c>
      <c r="R239" s="145">
        <f t="shared" si="132"/>
        <v>0</v>
      </c>
      <c r="S239" s="145">
        <f t="shared" si="133"/>
        <v>0</v>
      </c>
      <c r="T239" s="145">
        <f t="shared" si="134"/>
        <v>0</v>
      </c>
      <c r="U239" s="93" t="s">
        <v>1717</v>
      </c>
      <c r="V239" s="93" t="s">
        <v>1718</v>
      </c>
      <c r="W239" s="93"/>
      <c r="X239" s="93"/>
    </row>
    <row r="240" ht="24.0" customHeight="1">
      <c r="A240" s="93">
        <v>96.0</v>
      </c>
      <c r="B240" s="93" t="s">
        <v>322</v>
      </c>
      <c r="C240" s="93" t="s">
        <v>324</v>
      </c>
      <c r="D240" s="93" t="s">
        <v>1743</v>
      </c>
      <c r="E240" s="145">
        <v>1.0</v>
      </c>
      <c r="F240" s="145">
        <f t="array" ref="F240">INDEX('Pilot inputs'!$R$15:$R$44,MATCH(B240,'Pilot inputs'!$B$15:$B$44,0))</f>
        <v>138.191</v>
      </c>
      <c r="G240" s="145">
        <f t="shared" si="128"/>
        <v>145.10055</v>
      </c>
      <c r="H240" s="145">
        <f t="array" ref="H240">IFERROR(IF(AND(INDEX('Pilot inputs'!$AQ$15:$AQ$44,MATCH(B240,'Pilot inputs'!$B$15:$B$44,0))=1,ISNUMBER($F$12),$F$12&gt;=0,$F$12&lt;1),INDEX('Pilot inputs'!$AG$15:$AG$44,MATCH(B240,'Pilot inputs'!$B$15:$B$44,0)),"Unranked"),"Unranked")</f>
        <v>100</v>
      </c>
      <c r="I240" s="145">
        <f t="array" ref="I240">IFERROR(IF(AND(INDEX('Pilot inputs'!$AQ$15:$AQ$44,MATCH(B240,'Pilot inputs'!$B$15:$B$44,0))=1,ISNUMBER($F$12),$F$12&gt;=0,$F$12&lt;1),INDEX('Pilot inputs'!$AL$15:$AL$44,MATCH(B240,'Pilot inputs'!$B$15:$B$44,0)),"Unranked"),"Unranked")</f>
        <v>65</v>
      </c>
      <c r="J240" s="145">
        <f>IFERROR(__xludf.DUMMYFUNCTION("IFERROR(IF(AND(INDEX('Pilot inputs'!$AQ$15:$AQ$44,MATCH(B240,'Pilot inputs'!$B$15:$B$44,0))=1,ISNUMBER($F$12),$F$12&gt;=0,$F$12&lt;1),LET(peer_values,FILTER('Pilot inputs'!$AB$15:$AB$44,'Pilot inputs'!$D$15:$D$44=INDEX('Pilot inputs'!$D$15:$D$44,MATCH(B240,'Pil"&amp;"ot inputs'!$B$15:$B$44,0)),'Pilot inputs'!$B$15:$B$44&lt;&gt;B240,'Pilot inputs'!$AA$15:$AA$44=1),peer_count,ROWS(peer_values),IF(peer_count+1&lt;MAX(3,Rules!$B$12),""Unranked"",100*(SUMPRODUCT(N(peer_values&lt;((G240/INDEX('Pilot inputs'!$T$15:$T$44,MATCH(B240,'Pilo"&amp;"t inputs'!$B$15:$B$44,0)))^(1/3)-1)))+SUMPRODUCT(N(peer_values=((G240/INDEX('Pilot inputs'!$T$15:$T$44,MATCH(B240,'Pilot inputs'!$B$15:$B$44,0)))^(1/3)-1)))/2)/peer_count)),""Unranked""),""Unranked"")"),50.0)</f>
        <v>50</v>
      </c>
      <c r="K240" s="145">
        <f t="array" ref="K240">IFERROR(IF(AND(INDEX('Pilot inputs'!$AQ$15:$AQ$44,MATCH(B240,'Pilot inputs'!$B$15:$B$44,0))=1,ISNUMBER($F$12),$F$12&gt;=0,$F$12&lt;1),INDEX('Pilot inputs'!$AP$15:$AP$44,MATCH(B240,'Pilot inputs'!$B$15:$B$44,0)),"Unranked"),"Unranked")</f>
        <v>50</v>
      </c>
      <c r="L240" s="145">
        <f t="shared" si="129"/>
        <v>66.25</v>
      </c>
      <c r="M240" s="145">
        <f>IFERROR(__xludf.DUMMYFUNCTION("IFERROR(IF(ISNUMBER(L240),1+COUNTIF(FILTER($G$15:$G$24,$A$15:$A$24&lt;&gt;B240),""&gt;""&amp;L240)+COUNTIF(FILTER($G$15:$G$24,$A$15:$A$24&lt;&gt;B240),L240)/2,""Unranked""),""Unranked"")"),4.0)</f>
        <v>4</v>
      </c>
      <c r="N240" s="145">
        <f t="shared" si="130"/>
        <v>60.5</v>
      </c>
      <c r="O240" s="145">
        <f>IFERROR(__xludf.DUMMYFUNCTION("IFERROR(IF(ISNUMBER(N240),1+COUNTIF(FILTER($I$15:$I$24,$A$15:$A$24&lt;&gt;B240),""&gt;""&amp;N240)+COUNTIF(FILTER($I$15:$I$24,$A$15:$A$24&lt;&gt;B240),N240)/2,""Unranked""),""Unranked"")"),4.5)</f>
        <v>4.5</v>
      </c>
      <c r="P240" s="145">
        <f t="shared" si="131"/>
        <v>63.5</v>
      </c>
      <c r="Q240" s="145">
        <f>IFERROR(__xludf.DUMMYFUNCTION("IFERROR(IF(ISNUMBER(P240),1+COUNTIF(FILTER($K$15:$K$24,$A$15:$A$24&lt;&gt;B240),""&gt;""&amp;P240)+COUNTIF(FILTER($K$15:$K$24,$A$15:$A$24&lt;&gt;B240),P240)/2,""Unranked""),""Unranked"")"),3.0)</f>
        <v>3</v>
      </c>
      <c r="R240" s="145">
        <f t="shared" si="132"/>
        <v>3</v>
      </c>
      <c r="S240" s="145">
        <f t="shared" si="133"/>
        <v>4.5</v>
      </c>
      <c r="T240" s="145">
        <f t="shared" si="134"/>
        <v>2</v>
      </c>
      <c r="U240" s="93" t="s">
        <v>1717</v>
      </c>
      <c r="V240" s="93" t="s">
        <v>1718</v>
      </c>
      <c r="W240" s="93"/>
      <c r="X240" s="93"/>
    </row>
    <row r="241" ht="24.0" customHeight="1">
      <c r="A241" s="93">
        <v>97.0</v>
      </c>
      <c r="B241" s="93" t="s">
        <v>1437</v>
      </c>
      <c r="C241" s="93" t="s">
        <v>330</v>
      </c>
      <c r="D241" s="93" t="s">
        <v>68</v>
      </c>
      <c r="E241" s="145">
        <v>-1.0</v>
      </c>
      <c r="F241" s="145">
        <f t="array" ref="F241">INDEX('Pilot inputs'!$F$15:$F$44,MATCH(B241,'Pilot inputs'!$B$15:$B$44,0))</f>
        <v>74.88</v>
      </c>
      <c r="G241" s="145">
        <f t="shared" si="128"/>
        <v>71.136</v>
      </c>
      <c r="H241" s="145">
        <f>IFERROR(__xludf.DUMMYFUNCTION("IFERROR(IF(AND(INDEX('Pilot inputs'!$AQ$15:$AQ$44,MATCH(B241,'Pilot inputs'!$B$15:$B$44,0))=1,ISNUMBER($F$12),$F$12&gt;=0,$F$12&lt;1),(LET(peer_values,FILTER('Pilot inputs'!$F$15:$F$44,'Pilot inputs'!$D$15:$D$44=INDEX('Pilot inputs'!$D$15:$D$44,MATCH(B241,'Pilo"&amp;"t inputs'!$B$15:$B$44,0)),'Pilot inputs'!$B$15:$B$44&lt;&gt;B241,'Pilot inputs'!$AA$15:$AA$44=1),peer_count,ROWS(peer_values),IF(peer_count+1&lt;MAX(3,Rules!$B$12),""Unranked"",100*(SUMPRODUCT(N(peer_values&lt;G241))+SUMPRODUCT(N(peer_values=G241))/2)/peer_count))+IN"&amp;"DEX('Pilot inputs'!$AF$15:$AF$44,MATCH(B241,'Pilot inputs'!$B$15:$B$44,0)))/2,""Unranked""),""Unranked"")"),100.0)</f>
        <v>100</v>
      </c>
      <c r="I241" s="145">
        <f t="array" ref="I241">IFERROR(IF(AND(INDEX('Pilot inputs'!$AQ$15:$AQ$44,MATCH(B241,'Pilot inputs'!$B$15:$B$44,0))=1,ISNUMBER($F$12),$F$12&gt;=0,$F$12&lt;1),INDEX('Pilot inputs'!$AL$15:$AL$44,MATCH(B241,'Pilot inputs'!$B$15:$B$44,0)),"Unranked"),"Unranked")</f>
        <v>17.5</v>
      </c>
      <c r="J241" s="145">
        <f t="array" ref="J241">IFERROR(IF(AND(INDEX('Pilot inputs'!$AQ$15:$AQ$44,MATCH(B241,'Pilot inputs'!$B$15:$B$44,0))=1,ISNUMBER($F$12),$F$12&gt;=0,$F$12&lt;1),INDEX('Pilot inputs'!$AM$15:$AM$44,MATCH(B241,'Pilot inputs'!$B$15:$B$44,0)),"Unranked"),"Unranked")</f>
        <v>0</v>
      </c>
      <c r="K241" s="145">
        <f t="array" ref="K241">IFERROR(IF(AND(INDEX('Pilot inputs'!$AQ$15:$AQ$44,MATCH(B241,'Pilot inputs'!$B$15:$B$44,0))=1,ISNUMBER($F$12),$F$12&gt;=0,$F$12&lt;1),INDEX('Pilot inputs'!$AP$15:$AP$44,MATCH(B241,'Pilot inputs'!$B$15:$B$44,0)),"Unranked"),"Unranked")</f>
        <v>100</v>
      </c>
      <c r="L241" s="145">
        <f t="shared" si="129"/>
        <v>54.375</v>
      </c>
      <c r="M241" s="145">
        <f>IFERROR(__xludf.DUMMYFUNCTION("IFERROR(IF(ISNUMBER(L241),1+COUNTIF(FILTER($G$15:$G$24,$A$15:$A$24&lt;&gt;B241),""&gt;""&amp;L241)+COUNTIF(FILTER($G$15:$G$24,$A$15:$A$24&lt;&gt;B241),L241)/2,""Unranked""),""Unranked"")"),6.0)</f>
        <v>6</v>
      </c>
      <c r="N241" s="145">
        <f t="shared" si="130"/>
        <v>58.5</v>
      </c>
      <c r="O241" s="145">
        <f>IFERROR(__xludf.DUMMYFUNCTION("IFERROR(IF(ISNUMBER(N241),1+COUNTIF(FILTER($I$15:$I$24,$A$15:$A$24&lt;&gt;B241),""&gt;""&amp;N241)+COUNTIF(FILTER($I$15:$I$24,$A$15:$A$24&lt;&gt;B241),N241)/2,""Unranked""),""Unranked"")"),6.0)</f>
        <v>6</v>
      </c>
      <c r="P241" s="145">
        <f t="shared" si="131"/>
        <v>47</v>
      </c>
      <c r="Q241" s="145">
        <f>IFERROR(__xludf.DUMMYFUNCTION("IFERROR(IF(ISNUMBER(P241),1+COUNTIF(FILTER($K$15:$K$24,$A$15:$A$24&lt;&gt;B241),""&gt;""&amp;P241)+COUNTIF(FILTER($K$15:$K$24,$A$15:$A$24&lt;&gt;B241),P241)/2,""Unranked""),""Unranked"")"),7.0)</f>
        <v>7</v>
      </c>
      <c r="R241" s="145">
        <f t="shared" si="132"/>
        <v>0</v>
      </c>
      <c r="S241" s="145">
        <f t="shared" si="133"/>
        <v>0</v>
      </c>
      <c r="T241" s="145">
        <f t="shared" si="134"/>
        <v>0</v>
      </c>
      <c r="U241" s="93" t="s">
        <v>1717</v>
      </c>
      <c r="V241" s="93" t="s">
        <v>1718</v>
      </c>
      <c r="W241" s="93"/>
      <c r="X241" s="93"/>
    </row>
    <row r="242" ht="24.0" customHeight="1">
      <c r="A242" s="93">
        <v>98.0</v>
      </c>
      <c r="B242" s="93" t="s">
        <v>1437</v>
      </c>
      <c r="C242" s="93" t="s">
        <v>330</v>
      </c>
      <c r="D242" s="93" t="s">
        <v>68</v>
      </c>
      <c r="E242" s="145">
        <v>1.0</v>
      </c>
      <c r="F242" s="145">
        <f t="array" ref="F242">INDEX('Pilot inputs'!$F$15:$F$44,MATCH(B242,'Pilot inputs'!$B$15:$B$44,0))</f>
        <v>74.88</v>
      </c>
      <c r="G242" s="145">
        <f t="shared" si="128"/>
        <v>78.624</v>
      </c>
      <c r="H242" s="145">
        <f>IFERROR(__xludf.DUMMYFUNCTION("IFERROR(IF(AND(INDEX('Pilot inputs'!$AQ$15:$AQ$44,MATCH(B242,'Pilot inputs'!$B$15:$B$44,0))=1,ISNUMBER($F$12),$F$12&gt;=0,$F$12&lt;1),(LET(peer_values,FILTER('Pilot inputs'!$F$15:$F$44,'Pilot inputs'!$D$15:$D$44=INDEX('Pilot inputs'!$D$15:$D$44,MATCH(B242,'Pilo"&amp;"t inputs'!$B$15:$B$44,0)),'Pilot inputs'!$B$15:$B$44&lt;&gt;B242,'Pilot inputs'!$AA$15:$AA$44=1),peer_count,ROWS(peer_values),IF(peer_count+1&lt;MAX(3,Rules!$B$12),""Unranked"",100*(SUMPRODUCT(N(peer_values&lt;G242))+SUMPRODUCT(N(peer_values=G242))/2)/peer_count))+IN"&amp;"DEX('Pilot inputs'!$AF$15:$AF$44,MATCH(B242,'Pilot inputs'!$B$15:$B$44,0)))/2,""Unranked""),""Unranked"")"),100.0)</f>
        <v>100</v>
      </c>
      <c r="I242" s="145">
        <f t="array" ref="I242">IFERROR(IF(AND(INDEX('Pilot inputs'!$AQ$15:$AQ$44,MATCH(B242,'Pilot inputs'!$B$15:$B$44,0))=1,ISNUMBER($F$12),$F$12&gt;=0,$F$12&lt;1),INDEX('Pilot inputs'!$AL$15:$AL$44,MATCH(B242,'Pilot inputs'!$B$15:$B$44,0)),"Unranked"),"Unranked")</f>
        <v>17.5</v>
      </c>
      <c r="J242" s="145">
        <f t="array" ref="J242">IFERROR(IF(AND(INDEX('Pilot inputs'!$AQ$15:$AQ$44,MATCH(B242,'Pilot inputs'!$B$15:$B$44,0))=1,ISNUMBER($F$12),$F$12&gt;=0,$F$12&lt;1),INDEX('Pilot inputs'!$AM$15:$AM$44,MATCH(B242,'Pilot inputs'!$B$15:$B$44,0)),"Unranked"),"Unranked")</f>
        <v>0</v>
      </c>
      <c r="K242" s="145">
        <f t="array" ref="K242">IFERROR(IF(AND(INDEX('Pilot inputs'!$AQ$15:$AQ$44,MATCH(B242,'Pilot inputs'!$B$15:$B$44,0))=1,ISNUMBER($F$12),$F$12&gt;=0,$F$12&lt;1),INDEX('Pilot inputs'!$AP$15:$AP$44,MATCH(B242,'Pilot inputs'!$B$15:$B$44,0)),"Unranked"),"Unranked")</f>
        <v>100</v>
      </c>
      <c r="L242" s="145">
        <f t="shared" si="129"/>
        <v>54.375</v>
      </c>
      <c r="M242" s="145">
        <f>IFERROR(__xludf.DUMMYFUNCTION("IFERROR(IF(ISNUMBER(L242),1+COUNTIF(FILTER($G$15:$G$24,$A$15:$A$24&lt;&gt;B242),""&gt;""&amp;L242)+COUNTIF(FILTER($G$15:$G$24,$A$15:$A$24&lt;&gt;B242),L242)/2,""Unranked""),""Unranked"")"),6.0)</f>
        <v>6</v>
      </c>
      <c r="N242" s="145">
        <f t="shared" si="130"/>
        <v>58.5</v>
      </c>
      <c r="O242" s="145">
        <f>IFERROR(__xludf.DUMMYFUNCTION("IFERROR(IF(ISNUMBER(N242),1+COUNTIF(FILTER($I$15:$I$24,$A$15:$A$24&lt;&gt;B242),""&gt;""&amp;N242)+COUNTIF(FILTER($I$15:$I$24,$A$15:$A$24&lt;&gt;B242),N242)/2,""Unranked""),""Unranked"")"),6.0)</f>
        <v>6</v>
      </c>
      <c r="P242" s="145">
        <f t="shared" si="131"/>
        <v>47</v>
      </c>
      <c r="Q242" s="145">
        <f>IFERROR(__xludf.DUMMYFUNCTION("IFERROR(IF(ISNUMBER(P242),1+COUNTIF(FILTER($K$15:$K$24,$A$15:$A$24&lt;&gt;B242),""&gt;""&amp;P242)+COUNTIF(FILTER($K$15:$K$24,$A$15:$A$24&lt;&gt;B242),P242)/2,""Unranked""),""Unranked"")"),7.0)</f>
        <v>7</v>
      </c>
      <c r="R242" s="145">
        <f t="shared" si="132"/>
        <v>0</v>
      </c>
      <c r="S242" s="145">
        <f t="shared" si="133"/>
        <v>0</v>
      </c>
      <c r="T242" s="145">
        <f t="shared" si="134"/>
        <v>0</v>
      </c>
      <c r="U242" s="93" t="s">
        <v>1717</v>
      </c>
      <c r="V242" s="93" t="s">
        <v>1718</v>
      </c>
      <c r="W242" s="93"/>
      <c r="X242" s="93"/>
    </row>
    <row r="243" ht="24.0" customHeight="1">
      <c r="A243" s="93">
        <v>99.0</v>
      </c>
      <c r="B243" s="93" t="s">
        <v>1437</v>
      </c>
      <c r="C243" s="93" t="s">
        <v>330</v>
      </c>
      <c r="D243" s="93" t="s">
        <v>1720</v>
      </c>
      <c r="E243" s="145">
        <v>-1.0</v>
      </c>
      <c r="F243" s="145">
        <f t="array" ref="F243">INDEX('Pilot inputs'!$H$15:$H$44,MATCH(B243,'Pilot inputs'!$B$15:$B$44,0))</f>
        <v>16.469</v>
      </c>
      <c r="G243" s="145">
        <f t="shared" si="128"/>
        <v>15.64555</v>
      </c>
      <c r="H243" s="145">
        <f>IFERROR(__xludf.DUMMYFUNCTION("IFERROR(IF(AND(INDEX('Pilot inputs'!$AQ$15:$AQ$44,MATCH(B243,'Pilot inputs'!$B$15:$B$44,0))=1,ISNUMBER($F$12),$F$12&gt;=0,$F$12&lt;1),(LET(peer_values,FILTER('Pilot inputs'!$H$15:$H$44,'Pilot inputs'!$D$15:$D$44=INDEX('Pilot inputs'!$D$15:$D$44,MATCH(B243,'Pilo"&amp;"t inputs'!$B$15:$B$44,0)),'Pilot inputs'!$B$15:$B$44&lt;&gt;B243,'Pilot inputs'!$AA$15:$AA$44=1),peer_count,ROWS(peer_values),IF(peer_count+1&lt;MAX(3,Rules!$B$12),""Unranked"",100*(SUMPRODUCT(N(peer_values&lt;G243))+SUMPRODUCT(N(peer_values=G243))/2)/peer_count))+IN"&amp;"DEX('Pilot inputs'!$AE$15:$AE$44,MATCH(B243,'Pilot inputs'!$B$15:$B$44,0)))/2,""Unranked""),""Unranked"")"),100.0)</f>
        <v>100</v>
      </c>
      <c r="I243" s="145">
        <f t="array" ref="I243">IFERROR(IF(AND(INDEX('Pilot inputs'!$AQ$15:$AQ$44,MATCH(B243,'Pilot inputs'!$B$15:$B$44,0))=1,ISNUMBER($F$12),$F$12&gt;=0,$F$12&lt;1),INDEX('Pilot inputs'!$AL$15:$AL$44,MATCH(B243,'Pilot inputs'!$B$15:$B$44,0)),"Unranked"),"Unranked")</f>
        <v>17.5</v>
      </c>
      <c r="J243" s="145">
        <f t="array" ref="J243">IFERROR(IF(AND(INDEX('Pilot inputs'!$AQ$15:$AQ$44,MATCH(B243,'Pilot inputs'!$B$15:$B$44,0))=1,ISNUMBER($F$12),$F$12&gt;=0,$F$12&lt;1),INDEX('Pilot inputs'!$AM$15:$AM$44,MATCH(B243,'Pilot inputs'!$B$15:$B$44,0)),"Unranked"),"Unranked")</f>
        <v>0</v>
      </c>
      <c r="K243" s="145">
        <f t="array" ref="K243">IFERROR(IF(AND(INDEX('Pilot inputs'!$AQ$15:$AQ$44,MATCH(B243,'Pilot inputs'!$B$15:$B$44,0))=1,ISNUMBER($F$12),$F$12&gt;=0,$F$12&lt;1),INDEX('Pilot inputs'!$AP$15:$AP$44,MATCH(B243,'Pilot inputs'!$B$15:$B$44,0)),"Unranked"),"Unranked")</f>
        <v>100</v>
      </c>
      <c r="L243" s="145">
        <f t="shared" si="129"/>
        <v>54.375</v>
      </c>
      <c r="M243" s="145">
        <f>IFERROR(__xludf.DUMMYFUNCTION("IFERROR(IF(ISNUMBER(L243),1+COUNTIF(FILTER($G$15:$G$24,$A$15:$A$24&lt;&gt;B243),""&gt;""&amp;L243)+COUNTIF(FILTER($G$15:$G$24,$A$15:$A$24&lt;&gt;B243),L243)/2,""Unranked""),""Unranked"")"),6.0)</f>
        <v>6</v>
      </c>
      <c r="N243" s="145">
        <f t="shared" si="130"/>
        <v>58.5</v>
      </c>
      <c r="O243" s="145">
        <f>IFERROR(__xludf.DUMMYFUNCTION("IFERROR(IF(ISNUMBER(N243),1+COUNTIF(FILTER($I$15:$I$24,$A$15:$A$24&lt;&gt;B243),""&gt;""&amp;N243)+COUNTIF(FILTER($I$15:$I$24,$A$15:$A$24&lt;&gt;B243),N243)/2,""Unranked""),""Unranked"")"),6.0)</f>
        <v>6</v>
      </c>
      <c r="P243" s="145">
        <f t="shared" si="131"/>
        <v>47</v>
      </c>
      <c r="Q243" s="145">
        <f>IFERROR(__xludf.DUMMYFUNCTION("IFERROR(IF(ISNUMBER(P243),1+COUNTIF(FILTER($K$15:$K$24,$A$15:$A$24&lt;&gt;B243),""&gt;""&amp;P243)+COUNTIF(FILTER($K$15:$K$24,$A$15:$A$24&lt;&gt;B243),P243)/2,""Unranked""),""Unranked"")"),7.0)</f>
        <v>7</v>
      </c>
      <c r="R243" s="145">
        <f t="shared" si="132"/>
        <v>0</v>
      </c>
      <c r="S243" s="145">
        <f t="shared" si="133"/>
        <v>0</v>
      </c>
      <c r="T243" s="145">
        <f t="shared" si="134"/>
        <v>0</v>
      </c>
      <c r="U243" s="93" t="s">
        <v>1717</v>
      </c>
      <c r="V243" s="93" t="s">
        <v>1718</v>
      </c>
      <c r="W243" s="93"/>
      <c r="X243" s="93"/>
    </row>
    <row r="244" ht="24.0" customHeight="1">
      <c r="A244" s="93">
        <v>100.0</v>
      </c>
      <c r="B244" s="93" t="s">
        <v>1437</v>
      </c>
      <c r="C244" s="93" t="s">
        <v>330</v>
      </c>
      <c r="D244" s="93" t="s">
        <v>1720</v>
      </c>
      <c r="E244" s="145">
        <v>1.0</v>
      </c>
      <c r="F244" s="145">
        <f t="array" ref="F244">INDEX('Pilot inputs'!$H$15:$H$44,MATCH(B244,'Pilot inputs'!$B$15:$B$44,0))</f>
        <v>16.469</v>
      </c>
      <c r="G244" s="145">
        <f t="shared" si="128"/>
        <v>17.29245</v>
      </c>
      <c r="H244" s="145">
        <f>IFERROR(__xludf.DUMMYFUNCTION("IFERROR(IF(AND(INDEX('Pilot inputs'!$AQ$15:$AQ$44,MATCH(B244,'Pilot inputs'!$B$15:$B$44,0))=1,ISNUMBER($F$12),$F$12&gt;=0,$F$12&lt;1),(LET(peer_values,FILTER('Pilot inputs'!$H$15:$H$44,'Pilot inputs'!$D$15:$D$44=INDEX('Pilot inputs'!$D$15:$D$44,MATCH(B244,'Pilo"&amp;"t inputs'!$B$15:$B$44,0)),'Pilot inputs'!$B$15:$B$44&lt;&gt;B244,'Pilot inputs'!$AA$15:$AA$44=1),peer_count,ROWS(peer_values),IF(peer_count+1&lt;MAX(3,Rules!$B$12),""Unranked"",100*(SUMPRODUCT(N(peer_values&lt;G244))+SUMPRODUCT(N(peer_values=G244))/2)/peer_count))+IN"&amp;"DEX('Pilot inputs'!$AE$15:$AE$44,MATCH(B244,'Pilot inputs'!$B$15:$B$44,0)))/2,""Unranked""),""Unranked"")"),100.0)</f>
        <v>100</v>
      </c>
      <c r="I244" s="145">
        <f t="array" ref="I244">IFERROR(IF(AND(INDEX('Pilot inputs'!$AQ$15:$AQ$44,MATCH(B244,'Pilot inputs'!$B$15:$B$44,0))=1,ISNUMBER($F$12),$F$12&gt;=0,$F$12&lt;1),INDEX('Pilot inputs'!$AL$15:$AL$44,MATCH(B244,'Pilot inputs'!$B$15:$B$44,0)),"Unranked"),"Unranked")</f>
        <v>17.5</v>
      </c>
      <c r="J244" s="145">
        <f t="array" ref="J244">IFERROR(IF(AND(INDEX('Pilot inputs'!$AQ$15:$AQ$44,MATCH(B244,'Pilot inputs'!$B$15:$B$44,0))=1,ISNUMBER($F$12),$F$12&gt;=0,$F$12&lt;1),INDEX('Pilot inputs'!$AM$15:$AM$44,MATCH(B244,'Pilot inputs'!$B$15:$B$44,0)),"Unranked"),"Unranked")</f>
        <v>0</v>
      </c>
      <c r="K244" s="145">
        <f t="array" ref="K244">IFERROR(IF(AND(INDEX('Pilot inputs'!$AQ$15:$AQ$44,MATCH(B244,'Pilot inputs'!$B$15:$B$44,0))=1,ISNUMBER($F$12),$F$12&gt;=0,$F$12&lt;1),INDEX('Pilot inputs'!$AP$15:$AP$44,MATCH(B244,'Pilot inputs'!$B$15:$B$44,0)),"Unranked"),"Unranked")</f>
        <v>100</v>
      </c>
      <c r="L244" s="145">
        <f t="shared" si="129"/>
        <v>54.375</v>
      </c>
      <c r="M244" s="145">
        <f>IFERROR(__xludf.DUMMYFUNCTION("IFERROR(IF(ISNUMBER(L244),1+COUNTIF(FILTER($G$15:$G$24,$A$15:$A$24&lt;&gt;B244),""&gt;""&amp;L244)+COUNTIF(FILTER($G$15:$G$24,$A$15:$A$24&lt;&gt;B244),L244)/2,""Unranked""),""Unranked"")"),6.0)</f>
        <v>6</v>
      </c>
      <c r="N244" s="145">
        <f t="shared" si="130"/>
        <v>58.5</v>
      </c>
      <c r="O244" s="145">
        <f>IFERROR(__xludf.DUMMYFUNCTION("IFERROR(IF(ISNUMBER(N244),1+COUNTIF(FILTER($I$15:$I$24,$A$15:$A$24&lt;&gt;B244),""&gt;""&amp;N244)+COUNTIF(FILTER($I$15:$I$24,$A$15:$A$24&lt;&gt;B244),N244)/2,""Unranked""),""Unranked"")"),6.0)</f>
        <v>6</v>
      </c>
      <c r="P244" s="145">
        <f t="shared" si="131"/>
        <v>47</v>
      </c>
      <c r="Q244" s="145">
        <f>IFERROR(__xludf.DUMMYFUNCTION("IFERROR(IF(ISNUMBER(P244),1+COUNTIF(FILTER($K$15:$K$24,$A$15:$A$24&lt;&gt;B244),""&gt;""&amp;P244)+COUNTIF(FILTER($K$15:$K$24,$A$15:$A$24&lt;&gt;B244),P244)/2,""Unranked""),""Unranked"")"),7.0)</f>
        <v>7</v>
      </c>
      <c r="R244" s="145">
        <f t="shared" si="132"/>
        <v>0</v>
      </c>
      <c r="S244" s="145">
        <f t="shared" si="133"/>
        <v>0</v>
      </c>
      <c r="T244" s="145">
        <f t="shared" si="134"/>
        <v>0</v>
      </c>
      <c r="U244" s="93" t="s">
        <v>1717</v>
      </c>
      <c r="V244" s="93" t="s">
        <v>1718</v>
      </c>
      <c r="W244" s="93"/>
      <c r="X244" s="93"/>
    </row>
    <row r="245" ht="24.0" customHeight="1">
      <c r="A245" s="93">
        <v>101.0</v>
      </c>
      <c r="B245" s="93" t="s">
        <v>1437</v>
      </c>
      <c r="C245" s="93" t="s">
        <v>330</v>
      </c>
      <c r="D245" s="93" t="s">
        <v>1230</v>
      </c>
      <c r="E245" s="145">
        <v>-1.0</v>
      </c>
      <c r="F245" s="145">
        <f t="array" ref="F245">INDEX('Pilot inputs'!$K$15:$K$44,MATCH(B245,'Pilot inputs'!$B$15:$B$44,0))</f>
        <v>23.81</v>
      </c>
      <c r="G245" s="145">
        <f t="shared" si="128"/>
        <v>22.6195</v>
      </c>
      <c r="H245" s="145">
        <f t="array" ref="H245">IFERROR(IF(AND(INDEX('Pilot inputs'!$AQ$15:$AQ$44,MATCH(B245,'Pilot inputs'!$B$15:$B$44,0))=1,ISNUMBER($F$12),$F$12&gt;=0,$F$12&lt;1),INDEX('Pilot inputs'!$AG$15:$AG$44,MATCH(B245,'Pilot inputs'!$B$15:$B$44,0)),"Unranked"),"Unranked")</f>
        <v>100</v>
      </c>
      <c r="I245" s="145">
        <f>IFERROR(__xludf.DUMMYFUNCTION("IFERROR(IF(AND(INDEX('Pilot inputs'!$AQ$15:$AQ$44,MATCH(B245,'Pilot inputs'!$B$15:$B$44,0))=1,ISNUMBER($F$12),$F$12&gt;=0,$F$12&lt;1),INDEX('Pilot inputs'!$AL$15:$AL$44,MATCH(B245,'Pilot inputs'!$B$15:$B$44,0))+IF(C245=""Utilities"",0.4,0.35)*((100-LET(peer_val"&amp;"ues,FILTER('Pilot inputs'!$K$15:$K$44,'Pilot inputs'!$D$15:$D$44=INDEX('Pilot inputs'!$D$15:$D$44,MATCH(B245,'Pilot inputs'!$B$15:$B$44,0)),'Pilot inputs'!$B$15:$B$44&lt;&gt;B245,'Pilot inputs'!$AA$15:$AA$44=1),peer_count,ROWS(peer_values),IF(peer_count+1&lt;MAX(3"&amp;",Rules!$B$12),""Unranked"",100*(SUMPRODUCT(N(peer_values&lt;G245))+SUMPRODUCT(N(peer_values=G245))/2)/peer_count)))-INDEX('Pilot inputs'!$AH$15:$AH$44,MATCH(B245,'Pilot inputs'!$B$15:$B$44,0))),""Unranked""),""Unranked"")"),35.0)</f>
        <v>35</v>
      </c>
      <c r="J245" s="145">
        <f t="array" ref="J245">IFERROR(IF(AND(INDEX('Pilot inputs'!$AQ$15:$AQ$44,MATCH(B245,'Pilot inputs'!$B$15:$B$44,0))=1,ISNUMBER($F$12),$F$12&gt;=0,$F$12&lt;1),INDEX('Pilot inputs'!$AM$15:$AM$44,MATCH(B245,'Pilot inputs'!$B$15:$B$44,0)),"Unranked"),"Unranked")</f>
        <v>0</v>
      </c>
      <c r="K245" s="145">
        <f t="array" ref="K245">IFERROR(IF(AND(INDEX('Pilot inputs'!$AQ$15:$AQ$44,MATCH(B245,'Pilot inputs'!$B$15:$B$44,0))=1,ISNUMBER($F$12),$F$12&gt;=0,$F$12&lt;1),INDEX('Pilot inputs'!$AP$15:$AP$44,MATCH(B245,'Pilot inputs'!$B$15:$B$44,0)),"Unranked"),"Unranked")</f>
        <v>100</v>
      </c>
      <c r="L245" s="145">
        <f t="shared" si="129"/>
        <v>58.75</v>
      </c>
      <c r="M245" s="145">
        <f>IFERROR(__xludf.DUMMYFUNCTION("IFERROR(IF(ISNUMBER(L245),1+COUNTIF(FILTER($G$15:$G$24,$A$15:$A$24&lt;&gt;B245),""&gt;""&amp;L245)+COUNTIF(FILTER($G$15:$G$24,$A$15:$A$24&lt;&gt;B245),L245)/2,""Unranked""),""Unranked"")"),6.0)</f>
        <v>6</v>
      </c>
      <c r="N245" s="145">
        <f t="shared" si="130"/>
        <v>62</v>
      </c>
      <c r="O245" s="145">
        <f>IFERROR(__xludf.DUMMYFUNCTION("IFERROR(IF(ISNUMBER(N245),1+COUNTIF(FILTER($I$15:$I$24,$A$15:$A$24&lt;&gt;B245),""&gt;""&amp;N245)+COUNTIF(FILTER($I$15:$I$24,$A$15:$A$24&lt;&gt;B245),N245)/2,""Unranked""),""Unranked"")"),4.0)</f>
        <v>4</v>
      </c>
      <c r="P245" s="145">
        <f t="shared" si="131"/>
        <v>54</v>
      </c>
      <c r="Q245" s="145">
        <f>IFERROR(__xludf.DUMMYFUNCTION("IFERROR(IF(ISNUMBER(P245),1+COUNTIF(FILTER($K$15:$K$24,$A$15:$A$24&lt;&gt;B245),""&gt;""&amp;P245)+COUNTIF(FILTER($K$15:$K$24,$A$15:$A$24&lt;&gt;B245),P245)/2,""Unranked""),""Unranked"")"),5.0)</f>
        <v>5</v>
      </c>
      <c r="R245" s="145">
        <f t="shared" si="132"/>
        <v>0</v>
      </c>
      <c r="S245" s="145">
        <f t="shared" si="133"/>
        <v>2</v>
      </c>
      <c r="T245" s="145">
        <f t="shared" si="134"/>
        <v>2</v>
      </c>
      <c r="U245" s="93" t="s">
        <v>1717</v>
      </c>
      <c r="V245" s="93" t="s">
        <v>1718</v>
      </c>
      <c r="W245" s="93"/>
      <c r="X245" s="93"/>
    </row>
    <row r="246" ht="24.0" customHeight="1">
      <c r="A246" s="93">
        <v>102.0</v>
      </c>
      <c r="B246" s="93" t="s">
        <v>1437</v>
      </c>
      <c r="C246" s="93" t="s">
        <v>330</v>
      </c>
      <c r="D246" s="93" t="s">
        <v>1230</v>
      </c>
      <c r="E246" s="145">
        <v>1.0</v>
      </c>
      <c r="F246" s="145">
        <f t="array" ref="F246">INDEX('Pilot inputs'!$K$15:$K$44,MATCH(B246,'Pilot inputs'!$B$15:$B$44,0))</f>
        <v>23.81</v>
      </c>
      <c r="G246" s="145">
        <f t="shared" si="128"/>
        <v>25.0005</v>
      </c>
      <c r="H246" s="145">
        <f t="array" ref="H246">IFERROR(IF(AND(INDEX('Pilot inputs'!$AQ$15:$AQ$44,MATCH(B246,'Pilot inputs'!$B$15:$B$44,0))=1,ISNUMBER($F$12),$F$12&gt;=0,$F$12&lt;1),INDEX('Pilot inputs'!$AG$15:$AG$44,MATCH(B246,'Pilot inputs'!$B$15:$B$44,0)),"Unranked"),"Unranked")</f>
        <v>100</v>
      </c>
      <c r="I246" s="145">
        <f>IFERROR(__xludf.DUMMYFUNCTION("IFERROR(IF(AND(INDEX('Pilot inputs'!$AQ$15:$AQ$44,MATCH(B246,'Pilot inputs'!$B$15:$B$44,0))=1,ISNUMBER($F$12),$F$12&gt;=0,$F$12&lt;1),INDEX('Pilot inputs'!$AL$15:$AL$44,MATCH(B246,'Pilot inputs'!$B$15:$B$44,0))+IF(C246=""Utilities"",0.4,0.35)*((100-LET(peer_val"&amp;"ues,FILTER('Pilot inputs'!$K$15:$K$44,'Pilot inputs'!$D$15:$D$44=INDEX('Pilot inputs'!$D$15:$D$44,MATCH(B246,'Pilot inputs'!$B$15:$B$44,0)),'Pilot inputs'!$B$15:$B$44&lt;&gt;B246,'Pilot inputs'!$AA$15:$AA$44=1),peer_count,ROWS(peer_values),IF(peer_count+1&lt;MAX(3"&amp;",Rules!$B$12),""Unranked"",100*(SUMPRODUCT(N(peer_values&lt;G246))+SUMPRODUCT(N(peer_values=G246))/2)/peer_count)))-INDEX('Pilot inputs'!$AH$15:$AH$44,MATCH(B246,'Pilot inputs'!$B$15:$B$44,0))),""Unranked""),""Unranked"")"),17.5)</f>
        <v>17.5</v>
      </c>
      <c r="J246" s="145">
        <f t="array" ref="J246">IFERROR(IF(AND(INDEX('Pilot inputs'!$AQ$15:$AQ$44,MATCH(B246,'Pilot inputs'!$B$15:$B$44,0))=1,ISNUMBER($F$12),$F$12&gt;=0,$F$12&lt;1),INDEX('Pilot inputs'!$AM$15:$AM$44,MATCH(B246,'Pilot inputs'!$B$15:$B$44,0)),"Unranked"),"Unranked")</f>
        <v>0</v>
      </c>
      <c r="K246" s="145">
        <f t="array" ref="K246">IFERROR(IF(AND(INDEX('Pilot inputs'!$AQ$15:$AQ$44,MATCH(B246,'Pilot inputs'!$B$15:$B$44,0))=1,ISNUMBER($F$12),$F$12&gt;=0,$F$12&lt;1),INDEX('Pilot inputs'!$AP$15:$AP$44,MATCH(B246,'Pilot inputs'!$B$15:$B$44,0)),"Unranked"),"Unranked")</f>
        <v>100</v>
      </c>
      <c r="L246" s="145">
        <f t="shared" si="129"/>
        <v>54.375</v>
      </c>
      <c r="M246" s="145">
        <f>IFERROR(__xludf.DUMMYFUNCTION("IFERROR(IF(ISNUMBER(L246),1+COUNTIF(FILTER($G$15:$G$24,$A$15:$A$24&lt;&gt;B246),""&gt;""&amp;L246)+COUNTIF(FILTER($G$15:$G$24,$A$15:$A$24&lt;&gt;B246),L246)/2,""Unranked""),""Unranked"")"),6.0)</f>
        <v>6</v>
      </c>
      <c r="N246" s="145">
        <f t="shared" si="130"/>
        <v>58.5</v>
      </c>
      <c r="O246" s="145">
        <f>IFERROR(__xludf.DUMMYFUNCTION("IFERROR(IF(ISNUMBER(N246),1+COUNTIF(FILTER($I$15:$I$24,$A$15:$A$24&lt;&gt;B246),""&gt;""&amp;N246)+COUNTIF(FILTER($I$15:$I$24,$A$15:$A$24&lt;&gt;B246),N246)/2,""Unranked""),""Unranked"")"),6.0)</f>
        <v>6</v>
      </c>
      <c r="P246" s="145">
        <f t="shared" si="131"/>
        <v>47</v>
      </c>
      <c r="Q246" s="145">
        <f>IFERROR(__xludf.DUMMYFUNCTION("IFERROR(IF(ISNUMBER(P246),1+COUNTIF(FILTER($K$15:$K$24,$A$15:$A$24&lt;&gt;B246),""&gt;""&amp;P246)+COUNTIF(FILTER($K$15:$K$24,$A$15:$A$24&lt;&gt;B246),P246)/2,""Unranked""),""Unranked"")"),7.0)</f>
        <v>7</v>
      </c>
      <c r="R246" s="145">
        <f t="shared" si="132"/>
        <v>0</v>
      </c>
      <c r="S246" s="145">
        <f t="shared" si="133"/>
        <v>0</v>
      </c>
      <c r="T246" s="145">
        <f t="shared" si="134"/>
        <v>0</v>
      </c>
      <c r="U246" s="93" t="s">
        <v>1717</v>
      </c>
      <c r="V246" s="93" t="s">
        <v>1718</v>
      </c>
      <c r="W246" s="93"/>
      <c r="X246" s="93"/>
    </row>
    <row r="247" ht="24.0" customHeight="1">
      <c r="A247" s="93">
        <v>103.0</v>
      </c>
      <c r="B247" s="93" t="s">
        <v>1437</v>
      </c>
      <c r="C247" s="93" t="s">
        <v>330</v>
      </c>
      <c r="D247" s="93" t="s">
        <v>1740</v>
      </c>
      <c r="E247" s="145">
        <v>-1.0</v>
      </c>
      <c r="F247" s="145">
        <f t="array" ref="F247">INDEX('Pilot inputs'!$L$15:$L$44,MATCH(B247,'Pilot inputs'!$B$15:$B$44,0))</f>
        <v>17.42</v>
      </c>
      <c r="G247" s="145">
        <f t="shared" si="128"/>
        <v>16.549</v>
      </c>
      <c r="H247" s="145">
        <f t="array" ref="H247">IFERROR(IF(AND(INDEX('Pilot inputs'!$AQ$15:$AQ$44,MATCH(B247,'Pilot inputs'!$B$15:$B$44,0))=1,ISNUMBER($F$12),$F$12&gt;=0,$F$12&lt;1),INDEX('Pilot inputs'!$AG$15:$AG$44,MATCH(B247,'Pilot inputs'!$B$15:$B$44,0)),"Unranked"),"Unranked")</f>
        <v>100</v>
      </c>
      <c r="I247" s="145">
        <f>IFERROR(__xludf.DUMMYFUNCTION("IFERROR(IF(AND(INDEX('Pilot inputs'!$AQ$15:$AQ$44,MATCH(B247,'Pilot inputs'!$B$15:$B$44,0))=1,ISNUMBER($F$12),$F$12&gt;=0,$F$12&lt;1),INDEX('Pilot inputs'!$AL$15:$AL$44,MATCH(B247,'Pilot inputs'!$B$15:$B$44,0))+IF(C247=""Utilities"",0.4,0.35)*((100-LET(peer_val"&amp;"ues,FILTER('Pilot inputs'!$L$15:$L$44,'Pilot inputs'!$D$15:$D$44=INDEX('Pilot inputs'!$D$15:$D$44,MATCH(B247,'Pilot inputs'!$B$15:$B$44,0)),'Pilot inputs'!$B$15:$B$44&lt;&gt;B247,'Pilot inputs'!$AA$15:$AA$44=1),peer_count,ROWS(peer_values),IF(peer_count+1&lt;MAX(3"&amp;",Rules!$B$12),""Unranked"",100*(SUMPRODUCT(N(peer_values&lt;G247))+SUMPRODUCT(N(peer_values=G247))/2)/peer_count)))-INDEX('Pilot inputs'!$AI$15:$AI$44,MATCH(B247,'Pilot inputs'!$B$15:$B$44,0))),""Unranked""),""Unranked"")"),17.5)</f>
        <v>17.5</v>
      </c>
      <c r="J247" s="145">
        <f t="array" ref="J247">IFERROR(IF(AND(INDEX('Pilot inputs'!$AQ$15:$AQ$44,MATCH(B247,'Pilot inputs'!$B$15:$B$44,0))=1,ISNUMBER($F$12),$F$12&gt;=0,$F$12&lt;1),INDEX('Pilot inputs'!$AM$15:$AM$44,MATCH(B247,'Pilot inputs'!$B$15:$B$44,0)),"Unranked"),"Unranked")</f>
        <v>0</v>
      </c>
      <c r="K247" s="145">
        <f t="array" ref="K247">IFERROR(IF(AND(INDEX('Pilot inputs'!$AQ$15:$AQ$44,MATCH(B247,'Pilot inputs'!$B$15:$B$44,0))=1,ISNUMBER($F$12),$F$12&gt;=0,$F$12&lt;1),INDEX('Pilot inputs'!$AP$15:$AP$44,MATCH(B247,'Pilot inputs'!$B$15:$B$44,0)),"Unranked"),"Unranked")</f>
        <v>100</v>
      </c>
      <c r="L247" s="145">
        <f t="shared" si="129"/>
        <v>54.375</v>
      </c>
      <c r="M247" s="145">
        <f>IFERROR(__xludf.DUMMYFUNCTION("IFERROR(IF(ISNUMBER(L247),1+COUNTIF(FILTER($G$15:$G$24,$A$15:$A$24&lt;&gt;B247),""&gt;""&amp;L247)+COUNTIF(FILTER($G$15:$G$24,$A$15:$A$24&lt;&gt;B247),L247)/2,""Unranked""),""Unranked"")"),6.0)</f>
        <v>6</v>
      </c>
      <c r="N247" s="145">
        <f t="shared" si="130"/>
        <v>58.5</v>
      </c>
      <c r="O247" s="145">
        <f>IFERROR(__xludf.DUMMYFUNCTION("IFERROR(IF(ISNUMBER(N247),1+COUNTIF(FILTER($I$15:$I$24,$A$15:$A$24&lt;&gt;B247),""&gt;""&amp;N247)+COUNTIF(FILTER($I$15:$I$24,$A$15:$A$24&lt;&gt;B247),N247)/2,""Unranked""),""Unranked"")"),6.0)</f>
        <v>6</v>
      </c>
      <c r="P247" s="145">
        <f t="shared" si="131"/>
        <v>47</v>
      </c>
      <c r="Q247" s="145">
        <f>IFERROR(__xludf.DUMMYFUNCTION("IFERROR(IF(ISNUMBER(P247),1+COUNTIF(FILTER($K$15:$K$24,$A$15:$A$24&lt;&gt;B247),""&gt;""&amp;P247)+COUNTIF(FILTER($K$15:$K$24,$A$15:$A$24&lt;&gt;B247),P247)/2,""Unranked""),""Unranked"")"),7.0)</f>
        <v>7</v>
      </c>
      <c r="R247" s="145">
        <f t="shared" si="132"/>
        <v>0</v>
      </c>
      <c r="S247" s="145">
        <f t="shared" si="133"/>
        <v>0</v>
      </c>
      <c r="T247" s="145">
        <f t="shared" si="134"/>
        <v>0</v>
      </c>
      <c r="U247" s="93" t="s">
        <v>1717</v>
      </c>
      <c r="V247" s="93" t="s">
        <v>1718</v>
      </c>
      <c r="W247" s="93"/>
      <c r="X247" s="93"/>
    </row>
    <row r="248" ht="24.0" customHeight="1">
      <c r="A248" s="93">
        <v>104.0</v>
      </c>
      <c r="B248" s="93" t="s">
        <v>1437</v>
      </c>
      <c r="C248" s="93" t="s">
        <v>330</v>
      </c>
      <c r="D248" s="93" t="s">
        <v>1740</v>
      </c>
      <c r="E248" s="145">
        <v>1.0</v>
      </c>
      <c r="F248" s="145">
        <f t="array" ref="F248">INDEX('Pilot inputs'!$L$15:$L$44,MATCH(B248,'Pilot inputs'!$B$15:$B$44,0))</f>
        <v>17.42</v>
      </c>
      <c r="G248" s="145">
        <f t="shared" si="128"/>
        <v>18.291</v>
      </c>
      <c r="H248" s="145">
        <f t="array" ref="H248">IFERROR(IF(AND(INDEX('Pilot inputs'!$AQ$15:$AQ$44,MATCH(B248,'Pilot inputs'!$B$15:$B$44,0))=1,ISNUMBER($F$12),$F$12&gt;=0,$F$12&lt;1),INDEX('Pilot inputs'!$AG$15:$AG$44,MATCH(B248,'Pilot inputs'!$B$15:$B$44,0)),"Unranked"),"Unranked")</f>
        <v>100</v>
      </c>
      <c r="I248" s="145">
        <f>IFERROR(__xludf.DUMMYFUNCTION("IFERROR(IF(AND(INDEX('Pilot inputs'!$AQ$15:$AQ$44,MATCH(B248,'Pilot inputs'!$B$15:$B$44,0))=1,ISNUMBER($F$12),$F$12&gt;=0,$F$12&lt;1),INDEX('Pilot inputs'!$AL$15:$AL$44,MATCH(B248,'Pilot inputs'!$B$15:$B$44,0))+IF(C248=""Utilities"",0.4,0.35)*((100-LET(peer_val"&amp;"ues,FILTER('Pilot inputs'!$L$15:$L$44,'Pilot inputs'!$D$15:$D$44=INDEX('Pilot inputs'!$D$15:$D$44,MATCH(B248,'Pilot inputs'!$B$15:$B$44,0)),'Pilot inputs'!$B$15:$B$44&lt;&gt;B248,'Pilot inputs'!$AA$15:$AA$44=1),peer_count,ROWS(peer_values),IF(peer_count+1&lt;MAX(3"&amp;",Rules!$B$12),""Unranked"",100*(SUMPRODUCT(N(peer_values&lt;G248))+SUMPRODUCT(N(peer_values=G248))/2)/peer_count)))-INDEX('Pilot inputs'!$AI$15:$AI$44,MATCH(B248,'Pilot inputs'!$B$15:$B$44,0))),""Unranked""),""Unranked"")"),17.5)</f>
        <v>17.5</v>
      </c>
      <c r="J248" s="145">
        <f t="array" ref="J248">IFERROR(IF(AND(INDEX('Pilot inputs'!$AQ$15:$AQ$44,MATCH(B248,'Pilot inputs'!$B$15:$B$44,0))=1,ISNUMBER($F$12),$F$12&gt;=0,$F$12&lt;1),INDEX('Pilot inputs'!$AM$15:$AM$44,MATCH(B248,'Pilot inputs'!$B$15:$B$44,0)),"Unranked"),"Unranked")</f>
        <v>0</v>
      </c>
      <c r="K248" s="145">
        <f t="array" ref="K248">IFERROR(IF(AND(INDEX('Pilot inputs'!$AQ$15:$AQ$44,MATCH(B248,'Pilot inputs'!$B$15:$B$44,0))=1,ISNUMBER($F$12),$F$12&gt;=0,$F$12&lt;1),INDEX('Pilot inputs'!$AP$15:$AP$44,MATCH(B248,'Pilot inputs'!$B$15:$B$44,0)),"Unranked"),"Unranked")</f>
        <v>100</v>
      </c>
      <c r="L248" s="145">
        <f t="shared" si="129"/>
        <v>54.375</v>
      </c>
      <c r="M248" s="145">
        <f>IFERROR(__xludf.DUMMYFUNCTION("IFERROR(IF(ISNUMBER(L248),1+COUNTIF(FILTER($G$15:$G$24,$A$15:$A$24&lt;&gt;B248),""&gt;""&amp;L248)+COUNTIF(FILTER($G$15:$G$24,$A$15:$A$24&lt;&gt;B248),L248)/2,""Unranked""),""Unranked"")"),6.0)</f>
        <v>6</v>
      </c>
      <c r="N248" s="145">
        <f t="shared" si="130"/>
        <v>58.5</v>
      </c>
      <c r="O248" s="145">
        <f>IFERROR(__xludf.DUMMYFUNCTION("IFERROR(IF(ISNUMBER(N248),1+COUNTIF(FILTER($I$15:$I$24,$A$15:$A$24&lt;&gt;B248),""&gt;""&amp;N248)+COUNTIF(FILTER($I$15:$I$24,$A$15:$A$24&lt;&gt;B248),N248)/2,""Unranked""),""Unranked"")"),6.0)</f>
        <v>6</v>
      </c>
      <c r="P248" s="145">
        <f t="shared" si="131"/>
        <v>47</v>
      </c>
      <c r="Q248" s="145">
        <f>IFERROR(__xludf.DUMMYFUNCTION("IFERROR(IF(ISNUMBER(P248),1+COUNTIF(FILTER($K$15:$K$24,$A$15:$A$24&lt;&gt;B248),""&gt;""&amp;P248)+COUNTIF(FILTER($K$15:$K$24,$A$15:$A$24&lt;&gt;B248),P248)/2,""Unranked""),""Unranked"")"),7.0)</f>
        <v>7</v>
      </c>
      <c r="R248" s="145">
        <f t="shared" si="132"/>
        <v>0</v>
      </c>
      <c r="S248" s="145">
        <f t="shared" si="133"/>
        <v>0</v>
      </c>
      <c r="T248" s="145">
        <f t="shared" si="134"/>
        <v>0</v>
      </c>
      <c r="U248" s="93" t="s">
        <v>1717</v>
      </c>
      <c r="V248" s="93" t="s">
        <v>1718</v>
      </c>
      <c r="W248" s="93"/>
      <c r="X248" s="93"/>
    </row>
    <row r="249" ht="24.0" customHeight="1">
      <c r="A249" s="93">
        <v>105.0</v>
      </c>
      <c r="B249" s="93" t="s">
        <v>1437</v>
      </c>
      <c r="C249" s="93" t="s">
        <v>330</v>
      </c>
      <c r="D249" s="93" t="s">
        <v>1741</v>
      </c>
      <c r="E249" s="145">
        <v>-1.0</v>
      </c>
      <c r="F249" s="145">
        <f t="array" ref="F249">INDEX('Pilot inputs'!$M$15:$M$44,MATCH(B249,'Pilot inputs'!$B$15:$B$44,0))</f>
        <v>0.039</v>
      </c>
      <c r="G249" s="145">
        <f t="shared" si="128"/>
        <v>0.03705</v>
      </c>
      <c r="H249" s="145">
        <f t="array" ref="H249">IFERROR(IF(AND(INDEX('Pilot inputs'!$AQ$15:$AQ$44,MATCH(B249,'Pilot inputs'!$B$15:$B$44,0))=1,ISNUMBER($F$12),$F$12&gt;=0,$F$12&lt;1),INDEX('Pilot inputs'!$AG$15:$AG$44,MATCH(B249,'Pilot inputs'!$B$15:$B$44,0)),"Unranked"),"Unranked")</f>
        <v>100</v>
      </c>
      <c r="I249" s="145">
        <f>IFERROR(__xludf.DUMMYFUNCTION("IFERROR(IF(AND(INDEX('Pilot inputs'!$AQ$15:$AQ$44,MATCH(B249,'Pilot inputs'!$B$15:$B$44,0))=1,ISNUMBER($F$12),$F$12&gt;=0,$F$12&lt;1),INDEX('Pilot inputs'!$AL$15:$AL$44,MATCH(B249,'Pilot inputs'!$B$15:$B$44,0))+0.3*((LET(peer_values,FILTER('Pilot inputs'!$M$15:"&amp;"$M$44,'Pilot inputs'!$D$15:$D$44=INDEX('Pilot inputs'!$D$15:$D$44,MATCH(B249,'Pilot inputs'!$B$15:$B$44,0)),'Pilot inputs'!$B$15:$B$44&lt;&gt;B249,'Pilot inputs'!$AA$15:$AA$44=1),peer_count,ROWS(peer_values),IF(peer_count+1&lt;MAX(3,Rules!$B$12),""Unranked"",100*("&amp;"SUMPRODUCT(N(peer_values&lt;G249))+SUMPRODUCT(N(peer_values=G249))/2)/peer_count)))-INDEX('Pilot inputs'!$AJ$15:$AJ$44,MATCH(B249,'Pilot inputs'!$B$15:$B$44,0))),""Unranked""),""Unranked"")"),17.5)</f>
        <v>17.5</v>
      </c>
      <c r="J249" s="145">
        <f t="array" ref="J249">IFERROR(IF(AND(INDEX('Pilot inputs'!$AQ$15:$AQ$44,MATCH(B249,'Pilot inputs'!$B$15:$B$44,0))=1,ISNUMBER($F$12),$F$12&gt;=0,$F$12&lt;1),INDEX('Pilot inputs'!$AM$15:$AM$44,MATCH(B249,'Pilot inputs'!$B$15:$B$44,0)),"Unranked"),"Unranked")</f>
        <v>0</v>
      </c>
      <c r="K249" s="145">
        <f t="array" ref="K249">IFERROR(IF(AND(INDEX('Pilot inputs'!$AQ$15:$AQ$44,MATCH(B249,'Pilot inputs'!$B$15:$B$44,0))=1,ISNUMBER($F$12),$F$12&gt;=0,$F$12&lt;1),INDEX('Pilot inputs'!$AP$15:$AP$44,MATCH(B249,'Pilot inputs'!$B$15:$B$44,0)),"Unranked"),"Unranked")</f>
        <v>100</v>
      </c>
      <c r="L249" s="145">
        <f t="shared" si="129"/>
        <v>54.375</v>
      </c>
      <c r="M249" s="145">
        <f>IFERROR(__xludf.DUMMYFUNCTION("IFERROR(IF(ISNUMBER(L249),1+COUNTIF(FILTER($G$15:$G$24,$A$15:$A$24&lt;&gt;B249),""&gt;""&amp;L249)+COUNTIF(FILTER($G$15:$G$24,$A$15:$A$24&lt;&gt;B249),L249)/2,""Unranked""),""Unranked"")"),6.0)</f>
        <v>6</v>
      </c>
      <c r="N249" s="145">
        <f t="shared" si="130"/>
        <v>58.5</v>
      </c>
      <c r="O249" s="145">
        <f>IFERROR(__xludf.DUMMYFUNCTION("IFERROR(IF(ISNUMBER(N249),1+COUNTIF(FILTER($I$15:$I$24,$A$15:$A$24&lt;&gt;B249),""&gt;""&amp;N249)+COUNTIF(FILTER($I$15:$I$24,$A$15:$A$24&lt;&gt;B249),N249)/2,""Unranked""),""Unranked"")"),6.0)</f>
        <v>6</v>
      </c>
      <c r="P249" s="145">
        <f t="shared" si="131"/>
        <v>47</v>
      </c>
      <c r="Q249" s="145">
        <f>IFERROR(__xludf.DUMMYFUNCTION("IFERROR(IF(ISNUMBER(P249),1+COUNTIF(FILTER($K$15:$K$24,$A$15:$A$24&lt;&gt;B249),""&gt;""&amp;P249)+COUNTIF(FILTER($K$15:$K$24,$A$15:$A$24&lt;&gt;B249),P249)/2,""Unranked""),""Unranked"")"),7.0)</f>
        <v>7</v>
      </c>
      <c r="R249" s="145">
        <f t="shared" si="132"/>
        <v>0</v>
      </c>
      <c r="S249" s="145">
        <f t="shared" si="133"/>
        <v>0</v>
      </c>
      <c r="T249" s="145">
        <f t="shared" si="134"/>
        <v>0</v>
      </c>
      <c r="U249" s="93" t="s">
        <v>1717</v>
      </c>
      <c r="V249" s="93" t="s">
        <v>1718</v>
      </c>
      <c r="W249" s="93"/>
      <c r="X249" s="93"/>
    </row>
    <row r="250" ht="24.0" customHeight="1">
      <c r="A250" s="93">
        <v>106.0</v>
      </c>
      <c r="B250" s="93" t="s">
        <v>1437</v>
      </c>
      <c r="C250" s="93" t="s">
        <v>330</v>
      </c>
      <c r="D250" s="93" t="s">
        <v>1741</v>
      </c>
      <c r="E250" s="145">
        <v>1.0</v>
      </c>
      <c r="F250" s="145">
        <f t="array" ref="F250">INDEX('Pilot inputs'!$M$15:$M$44,MATCH(B250,'Pilot inputs'!$B$15:$B$44,0))</f>
        <v>0.039</v>
      </c>
      <c r="G250" s="145">
        <f t="shared" si="128"/>
        <v>0.04095</v>
      </c>
      <c r="H250" s="145">
        <f t="array" ref="H250">IFERROR(IF(AND(INDEX('Pilot inputs'!$AQ$15:$AQ$44,MATCH(B250,'Pilot inputs'!$B$15:$B$44,0))=1,ISNUMBER($F$12),$F$12&gt;=0,$F$12&lt;1),INDEX('Pilot inputs'!$AG$15:$AG$44,MATCH(B250,'Pilot inputs'!$B$15:$B$44,0)),"Unranked"),"Unranked")</f>
        <v>100</v>
      </c>
      <c r="I250" s="145">
        <f>IFERROR(__xludf.DUMMYFUNCTION("IFERROR(IF(AND(INDEX('Pilot inputs'!$AQ$15:$AQ$44,MATCH(B250,'Pilot inputs'!$B$15:$B$44,0))=1,ISNUMBER($F$12),$F$12&gt;=0,$F$12&lt;1),INDEX('Pilot inputs'!$AL$15:$AL$44,MATCH(B250,'Pilot inputs'!$B$15:$B$44,0))+0.3*((LET(peer_values,FILTER('Pilot inputs'!$M$15:"&amp;"$M$44,'Pilot inputs'!$D$15:$D$44=INDEX('Pilot inputs'!$D$15:$D$44,MATCH(B250,'Pilot inputs'!$B$15:$B$44,0)),'Pilot inputs'!$B$15:$B$44&lt;&gt;B250,'Pilot inputs'!$AA$15:$AA$44=1),peer_count,ROWS(peer_values),IF(peer_count+1&lt;MAX(3,Rules!$B$12),""Unranked"",100*("&amp;"SUMPRODUCT(N(peer_values&lt;G250))+SUMPRODUCT(N(peer_values=G250))/2)/peer_count)))-INDEX('Pilot inputs'!$AJ$15:$AJ$44,MATCH(B250,'Pilot inputs'!$B$15:$B$44,0))),""Unranked""),""Unranked"")"),17.5)</f>
        <v>17.5</v>
      </c>
      <c r="J250" s="145">
        <f t="array" ref="J250">IFERROR(IF(AND(INDEX('Pilot inputs'!$AQ$15:$AQ$44,MATCH(B250,'Pilot inputs'!$B$15:$B$44,0))=1,ISNUMBER($F$12),$F$12&gt;=0,$F$12&lt;1),INDEX('Pilot inputs'!$AM$15:$AM$44,MATCH(B250,'Pilot inputs'!$B$15:$B$44,0)),"Unranked"),"Unranked")</f>
        <v>0</v>
      </c>
      <c r="K250" s="145">
        <f t="array" ref="K250">IFERROR(IF(AND(INDEX('Pilot inputs'!$AQ$15:$AQ$44,MATCH(B250,'Pilot inputs'!$B$15:$B$44,0))=1,ISNUMBER($F$12),$F$12&gt;=0,$F$12&lt;1),INDEX('Pilot inputs'!$AP$15:$AP$44,MATCH(B250,'Pilot inputs'!$B$15:$B$44,0)),"Unranked"),"Unranked")</f>
        <v>100</v>
      </c>
      <c r="L250" s="145">
        <f t="shared" si="129"/>
        <v>54.375</v>
      </c>
      <c r="M250" s="145">
        <f>IFERROR(__xludf.DUMMYFUNCTION("IFERROR(IF(ISNUMBER(L250),1+COUNTIF(FILTER($G$15:$G$24,$A$15:$A$24&lt;&gt;B250),""&gt;""&amp;L250)+COUNTIF(FILTER($G$15:$G$24,$A$15:$A$24&lt;&gt;B250),L250)/2,""Unranked""),""Unranked"")"),6.0)</f>
        <v>6</v>
      </c>
      <c r="N250" s="145">
        <f t="shared" si="130"/>
        <v>58.5</v>
      </c>
      <c r="O250" s="145">
        <f>IFERROR(__xludf.DUMMYFUNCTION("IFERROR(IF(ISNUMBER(N250),1+COUNTIF(FILTER($I$15:$I$24,$A$15:$A$24&lt;&gt;B250),""&gt;""&amp;N250)+COUNTIF(FILTER($I$15:$I$24,$A$15:$A$24&lt;&gt;B250),N250)/2,""Unranked""),""Unranked"")"),6.0)</f>
        <v>6</v>
      </c>
      <c r="P250" s="145">
        <f t="shared" si="131"/>
        <v>47</v>
      </c>
      <c r="Q250" s="145">
        <f>IFERROR(__xludf.DUMMYFUNCTION("IFERROR(IF(ISNUMBER(P250),1+COUNTIF(FILTER($K$15:$K$24,$A$15:$A$24&lt;&gt;B250),""&gt;""&amp;P250)+COUNTIF(FILTER($K$15:$K$24,$A$15:$A$24&lt;&gt;B250),P250)/2,""Unranked""),""Unranked"")"),7.0)</f>
        <v>7</v>
      </c>
      <c r="R250" s="145">
        <f t="shared" si="132"/>
        <v>0</v>
      </c>
      <c r="S250" s="145">
        <f t="shared" si="133"/>
        <v>0</v>
      </c>
      <c r="T250" s="145">
        <f t="shared" si="134"/>
        <v>0</v>
      </c>
      <c r="U250" s="93" t="s">
        <v>1717</v>
      </c>
      <c r="V250" s="93" t="s">
        <v>1718</v>
      </c>
      <c r="W250" s="93"/>
      <c r="X250" s="93"/>
    </row>
    <row r="251" ht="24.0" customHeight="1">
      <c r="A251" s="93">
        <v>107.0</v>
      </c>
      <c r="B251" s="93" t="s">
        <v>1437</v>
      </c>
      <c r="C251" s="93" t="s">
        <v>330</v>
      </c>
      <c r="D251" s="93" t="s">
        <v>1235</v>
      </c>
      <c r="E251" s="145">
        <v>-1.0</v>
      </c>
      <c r="F251" s="145">
        <f t="array" ref="F251">INDEX('Pilot inputs'!$O$15:$O$44,MATCH(B251,'Pilot inputs'!$B$15:$B$44,0))</f>
        <v>0.2932</v>
      </c>
      <c r="G251" s="145">
        <f t="shared" si="128"/>
        <v>0.27854</v>
      </c>
      <c r="H251" s="145">
        <f t="array" ref="H251">IFERROR(IF(AND(INDEX('Pilot inputs'!$AQ$15:$AQ$44,MATCH(B251,'Pilot inputs'!$B$15:$B$44,0))=1,ISNUMBER($F$12),$F$12&gt;=0,$F$12&lt;1),INDEX('Pilot inputs'!$AG$15:$AG$44,MATCH(B251,'Pilot inputs'!$B$15:$B$44,0)),"Unranked"),"Unranked")</f>
        <v>100</v>
      </c>
      <c r="I251" s="145">
        <f t="array" ref="I251">IFERROR(IF(AND(INDEX('Pilot inputs'!$AQ$15:$AQ$44,MATCH(B251,'Pilot inputs'!$B$15:$B$44,0))=1,ISNUMBER($F$12),$F$12&gt;=0,$F$12&lt;1),INDEX('Pilot inputs'!$AL$15:$AL$44,MATCH(B251,'Pilot inputs'!$B$15:$B$44,0)),"Unranked"),"Unranked")</f>
        <v>17.5</v>
      </c>
      <c r="J251" s="145">
        <f t="array" ref="J251">IFERROR(IF(AND(INDEX('Pilot inputs'!$AQ$15:$AQ$44,MATCH(B251,'Pilot inputs'!$B$15:$B$44,0))=1,ISNUMBER($F$12),$F$12&gt;=0,$F$12&lt;1),INDEX('Pilot inputs'!$AM$15:$AM$44,MATCH(B251,'Pilot inputs'!$B$15:$B$44,0)),"Unranked"),"Unranked")</f>
        <v>0</v>
      </c>
      <c r="K251" s="145">
        <f>IFERROR(__xludf.DUMMYFUNCTION("IFERROR(IF(AND(INDEX('Pilot inputs'!$AQ$15:$AQ$44,MATCH(B251,'Pilot inputs'!$B$15:$B$44,0))=1,ISNUMBER($F$12),$F$12&gt;=0,$F$12&lt;1),(LET(peer_values,FILTER('Pilot inputs'!$O$15:$O$44,'Pilot inputs'!$D$15:$D$44=INDEX('Pilot inputs'!$D$15:$D$44,MATCH(B251,'Pilo"&amp;"t inputs'!$B$15:$B$44,0)),'Pilot inputs'!$B$15:$B$44&lt;&gt;B251,'Pilot inputs'!$AA$15:$AA$44=1),peer_count,ROWS(peer_values),IF(peer_count+1&lt;MAX(3,Rules!$B$12),""Unranked"",100*(SUMPRODUCT(N(peer_values&lt;G251))+SUMPRODUCT(N(peer_values=G251))/2)/peer_count))+IN"&amp;"DEX('Pilot inputs'!$AO$15:$AO$44,MATCH(B251,'Pilot inputs'!$B$15:$B$44,0)))/2,""Unranked""),""Unranked"")"),100.0)</f>
        <v>100</v>
      </c>
      <c r="L251" s="145">
        <f t="shared" si="129"/>
        <v>54.375</v>
      </c>
      <c r="M251" s="145">
        <f>IFERROR(__xludf.DUMMYFUNCTION("IFERROR(IF(ISNUMBER(L251),1+COUNTIF(FILTER($G$15:$G$24,$A$15:$A$24&lt;&gt;B251),""&gt;""&amp;L251)+COUNTIF(FILTER($G$15:$G$24,$A$15:$A$24&lt;&gt;B251),L251)/2,""Unranked""),""Unranked"")"),6.0)</f>
        <v>6</v>
      </c>
      <c r="N251" s="145">
        <f t="shared" si="130"/>
        <v>58.5</v>
      </c>
      <c r="O251" s="145">
        <f>IFERROR(__xludf.DUMMYFUNCTION("IFERROR(IF(ISNUMBER(N251),1+COUNTIF(FILTER($I$15:$I$24,$A$15:$A$24&lt;&gt;B251),""&gt;""&amp;N251)+COUNTIF(FILTER($I$15:$I$24,$A$15:$A$24&lt;&gt;B251),N251)/2,""Unranked""),""Unranked"")"),6.0)</f>
        <v>6</v>
      </c>
      <c r="P251" s="145">
        <f t="shared" si="131"/>
        <v>47</v>
      </c>
      <c r="Q251" s="145">
        <f>IFERROR(__xludf.DUMMYFUNCTION("IFERROR(IF(ISNUMBER(P251),1+COUNTIF(FILTER($K$15:$K$24,$A$15:$A$24&lt;&gt;B251),""&gt;""&amp;P251)+COUNTIF(FILTER($K$15:$K$24,$A$15:$A$24&lt;&gt;B251),P251)/2,""Unranked""),""Unranked"")"),7.0)</f>
        <v>7</v>
      </c>
      <c r="R251" s="145">
        <f t="shared" si="132"/>
        <v>0</v>
      </c>
      <c r="S251" s="145">
        <f t="shared" si="133"/>
        <v>0</v>
      </c>
      <c r="T251" s="145">
        <f t="shared" si="134"/>
        <v>0</v>
      </c>
      <c r="U251" s="93" t="s">
        <v>1717</v>
      </c>
      <c r="V251" s="93" t="s">
        <v>1718</v>
      </c>
      <c r="W251" s="93"/>
      <c r="X251" s="93"/>
    </row>
    <row r="252" ht="24.0" customHeight="1">
      <c r="A252" s="93">
        <v>108.0</v>
      </c>
      <c r="B252" s="93" t="s">
        <v>1437</v>
      </c>
      <c r="C252" s="93" t="s">
        <v>330</v>
      </c>
      <c r="D252" s="93" t="s">
        <v>1235</v>
      </c>
      <c r="E252" s="145">
        <v>1.0</v>
      </c>
      <c r="F252" s="145">
        <f t="array" ref="F252">INDEX('Pilot inputs'!$O$15:$O$44,MATCH(B252,'Pilot inputs'!$B$15:$B$44,0))</f>
        <v>0.2932</v>
      </c>
      <c r="G252" s="145">
        <f t="shared" si="128"/>
        <v>0.30786</v>
      </c>
      <c r="H252" s="145">
        <f t="array" ref="H252">IFERROR(IF(AND(INDEX('Pilot inputs'!$AQ$15:$AQ$44,MATCH(B252,'Pilot inputs'!$B$15:$B$44,0))=1,ISNUMBER($F$12),$F$12&gt;=0,$F$12&lt;1),INDEX('Pilot inputs'!$AG$15:$AG$44,MATCH(B252,'Pilot inputs'!$B$15:$B$44,0)),"Unranked"),"Unranked")</f>
        <v>100</v>
      </c>
      <c r="I252" s="145">
        <f t="array" ref="I252">IFERROR(IF(AND(INDEX('Pilot inputs'!$AQ$15:$AQ$44,MATCH(B252,'Pilot inputs'!$B$15:$B$44,0))=1,ISNUMBER($F$12),$F$12&gt;=0,$F$12&lt;1),INDEX('Pilot inputs'!$AL$15:$AL$44,MATCH(B252,'Pilot inputs'!$B$15:$B$44,0)),"Unranked"),"Unranked")</f>
        <v>17.5</v>
      </c>
      <c r="J252" s="145">
        <f t="array" ref="J252">IFERROR(IF(AND(INDEX('Pilot inputs'!$AQ$15:$AQ$44,MATCH(B252,'Pilot inputs'!$B$15:$B$44,0))=1,ISNUMBER($F$12),$F$12&gt;=0,$F$12&lt;1),INDEX('Pilot inputs'!$AM$15:$AM$44,MATCH(B252,'Pilot inputs'!$B$15:$B$44,0)),"Unranked"),"Unranked")</f>
        <v>0</v>
      </c>
      <c r="K252" s="145">
        <f>IFERROR(__xludf.DUMMYFUNCTION("IFERROR(IF(AND(INDEX('Pilot inputs'!$AQ$15:$AQ$44,MATCH(B252,'Pilot inputs'!$B$15:$B$44,0))=1,ISNUMBER($F$12),$F$12&gt;=0,$F$12&lt;1),(LET(peer_values,FILTER('Pilot inputs'!$O$15:$O$44,'Pilot inputs'!$D$15:$D$44=INDEX('Pilot inputs'!$D$15:$D$44,MATCH(B252,'Pilo"&amp;"t inputs'!$B$15:$B$44,0)),'Pilot inputs'!$B$15:$B$44&lt;&gt;B252,'Pilot inputs'!$AA$15:$AA$44=1),peer_count,ROWS(peer_values),IF(peer_count+1&lt;MAX(3,Rules!$B$12),""Unranked"",100*(SUMPRODUCT(N(peer_values&lt;G252))+SUMPRODUCT(N(peer_values=G252))/2)/peer_count))+IN"&amp;"DEX('Pilot inputs'!$AO$15:$AO$44,MATCH(B252,'Pilot inputs'!$B$15:$B$44,0)))/2,""Unranked""),""Unranked"")"),100.0)</f>
        <v>100</v>
      </c>
      <c r="L252" s="145">
        <f t="shared" si="129"/>
        <v>54.375</v>
      </c>
      <c r="M252" s="145">
        <f>IFERROR(__xludf.DUMMYFUNCTION("IFERROR(IF(ISNUMBER(L252),1+COUNTIF(FILTER($G$15:$G$24,$A$15:$A$24&lt;&gt;B252),""&gt;""&amp;L252)+COUNTIF(FILTER($G$15:$G$24,$A$15:$A$24&lt;&gt;B252),L252)/2,""Unranked""),""Unranked"")"),6.0)</f>
        <v>6</v>
      </c>
      <c r="N252" s="145">
        <f t="shared" si="130"/>
        <v>58.5</v>
      </c>
      <c r="O252" s="145">
        <f>IFERROR(__xludf.DUMMYFUNCTION("IFERROR(IF(ISNUMBER(N252),1+COUNTIF(FILTER($I$15:$I$24,$A$15:$A$24&lt;&gt;B252),""&gt;""&amp;N252)+COUNTIF(FILTER($I$15:$I$24,$A$15:$A$24&lt;&gt;B252),N252)/2,""Unranked""),""Unranked"")"),6.0)</f>
        <v>6</v>
      </c>
      <c r="P252" s="145">
        <f t="shared" si="131"/>
        <v>47</v>
      </c>
      <c r="Q252" s="145">
        <f>IFERROR(__xludf.DUMMYFUNCTION("IFERROR(IF(ISNUMBER(P252),1+COUNTIF(FILTER($K$15:$K$24,$A$15:$A$24&lt;&gt;B252),""&gt;""&amp;P252)+COUNTIF(FILTER($K$15:$K$24,$A$15:$A$24&lt;&gt;B252),P252)/2,""Unranked""),""Unranked"")"),7.0)</f>
        <v>7</v>
      </c>
      <c r="R252" s="145">
        <f t="shared" si="132"/>
        <v>0</v>
      </c>
      <c r="S252" s="145">
        <f t="shared" si="133"/>
        <v>0</v>
      </c>
      <c r="T252" s="145">
        <f t="shared" si="134"/>
        <v>0</v>
      </c>
      <c r="U252" s="93" t="s">
        <v>1717</v>
      </c>
      <c r="V252" s="93" t="s">
        <v>1718</v>
      </c>
      <c r="W252" s="93"/>
      <c r="X252" s="93"/>
    </row>
    <row r="253" ht="24.0" customHeight="1">
      <c r="A253" s="93">
        <v>109.0</v>
      </c>
      <c r="B253" s="93" t="s">
        <v>1437</v>
      </c>
      <c r="C253" s="93" t="s">
        <v>330</v>
      </c>
      <c r="D253" s="93" t="s">
        <v>1742</v>
      </c>
      <c r="E253" s="145">
        <v>-1.0</v>
      </c>
      <c r="F253" s="145">
        <f t="array" ref="F253">INDEX('Pilot inputs'!$P$15:$P$44,MATCH(B253,'Pilot inputs'!$B$15:$B$44,0))</f>
        <v>0.2675</v>
      </c>
      <c r="G253" s="145">
        <f t="shared" si="128"/>
        <v>0.254125</v>
      </c>
      <c r="H253" s="145">
        <f t="array" ref="H253">IFERROR(IF(AND(INDEX('Pilot inputs'!$AQ$15:$AQ$44,MATCH(B253,'Pilot inputs'!$B$15:$B$44,0))=1,ISNUMBER($F$12),$F$12&gt;=0,$F$12&lt;1),INDEX('Pilot inputs'!$AG$15:$AG$44,MATCH(B253,'Pilot inputs'!$B$15:$B$44,0)),"Unranked"),"Unranked")</f>
        <v>100</v>
      </c>
      <c r="I253" s="145">
        <f t="array" ref="I253">IFERROR(IF(AND(INDEX('Pilot inputs'!$AQ$15:$AQ$44,MATCH(B253,'Pilot inputs'!$B$15:$B$44,0))=1,ISNUMBER($F$12),$F$12&gt;=0,$F$12&lt;1),INDEX('Pilot inputs'!$AL$15:$AL$44,MATCH(B253,'Pilot inputs'!$B$15:$B$44,0)),"Unranked"),"Unranked")</f>
        <v>17.5</v>
      </c>
      <c r="J253" s="145">
        <f t="array" ref="J253">IFERROR(IF(AND(INDEX('Pilot inputs'!$AQ$15:$AQ$44,MATCH(B253,'Pilot inputs'!$B$15:$B$44,0))=1,ISNUMBER($F$12),$F$12&gt;=0,$F$12&lt;1),INDEX('Pilot inputs'!$AM$15:$AM$44,MATCH(B253,'Pilot inputs'!$B$15:$B$44,0)),"Unranked"),"Unranked")</f>
        <v>0</v>
      </c>
      <c r="K253" s="145">
        <f>IFERROR(__xludf.DUMMYFUNCTION("IFERROR(IF(AND(INDEX('Pilot inputs'!$AQ$15:$AQ$44,MATCH(B253,'Pilot inputs'!$B$15:$B$44,0))=1,ISNUMBER($F$12),$F$12&gt;=0,$F$12&lt;1),(LET(peer_values,FILTER('Pilot inputs'!$P$15:$P$44,'Pilot inputs'!$D$15:$D$44=INDEX('Pilot inputs'!$D$15:$D$44,MATCH(B253,'Pilo"&amp;"t inputs'!$B$15:$B$44,0)),'Pilot inputs'!$B$15:$B$44&lt;&gt;B253,'Pilot inputs'!$AA$15:$AA$44=1),peer_count,ROWS(peer_values),IF(peer_count+1&lt;MAX(3,Rules!$B$12),""Unranked"",100*(SUMPRODUCT(N(peer_values&lt;G253))+SUMPRODUCT(N(peer_values=G253))/2)/peer_count))+IN"&amp;"DEX('Pilot inputs'!$AN$15:$AN$44,MATCH(B253,'Pilot inputs'!$B$15:$B$44,0)))/2,""Unranked""),""Unranked"")"),100.0)</f>
        <v>100</v>
      </c>
      <c r="L253" s="145">
        <f t="shared" si="129"/>
        <v>54.375</v>
      </c>
      <c r="M253" s="145">
        <f>IFERROR(__xludf.DUMMYFUNCTION("IFERROR(IF(ISNUMBER(L253),1+COUNTIF(FILTER($G$15:$G$24,$A$15:$A$24&lt;&gt;B253),""&gt;""&amp;L253)+COUNTIF(FILTER($G$15:$G$24,$A$15:$A$24&lt;&gt;B253),L253)/2,""Unranked""),""Unranked"")"),6.0)</f>
        <v>6</v>
      </c>
      <c r="N253" s="145">
        <f t="shared" si="130"/>
        <v>58.5</v>
      </c>
      <c r="O253" s="145">
        <f>IFERROR(__xludf.DUMMYFUNCTION("IFERROR(IF(ISNUMBER(N253),1+COUNTIF(FILTER($I$15:$I$24,$A$15:$A$24&lt;&gt;B253),""&gt;""&amp;N253)+COUNTIF(FILTER($I$15:$I$24,$A$15:$A$24&lt;&gt;B253),N253)/2,""Unranked""),""Unranked"")"),6.0)</f>
        <v>6</v>
      </c>
      <c r="P253" s="145">
        <f t="shared" si="131"/>
        <v>47</v>
      </c>
      <c r="Q253" s="145">
        <f>IFERROR(__xludf.DUMMYFUNCTION("IFERROR(IF(ISNUMBER(P253),1+COUNTIF(FILTER($K$15:$K$24,$A$15:$A$24&lt;&gt;B253),""&gt;""&amp;P253)+COUNTIF(FILTER($K$15:$K$24,$A$15:$A$24&lt;&gt;B253),P253)/2,""Unranked""),""Unranked"")"),7.0)</f>
        <v>7</v>
      </c>
      <c r="R253" s="145">
        <f t="shared" si="132"/>
        <v>0</v>
      </c>
      <c r="S253" s="145">
        <f t="shared" si="133"/>
        <v>0</v>
      </c>
      <c r="T253" s="145">
        <f t="shared" si="134"/>
        <v>0</v>
      </c>
      <c r="U253" s="93" t="s">
        <v>1717</v>
      </c>
      <c r="V253" s="93" t="s">
        <v>1718</v>
      </c>
      <c r="W253" s="93"/>
      <c r="X253" s="93"/>
    </row>
    <row r="254" ht="24.0" customHeight="1">
      <c r="A254" s="93">
        <v>110.0</v>
      </c>
      <c r="B254" s="93" t="s">
        <v>1437</v>
      </c>
      <c r="C254" s="93" t="s">
        <v>330</v>
      </c>
      <c r="D254" s="93" t="s">
        <v>1742</v>
      </c>
      <c r="E254" s="145">
        <v>1.0</v>
      </c>
      <c r="F254" s="145">
        <f t="array" ref="F254">INDEX('Pilot inputs'!$P$15:$P$44,MATCH(B254,'Pilot inputs'!$B$15:$B$44,0))</f>
        <v>0.2675</v>
      </c>
      <c r="G254" s="145">
        <f t="shared" si="128"/>
        <v>0.280875</v>
      </c>
      <c r="H254" s="145">
        <f t="array" ref="H254">IFERROR(IF(AND(INDEX('Pilot inputs'!$AQ$15:$AQ$44,MATCH(B254,'Pilot inputs'!$B$15:$B$44,0))=1,ISNUMBER($F$12),$F$12&gt;=0,$F$12&lt;1),INDEX('Pilot inputs'!$AG$15:$AG$44,MATCH(B254,'Pilot inputs'!$B$15:$B$44,0)),"Unranked"),"Unranked")</f>
        <v>100</v>
      </c>
      <c r="I254" s="145">
        <f t="array" ref="I254">IFERROR(IF(AND(INDEX('Pilot inputs'!$AQ$15:$AQ$44,MATCH(B254,'Pilot inputs'!$B$15:$B$44,0))=1,ISNUMBER($F$12),$F$12&gt;=0,$F$12&lt;1),INDEX('Pilot inputs'!$AL$15:$AL$44,MATCH(B254,'Pilot inputs'!$B$15:$B$44,0)),"Unranked"),"Unranked")</f>
        <v>17.5</v>
      </c>
      <c r="J254" s="145">
        <f t="array" ref="J254">IFERROR(IF(AND(INDEX('Pilot inputs'!$AQ$15:$AQ$44,MATCH(B254,'Pilot inputs'!$B$15:$B$44,0))=1,ISNUMBER($F$12),$F$12&gt;=0,$F$12&lt;1),INDEX('Pilot inputs'!$AM$15:$AM$44,MATCH(B254,'Pilot inputs'!$B$15:$B$44,0)),"Unranked"),"Unranked")</f>
        <v>0</v>
      </c>
      <c r="K254" s="145">
        <f>IFERROR(__xludf.DUMMYFUNCTION("IFERROR(IF(AND(INDEX('Pilot inputs'!$AQ$15:$AQ$44,MATCH(B254,'Pilot inputs'!$B$15:$B$44,0))=1,ISNUMBER($F$12),$F$12&gt;=0,$F$12&lt;1),(LET(peer_values,FILTER('Pilot inputs'!$P$15:$P$44,'Pilot inputs'!$D$15:$D$44=INDEX('Pilot inputs'!$D$15:$D$44,MATCH(B254,'Pilo"&amp;"t inputs'!$B$15:$B$44,0)),'Pilot inputs'!$B$15:$B$44&lt;&gt;B254,'Pilot inputs'!$AA$15:$AA$44=1),peer_count,ROWS(peer_values),IF(peer_count+1&lt;MAX(3,Rules!$B$12),""Unranked"",100*(SUMPRODUCT(N(peer_values&lt;G254))+SUMPRODUCT(N(peer_values=G254))/2)/peer_count))+IN"&amp;"DEX('Pilot inputs'!$AN$15:$AN$44,MATCH(B254,'Pilot inputs'!$B$15:$B$44,0)))/2,""Unranked""),""Unranked"")"),100.0)</f>
        <v>100</v>
      </c>
      <c r="L254" s="145">
        <f t="shared" si="129"/>
        <v>54.375</v>
      </c>
      <c r="M254" s="145">
        <f>IFERROR(__xludf.DUMMYFUNCTION("IFERROR(IF(ISNUMBER(L254),1+COUNTIF(FILTER($G$15:$G$24,$A$15:$A$24&lt;&gt;B254),""&gt;""&amp;L254)+COUNTIF(FILTER($G$15:$G$24,$A$15:$A$24&lt;&gt;B254),L254)/2,""Unranked""),""Unranked"")"),6.0)</f>
        <v>6</v>
      </c>
      <c r="N254" s="145">
        <f t="shared" si="130"/>
        <v>58.5</v>
      </c>
      <c r="O254" s="145">
        <f>IFERROR(__xludf.DUMMYFUNCTION("IFERROR(IF(ISNUMBER(N254),1+COUNTIF(FILTER($I$15:$I$24,$A$15:$A$24&lt;&gt;B254),""&gt;""&amp;N254)+COUNTIF(FILTER($I$15:$I$24,$A$15:$A$24&lt;&gt;B254),N254)/2,""Unranked""),""Unranked"")"),6.0)</f>
        <v>6</v>
      </c>
      <c r="P254" s="145">
        <f t="shared" si="131"/>
        <v>47</v>
      </c>
      <c r="Q254" s="145">
        <f>IFERROR(__xludf.DUMMYFUNCTION("IFERROR(IF(ISNUMBER(P254),1+COUNTIF(FILTER($K$15:$K$24,$A$15:$A$24&lt;&gt;B254),""&gt;""&amp;P254)+COUNTIF(FILTER($K$15:$K$24,$A$15:$A$24&lt;&gt;B254),P254)/2,""Unranked""),""Unranked"")"),7.0)</f>
        <v>7</v>
      </c>
      <c r="R254" s="145">
        <f t="shared" si="132"/>
        <v>0</v>
      </c>
      <c r="S254" s="145">
        <f t="shared" si="133"/>
        <v>0</v>
      </c>
      <c r="T254" s="145">
        <f t="shared" si="134"/>
        <v>0</v>
      </c>
      <c r="U254" s="93" t="s">
        <v>1717</v>
      </c>
      <c r="V254" s="93" t="s">
        <v>1718</v>
      </c>
      <c r="W254" s="93"/>
      <c r="X254" s="93"/>
    </row>
    <row r="255" ht="24.0" customHeight="1">
      <c r="A255" s="93">
        <v>111.0</v>
      </c>
      <c r="B255" s="93" t="s">
        <v>1437</v>
      </c>
      <c r="C255" s="93" t="s">
        <v>330</v>
      </c>
      <c r="D255" s="93" t="s">
        <v>1743</v>
      </c>
      <c r="E255" s="145">
        <v>-1.0</v>
      </c>
      <c r="F255" s="145">
        <f t="array" ref="F255">INDEX('Pilot inputs'!$R$15:$R$44,MATCH(B255,'Pilot inputs'!$B$15:$B$44,0))</f>
        <v>16.044</v>
      </c>
      <c r="G255" s="145">
        <f t="shared" si="128"/>
        <v>15.2418</v>
      </c>
      <c r="H255" s="145">
        <f t="array" ref="H255">IFERROR(IF(AND(INDEX('Pilot inputs'!$AQ$15:$AQ$44,MATCH(B255,'Pilot inputs'!$B$15:$B$44,0))=1,ISNUMBER($F$12),$F$12&gt;=0,$F$12&lt;1),INDEX('Pilot inputs'!$AG$15:$AG$44,MATCH(B255,'Pilot inputs'!$B$15:$B$44,0)),"Unranked"),"Unranked")</f>
        <v>100</v>
      </c>
      <c r="I255" s="145">
        <f t="array" ref="I255">IFERROR(IF(AND(INDEX('Pilot inputs'!$AQ$15:$AQ$44,MATCH(B255,'Pilot inputs'!$B$15:$B$44,0))=1,ISNUMBER($F$12),$F$12&gt;=0,$F$12&lt;1),INDEX('Pilot inputs'!$AL$15:$AL$44,MATCH(B255,'Pilot inputs'!$B$15:$B$44,0)),"Unranked"),"Unranked")</f>
        <v>17.5</v>
      </c>
      <c r="J255" s="145">
        <f>IFERROR(__xludf.DUMMYFUNCTION("IFERROR(IF(AND(INDEX('Pilot inputs'!$AQ$15:$AQ$44,MATCH(B255,'Pilot inputs'!$B$15:$B$44,0))=1,ISNUMBER($F$12),$F$12&gt;=0,$F$12&lt;1),LET(peer_values,FILTER('Pilot inputs'!$AB$15:$AB$44,'Pilot inputs'!$D$15:$D$44=INDEX('Pilot inputs'!$D$15:$D$44,MATCH(B255,'Pil"&amp;"ot inputs'!$B$15:$B$44,0)),'Pilot inputs'!$B$15:$B$44&lt;&gt;B255,'Pilot inputs'!$AA$15:$AA$44=1),peer_count,ROWS(peer_values),IF(peer_count+1&lt;MAX(3,Rules!$B$12),""Unranked"",100*(SUMPRODUCT(N(peer_values&lt;((G255/INDEX('Pilot inputs'!$T$15:$T$44,MATCH(B255,'Pilo"&amp;"t inputs'!$B$15:$B$44,0)))^(1/3)-1)))+SUMPRODUCT(N(peer_values=((G255/INDEX('Pilot inputs'!$T$15:$T$44,MATCH(B255,'Pilot inputs'!$B$15:$B$44,0)))^(1/3)-1)))/2)/peer_count)),""Unranked""),""Unranked"")"),0.0)</f>
        <v>0</v>
      </c>
      <c r="K255" s="145">
        <f t="array" ref="K255">IFERROR(IF(AND(INDEX('Pilot inputs'!$AQ$15:$AQ$44,MATCH(B255,'Pilot inputs'!$B$15:$B$44,0))=1,ISNUMBER($F$12),$F$12&gt;=0,$F$12&lt;1),INDEX('Pilot inputs'!$AP$15:$AP$44,MATCH(B255,'Pilot inputs'!$B$15:$B$44,0)),"Unranked"),"Unranked")</f>
        <v>100</v>
      </c>
      <c r="L255" s="145">
        <f t="shared" si="129"/>
        <v>54.375</v>
      </c>
      <c r="M255" s="145">
        <f>IFERROR(__xludf.DUMMYFUNCTION("IFERROR(IF(ISNUMBER(L255),1+COUNTIF(FILTER($G$15:$G$24,$A$15:$A$24&lt;&gt;B255),""&gt;""&amp;L255)+COUNTIF(FILTER($G$15:$G$24,$A$15:$A$24&lt;&gt;B255),L255)/2,""Unranked""),""Unranked"")"),6.0)</f>
        <v>6</v>
      </c>
      <c r="N255" s="145">
        <f t="shared" si="130"/>
        <v>58.5</v>
      </c>
      <c r="O255" s="145">
        <f>IFERROR(__xludf.DUMMYFUNCTION("IFERROR(IF(ISNUMBER(N255),1+COUNTIF(FILTER($I$15:$I$24,$A$15:$A$24&lt;&gt;B255),""&gt;""&amp;N255)+COUNTIF(FILTER($I$15:$I$24,$A$15:$A$24&lt;&gt;B255),N255)/2,""Unranked""),""Unranked"")"),6.0)</f>
        <v>6</v>
      </c>
      <c r="P255" s="145">
        <f t="shared" si="131"/>
        <v>47</v>
      </c>
      <c r="Q255" s="145">
        <f>IFERROR(__xludf.DUMMYFUNCTION("IFERROR(IF(ISNUMBER(P255),1+COUNTIF(FILTER($K$15:$K$24,$A$15:$A$24&lt;&gt;B255),""&gt;""&amp;P255)+COUNTIF(FILTER($K$15:$K$24,$A$15:$A$24&lt;&gt;B255),P255)/2,""Unranked""),""Unranked"")"),7.0)</f>
        <v>7</v>
      </c>
      <c r="R255" s="145">
        <f t="shared" si="132"/>
        <v>0</v>
      </c>
      <c r="S255" s="145">
        <f t="shared" si="133"/>
        <v>0</v>
      </c>
      <c r="T255" s="145">
        <f t="shared" si="134"/>
        <v>0</v>
      </c>
      <c r="U255" s="93" t="s">
        <v>1717</v>
      </c>
      <c r="V255" s="93" t="s">
        <v>1718</v>
      </c>
      <c r="W255" s="93"/>
      <c r="X255" s="93"/>
    </row>
    <row r="256" ht="24.0" customHeight="1">
      <c r="A256" s="93">
        <v>112.0</v>
      </c>
      <c r="B256" s="93" t="s">
        <v>1437</v>
      </c>
      <c r="C256" s="93" t="s">
        <v>330</v>
      </c>
      <c r="D256" s="93" t="s">
        <v>1743</v>
      </c>
      <c r="E256" s="145">
        <v>1.0</v>
      </c>
      <c r="F256" s="145">
        <f t="array" ref="F256">INDEX('Pilot inputs'!$R$15:$R$44,MATCH(B256,'Pilot inputs'!$B$15:$B$44,0))</f>
        <v>16.044</v>
      </c>
      <c r="G256" s="145">
        <f t="shared" si="128"/>
        <v>16.8462</v>
      </c>
      <c r="H256" s="145">
        <f t="array" ref="H256">IFERROR(IF(AND(INDEX('Pilot inputs'!$AQ$15:$AQ$44,MATCH(B256,'Pilot inputs'!$B$15:$B$44,0))=1,ISNUMBER($F$12),$F$12&gt;=0,$F$12&lt;1),INDEX('Pilot inputs'!$AG$15:$AG$44,MATCH(B256,'Pilot inputs'!$B$15:$B$44,0)),"Unranked"),"Unranked")</f>
        <v>100</v>
      </c>
      <c r="I256" s="145">
        <f t="array" ref="I256">IFERROR(IF(AND(INDEX('Pilot inputs'!$AQ$15:$AQ$44,MATCH(B256,'Pilot inputs'!$B$15:$B$44,0))=1,ISNUMBER($F$12),$F$12&gt;=0,$F$12&lt;1),INDEX('Pilot inputs'!$AL$15:$AL$44,MATCH(B256,'Pilot inputs'!$B$15:$B$44,0)),"Unranked"),"Unranked")</f>
        <v>17.5</v>
      </c>
      <c r="J256" s="145">
        <f>IFERROR(__xludf.DUMMYFUNCTION("IFERROR(IF(AND(INDEX('Pilot inputs'!$AQ$15:$AQ$44,MATCH(B256,'Pilot inputs'!$B$15:$B$44,0))=1,ISNUMBER($F$12),$F$12&gt;=0,$F$12&lt;1),LET(peer_values,FILTER('Pilot inputs'!$AB$15:$AB$44,'Pilot inputs'!$D$15:$D$44=INDEX('Pilot inputs'!$D$15:$D$44,MATCH(B256,'Pil"&amp;"ot inputs'!$B$15:$B$44,0)),'Pilot inputs'!$B$15:$B$44&lt;&gt;B256,'Pilot inputs'!$AA$15:$AA$44=1),peer_count,ROWS(peer_values),IF(peer_count+1&lt;MAX(3,Rules!$B$12),""Unranked"",100*(SUMPRODUCT(N(peer_values&lt;((G256/INDEX('Pilot inputs'!$T$15:$T$44,MATCH(B256,'Pilo"&amp;"t inputs'!$B$15:$B$44,0)))^(1/3)-1)))+SUMPRODUCT(N(peer_values=((G256/INDEX('Pilot inputs'!$T$15:$T$44,MATCH(B256,'Pilot inputs'!$B$15:$B$44,0)))^(1/3)-1)))/2)/peer_count)),""Unranked""),""Unranked"")"),50.0)</f>
        <v>50</v>
      </c>
      <c r="K256" s="145">
        <f t="array" ref="K256">IFERROR(IF(AND(INDEX('Pilot inputs'!$AQ$15:$AQ$44,MATCH(B256,'Pilot inputs'!$B$15:$B$44,0))=1,ISNUMBER($F$12),$F$12&gt;=0,$F$12&lt;1),INDEX('Pilot inputs'!$AP$15:$AP$44,MATCH(B256,'Pilot inputs'!$B$15:$B$44,0)),"Unranked"),"Unranked")</f>
        <v>100</v>
      </c>
      <c r="L256" s="145">
        <f t="shared" si="129"/>
        <v>66.875</v>
      </c>
      <c r="M256" s="145">
        <f>IFERROR(__xludf.DUMMYFUNCTION("IFERROR(IF(ISNUMBER(L256),1+COUNTIF(FILTER($G$15:$G$24,$A$15:$A$24&lt;&gt;B256),""&gt;""&amp;L256)+COUNTIF(FILTER($G$15:$G$24,$A$15:$A$24&lt;&gt;B256),L256)/2,""Unranked""),""Unranked"")"),4.0)</f>
        <v>4</v>
      </c>
      <c r="N256" s="145">
        <f t="shared" si="130"/>
        <v>71</v>
      </c>
      <c r="O256" s="145">
        <f>IFERROR(__xludf.DUMMYFUNCTION("IFERROR(IF(ISNUMBER(N256),1+COUNTIF(FILTER($I$15:$I$24,$A$15:$A$24&lt;&gt;B256),""&gt;""&amp;N256)+COUNTIF(FILTER($I$15:$I$24,$A$15:$A$24&lt;&gt;B256),N256)/2,""Unranked""),""Unranked"")"),1.0)</f>
        <v>1</v>
      </c>
      <c r="P256" s="145">
        <f t="shared" si="131"/>
        <v>57</v>
      </c>
      <c r="Q256" s="145">
        <f>IFERROR(__xludf.DUMMYFUNCTION("IFERROR(IF(ISNUMBER(P256),1+COUNTIF(FILTER($K$15:$K$24,$A$15:$A$24&lt;&gt;B256),""&gt;""&amp;P256)+COUNTIF(FILTER($K$15:$K$24,$A$15:$A$24&lt;&gt;B256),P256)/2,""Unranked""),""Unranked"")"),5.0)</f>
        <v>5</v>
      </c>
      <c r="R256" s="145">
        <f t="shared" si="132"/>
        <v>2</v>
      </c>
      <c r="S256" s="145">
        <f t="shared" si="133"/>
        <v>5</v>
      </c>
      <c r="T256" s="145">
        <f t="shared" si="134"/>
        <v>2</v>
      </c>
      <c r="U256" s="93" t="s">
        <v>1717</v>
      </c>
      <c r="V256" s="93" t="s">
        <v>1718</v>
      </c>
      <c r="W256" s="93"/>
      <c r="X256" s="93"/>
    </row>
    <row r="257" ht="24.0" customHeight="1">
      <c r="A257" s="93">
        <v>113.0</v>
      </c>
      <c r="B257" s="93" t="s">
        <v>334</v>
      </c>
      <c r="C257" s="93" t="s">
        <v>336</v>
      </c>
      <c r="D257" s="93" t="s">
        <v>68</v>
      </c>
      <c r="E257" s="145">
        <v>-1.0</v>
      </c>
      <c r="F257" s="145">
        <f t="array" ref="F257">INDEX('Pilot inputs'!$F$15:$F$44,MATCH(B257,'Pilot inputs'!$B$15:$B$44,0))</f>
        <v>77.11</v>
      </c>
      <c r="G257" s="145">
        <f t="shared" si="128"/>
        <v>73.2545</v>
      </c>
      <c r="H257" s="145">
        <f>IFERROR(__xludf.DUMMYFUNCTION("IFERROR(IF(AND(INDEX('Pilot inputs'!$AQ$15:$AQ$44,MATCH(B257,'Pilot inputs'!$B$15:$B$44,0))=1,ISNUMBER($F$12),$F$12&gt;=0,$F$12&lt;1),(LET(peer_values,FILTER('Pilot inputs'!$F$15:$F$44,'Pilot inputs'!$D$15:$D$44=INDEX('Pilot inputs'!$D$15:$D$44,MATCH(B257,'Pilo"&amp;"t inputs'!$B$15:$B$44,0)),'Pilot inputs'!$B$15:$B$44&lt;&gt;B257,'Pilot inputs'!$AA$15:$AA$44=1),peer_count,ROWS(peer_values),IF(peer_count+1&lt;MAX(3,Rules!$B$12),""Unranked"",100*(SUMPRODUCT(N(peer_values&lt;G257))+SUMPRODUCT(N(peer_values=G257))/2)/peer_count))+IN"&amp;"DEX('Pilot inputs'!$AF$15:$AF$44,MATCH(B257,'Pilot inputs'!$B$15:$B$44,0)))/2,""Unranked""),""Unranked"")"),75.0)</f>
        <v>75</v>
      </c>
      <c r="I257" s="145">
        <f t="array" ref="I257">IFERROR(IF(AND(INDEX('Pilot inputs'!$AQ$15:$AQ$44,MATCH(B257,'Pilot inputs'!$B$15:$B$44,0))=1,ISNUMBER($F$12),$F$12&gt;=0,$F$12&lt;1),INDEX('Pilot inputs'!$AL$15:$AL$44,MATCH(B257,'Pilot inputs'!$B$15:$B$44,0)),"Unranked"),"Unranked")</f>
        <v>50</v>
      </c>
      <c r="J257" s="145">
        <f t="array" ref="J257">IFERROR(IF(AND(INDEX('Pilot inputs'!$AQ$15:$AQ$44,MATCH(B257,'Pilot inputs'!$B$15:$B$44,0))=1,ISNUMBER($F$12),$F$12&gt;=0,$F$12&lt;1),INDEX('Pilot inputs'!$AM$15:$AM$44,MATCH(B257,'Pilot inputs'!$B$15:$B$44,0)),"Unranked"),"Unranked")</f>
        <v>50</v>
      </c>
      <c r="K257" s="145">
        <f t="array" ref="K257">IFERROR(IF(AND(INDEX('Pilot inputs'!$AQ$15:$AQ$44,MATCH(B257,'Pilot inputs'!$B$15:$B$44,0))=1,ISNUMBER($F$12),$F$12&gt;=0,$F$12&lt;1),INDEX('Pilot inputs'!$AP$15:$AP$44,MATCH(B257,'Pilot inputs'!$B$15:$B$44,0)),"Unranked"),"Unranked")</f>
        <v>75</v>
      </c>
      <c r="L257" s="145">
        <f t="shared" si="129"/>
        <v>62.5</v>
      </c>
      <c r="M257" s="145">
        <f>IFERROR(__xludf.DUMMYFUNCTION("IFERROR(IF(ISNUMBER(L257),1+COUNTIF(FILTER($G$15:$G$24,$A$15:$A$24&lt;&gt;B257),""&gt;""&amp;L257)+COUNTIF(FILTER($G$15:$G$24,$A$15:$A$24&lt;&gt;B257),L257)/2,""Unranked""),""Unranked"")"),3.0)</f>
        <v>3</v>
      </c>
      <c r="N257" s="145">
        <f t="shared" si="130"/>
        <v>63.75</v>
      </c>
      <c r="O257" s="145">
        <f>IFERROR(__xludf.DUMMYFUNCTION("IFERROR(IF(ISNUMBER(N257),1+COUNTIF(FILTER($I$15:$I$24,$A$15:$A$24&lt;&gt;B257),""&gt;""&amp;N257)+COUNTIF(FILTER($I$15:$I$24,$A$15:$A$24&lt;&gt;B257),N257)/2,""Unranked""),""Unranked"")"),3.0)</f>
        <v>3</v>
      </c>
      <c r="P257" s="145">
        <f t="shared" si="131"/>
        <v>60</v>
      </c>
      <c r="Q257" s="145">
        <f>IFERROR(__xludf.DUMMYFUNCTION("IFERROR(IF(ISNUMBER(P257),1+COUNTIF(FILTER($K$15:$K$24,$A$15:$A$24&lt;&gt;B257),""&gt;""&amp;P257)+COUNTIF(FILTER($K$15:$K$24,$A$15:$A$24&lt;&gt;B257),P257)/2,""Unranked""),""Unranked"")"),4.0)</f>
        <v>4</v>
      </c>
      <c r="R257" s="145">
        <f t="shared" si="132"/>
        <v>0.5</v>
      </c>
      <c r="S257" s="145">
        <f t="shared" si="133"/>
        <v>1</v>
      </c>
      <c r="T257" s="145">
        <f t="shared" si="134"/>
        <v>2</v>
      </c>
      <c r="U257" s="93" t="s">
        <v>1717</v>
      </c>
      <c r="V257" s="93" t="s">
        <v>1718</v>
      </c>
      <c r="W257" s="93"/>
      <c r="X257" s="93"/>
    </row>
    <row r="258" ht="24.0" customHeight="1">
      <c r="A258" s="93">
        <v>114.0</v>
      </c>
      <c r="B258" s="93" t="s">
        <v>334</v>
      </c>
      <c r="C258" s="93" t="s">
        <v>336</v>
      </c>
      <c r="D258" s="93" t="s">
        <v>68</v>
      </c>
      <c r="E258" s="145">
        <v>1.0</v>
      </c>
      <c r="F258" s="145">
        <f t="array" ref="F258">INDEX('Pilot inputs'!$F$15:$F$44,MATCH(B258,'Pilot inputs'!$B$15:$B$44,0))</f>
        <v>77.11</v>
      </c>
      <c r="G258" s="145">
        <f t="shared" si="128"/>
        <v>80.9655</v>
      </c>
      <c r="H258" s="145">
        <f>IFERROR(__xludf.DUMMYFUNCTION("IFERROR(IF(AND(INDEX('Pilot inputs'!$AQ$15:$AQ$44,MATCH(B258,'Pilot inputs'!$B$15:$B$44,0))=1,ISNUMBER($F$12),$F$12&gt;=0,$F$12&lt;1),(LET(peer_values,FILTER('Pilot inputs'!$F$15:$F$44,'Pilot inputs'!$D$15:$D$44=INDEX('Pilot inputs'!$D$15:$D$44,MATCH(B258,'Pilo"&amp;"t inputs'!$B$15:$B$44,0)),'Pilot inputs'!$B$15:$B$44&lt;&gt;B258,'Pilot inputs'!$AA$15:$AA$44=1),peer_count,ROWS(peer_values),IF(peer_count+1&lt;MAX(3,Rules!$B$12),""Unranked"",100*(SUMPRODUCT(N(peer_values&lt;G258))+SUMPRODUCT(N(peer_values=G258))/2)/peer_count))+IN"&amp;"DEX('Pilot inputs'!$AF$15:$AF$44,MATCH(B258,'Pilot inputs'!$B$15:$B$44,0)))/2,""Unranked""),""Unranked"")"),100.0)</f>
        <v>100</v>
      </c>
      <c r="I258" s="145">
        <f t="array" ref="I258">IFERROR(IF(AND(INDEX('Pilot inputs'!$AQ$15:$AQ$44,MATCH(B258,'Pilot inputs'!$B$15:$B$44,0))=1,ISNUMBER($F$12),$F$12&gt;=0,$F$12&lt;1),INDEX('Pilot inputs'!$AL$15:$AL$44,MATCH(B258,'Pilot inputs'!$B$15:$B$44,0)),"Unranked"),"Unranked")</f>
        <v>50</v>
      </c>
      <c r="J258" s="145">
        <f t="array" ref="J258">IFERROR(IF(AND(INDEX('Pilot inputs'!$AQ$15:$AQ$44,MATCH(B258,'Pilot inputs'!$B$15:$B$44,0))=1,ISNUMBER($F$12),$F$12&gt;=0,$F$12&lt;1),INDEX('Pilot inputs'!$AM$15:$AM$44,MATCH(B258,'Pilot inputs'!$B$15:$B$44,0)),"Unranked"),"Unranked")</f>
        <v>50</v>
      </c>
      <c r="K258" s="145">
        <f t="array" ref="K258">IFERROR(IF(AND(INDEX('Pilot inputs'!$AQ$15:$AQ$44,MATCH(B258,'Pilot inputs'!$B$15:$B$44,0))=1,ISNUMBER($F$12),$F$12&gt;=0,$F$12&lt;1),INDEX('Pilot inputs'!$AP$15:$AP$44,MATCH(B258,'Pilot inputs'!$B$15:$B$44,0)),"Unranked"),"Unranked")</f>
        <v>75</v>
      </c>
      <c r="L258" s="145">
        <f t="shared" si="129"/>
        <v>68.75</v>
      </c>
      <c r="M258" s="145">
        <f>IFERROR(__xludf.DUMMYFUNCTION("IFERROR(IF(ISNUMBER(L258),1+COUNTIF(FILTER($G$15:$G$24,$A$15:$A$24&lt;&gt;B258),""&gt;""&amp;L258)+COUNTIF(FILTER($G$15:$G$24,$A$15:$A$24&lt;&gt;B258),L258)/2,""Unranked""),""Unranked"")"),2.5)</f>
        <v>2.5</v>
      </c>
      <c r="N258" s="145">
        <f t="shared" si="130"/>
        <v>67.5</v>
      </c>
      <c r="O258" s="145">
        <f>IFERROR(__xludf.DUMMYFUNCTION("IFERROR(IF(ISNUMBER(N258),1+COUNTIF(FILTER($I$15:$I$24,$A$15:$A$24&lt;&gt;B258),""&gt;""&amp;N258)+COUNTIF(FILTER($I$15:$I$24,$A$15:$A$24&lt;&gt;B258),N258)/2,""Unranked""),""Unranked"")"),2.0)</f>
        <v>2</v>
      </c>
      <c r="P258" s="145">
        <f t="shared" si="131"/>
        <v>63.75</v>
      </c>
      <c r="Q258" s="145">
        <f>IFERROR(__xludf.DUMMYFUNCTION("IFERROR(IF(ISNUMBER(P258),1+COUNTIF(FILTER($K$15:$K$24,$A$15:$A$24&lt;&gt;B258),""&gt;""&amp;P258)+COUNTIF(FILTER($K$15:$K$24,$A$15:$A$24&lt;&gt;B258),P258)/2,""Unranked""),""Unranked"")"),2.0)</f>
        <v>2</v>
      </c>
      <c r="R258" s="145">
        <f t="shared" si="132"/>
        <v>0</v>
      </c>
      <c r="S258" s="145">
        <f t="shared" si="133"/>
        <v>0</v>
      </c>
      <c r="T258" s="145">
        <f t="shared" si="134"/>
        <v>0</v>
      </c>
      <c r="U258" s="93" t="s">
        <v>1717</v>
      </c>
      <c r="V258" s="93" t="s">
        <v>1718</v>
      </c>
      <c r="W258" s="93"/>
      <c r="X258" s="93"/>
    </row>
    <row r="259" ht="24.0" customHeight="1">
      <c r="A259" s="93">
        <v>115.0</v>
      </c>
      <c r="B259" s="93" t="s">
        <v>334</v>
      </c>
      <c r="C259" s="93" t="s">
        <v>336</v>
      </c>
      <c r="D259" s="93" t="s">
        <v>1720</v>
      </c>
      <c r="E259" s="145">
        <v>-1.0</v>
      </c>
      <c r="F259" s="145">
        <f t="array" ref="F259">INDEX('Pilot inputs'!$H$15:$H$44,MATCH(B259,'Pilot inputs'!$B$15:$B$44,0))</f>
        <v>24.41</v>
      </c>
      <c r="G259" s="145">
        <f t="shared" si="128"/>
        <v>23.1895</v>
      </c>
      <c r="H259" s="145">
        <f>IFERROR(__xludf.DUMMYFUNCTION("IFERROR(IF(AND(INDEX('Pilot inputs'!$AQ$15:$AQ$44,MATCH(B259,'Pilot inputs'!$B$15:$B$44,0))=1,ISNUMBER($F$12),$F$12&gt;=0,$F$12&lt;1),(LET(peer_values,FILTER('Pilot inputs'!$H$15:$H$44,'Pilot inputs'!$D$15:$D$44=INDEX('Pilot inputs'!$D$15:$D$44,MATCH(B259,'Pilo"&amp;"t inputs'!$B$15:$B$44,0)),'Pilot inputs'!$B$15:$B$44&lt;&gt;B259,'Pilot inputs'!$AA$15:$AA$44=1),peer_count,ROWS(peer_values),IF(peer_count+1&lt;MAX(3,Rules!$B$12),""Unranked"",100*(SUMPRODUCT(N(peer_values&lt;G259))+SUMPRODUCT(N(peer_values=G259))/2)/peer_count))+IN"&amp;"DEX('Pilot inputs'!$AE$15:$AE$44,MATCH(B259,'Pilot inputs'!$B$15:$B$44,0)))/2,""Unranked""),""Unranked"")"),100.0)</f>
        <v>100</v>
      </c>
      <c r="I259" s="145">
        <f t="array" ref="I259">IFERROR(IF(AND(INDEX('Pilot inputs'!$AQ$15:$AQ$44,MATCH(B259,'Pilot inputs'!$B$15:$B$44,0))=1,ISNUMBER($F$12),$F$12&gt;=0,$F$12&lt;1),INDEX('Pilot inputs'!$AL$15:$AL$44,MATCH(B259,'Pilot inputs'!$B$15:$B$44,0)),"Unranked"),"Unranked")</f>
        <v>50</v>
      </c>
      <c r="J259" s="145">
        <f t="array" ref="J259">IFERROR(IF(AND(INDEX('Pilot inputs'!$AQ$15:$AQ$44,MATCH(B259,'Pilot inputs'!$B$15:$B$44,0))=1,ISNUMBER($F$12),$F$12&gt;=0,$F$12&lt;1),INDEX('Pilot inputs'!$AM$15:$AM$44,MATCH(B259,'Pilot inputs'!$B$15:$B$44,0)),"Unranked"),"Unranked")</f>
        <v>50</v>
      </c>
      <c r="K259" s="145">
        <f t="array" ref="K259">IFERROR(IF(AND(INDEX('Pilot inputs'!$AQ$15:$AQ$44,MATCH(B259,'Pilot inputs'!$B$15:$B$44,0))=1,ISNUMBER($F$12),$F$12&gt;=0,$F$12&lt;1),INDEX('Pilot inputs'!$AP$15:$AP$44,MATCH(B259,'Pilot inputs'!$B$15:$B$44,0)),"Unranked"),"Unranked")</f>
        <v>75</v>
      </c>
      <c r="L259" s="145">
        <f t="shared" si="129"/>
        <v>68.75</v>
      </c>
      <c r="M259" s="145">
        <f>IFERROR(__xludf.DUMMYFUNCTION("IFERROR(IF(ISNUMBER(L259),1+COUNTIF(FILTER($G$15:$G$24,$A$15:$A$24&lt;&gt;B259),""&gt;""&amp;L259)+COUNTIF(FILTER($G$15:$G$24,$A$15:$A$24&lt;&gt;B259),L259)/2,""Unranked""),""Unranked"")"),2.5)</f>
        <v>2.5</v>
      </c>
      <c r="N259" s="145">
        <f t="shared" si="130"/>
        <v>67.5</v>
      </c>
      <c r="O259" s="145">
        <f>IFERROR(__xludf.DUMMYFUNCTION("IFERROR(IF(ISNUMBER(N259),1+COUNTIF(FILTER($I$15:$I$24,$A$15:$A$24&lt;&gt;B259),""&gt;""&amp;N259)+COUNTIF(FILTER($I$15:$I$24,$A$15:$A$24&lt;&gt;B259),N259)/2,""Unranked""),""Unranked"")"),2.0)</f>
        <v>2</v>
      </c>
      <c r="P259" s="145">
        <f t="shared" si="131"/>
        <v>63.75</v>
      </c>
      <c r="Q259" s="145">
        <f>IFERROR(__xludf.DUMMYFUNCTION("IFERROR(IF(ISNUMBER(P259),1+COUNTIF(FILTER($K$15:$K$24,$A$15:$A$24&lt;&gt;B259),""&gt;""&amp;P259)+COUNTIF(FILTER($K$15:$K$24,$A$15:$A$24&lt;&gt;B259),P259)/2,""Unranked""),""Unranked"")"),2.0)</f>
        <v>2</v>
      </c>
      <c r="R259" s="145">
        <f t="shared" si="132"/>
        <v>0</v>
      </c>
      <c r="S259" s="145">
        <f t="shared" si="133"/>
        <v>0</v>
      </c>
      <c r="T259" s="145">
        <f t="shared" si="134"/>
        <v>0</v>
      </c>
      <c r="U259" s="93" t="s">
        <v>1717</v>
      </c>
      <c r="V259" s="93" t="s">
        <v>1718</v>
      </c>
      <c r="W259" s="93"/>
      <c r="X259" s="93"/>
    </row>
    <row r="260" ht="24.0" customHeight="1">
      <c r="A260" s="93">
        <v>116.0</v>
      </c>
      <c r="B260" s="93" t="s">
        <v>334</v>
      </c>
      <c r="C260" s="93" t="s">
        <v>336</v>
      </c>
      <c r="D260" s="93" t="s">
        <v>1720</v>
      </c>
      <c r="E260" s="145">
        <v>1.0</v>
      </c>
      <c r="F260" s="145">
        <f t="array" ref="F260">INDEX('Pilot inputs'!$H$15:$H$44,MATCH(B260,'Pilot inputs'!$B$15:$B$44,0))</f>
        <v>24.41</v>
      </c>
      <c r="G260" s="145">
        <f t="shared" si="128"/>
        <v>25.6305</v>
      </c>
      <c r="H260" s="145">
        <f>IFERROR(__xludf.DUMMYFUNCTION("IFERROR(IF(AND(INDEX('Pilot inputs'!$AQ$15:$AQ$44,MATCH(B260,'Pilot inputs'!$B$15:$B$44,0))=1,ISNUMBER($F$12),$F$12&gt;=0,$F$12&lt;1),(LET(peer_values,FILTER('Pilot inputs'!$H$15:$H$44,'Pilot inputs'!$D$15:$D$44=INDEX('Pilot inputs'!$D$15:$D$44,MATCH(B260,'Pilo"&amp;"t inputs'!$B$15:$B$44,0)),'Pilot inputs'!$B$15:$B$44&lt;&gt;B260,'Pilot inputs'!$AA$15:$AA$44=1),peer_count,ROWS(peer_values),IF(peer_count+1&lt;MAX(3,Rules!$B$12),""Unranked"",100*(SUMPRODUCT(N(peer_values&lt;G260))+SUMPRODUCT(N(peer_values=G260))/2)/peer_count))+IN"&amp;"DEX('Pilot inputs'!$AE$15:$AE$44,MATCH(B260,'Pilot inputs'!$B$15:$B$44,0)))/2,""Unranked""),""Unranked"")"),100.0)</f>
        <v>100</v>
      </c>
      <c r="I260" s="145">
        <f t="array" ref="I260">IFERROR(IF(AND(INDEX('Pilot inputs'!$AQ$15:$AQ$44,MATCH(B260,'Pilot inputs'!$B$15:$B$44,0))=1,ISNUMBER($F$12),$F$12&gt;=0,$F$12&lt;1),INDEX('Pilot inputs'!$AL$15:$AL$44,MATCH(B260,'Pilot inputs'!$B$15:$B$44,0)),"Unranked"),"Unranked")</f>
        <v>50</v>
      </c>
      <c r="J260" s="145">
        <f t="array" ref="J260">IFERROR(IF(AND(INDEX('Pilot inputs'!$AQ$15:$AQ$44,MATCH(B260,'Pilot inputs'!$B$15:$B$44,0))=1,ISNUMBER($F$12),$F$12&gt;=0,$F$12&lt;1),INDEX('Pilot inputs'!$AM$15:$AM$44,MATCH(B260,'Pilot inputs'!$B$15:$B$44,0)),"Unranked"),"Unranked")</f>
        <v>50</v>
      </c>
      <c r="K260" s="145">
        <f t="array" ref="K260">IFERROR(IF(AND(INDEX('Pilot inputs'!$AQ$15:$AQ$44,MATCH(B260,'Pilot inputs'!$B$15:$B$44,0))=1,ISNUMBER($F$12),$F$12&gt;=0,$F$12&lt;1),INDEX('Pilot inputs'!$AP$15:$AP$44,MATCH(B260,'Pilot inputs'!$B$15:$B$44,0)),"Unranked"),"Unranked")</f>
        <v>75</v>
      </c>
      <c r="L260" s="145">
        <f t="shared" si="129"/>
        <v>68.75</v>
      </c>
      <c r="M260" s="145">
        <f>IFERROR(__xludf.DUMMYFUNCTION("IFERROR(IF(ISNUMBER(L260),1+COUNTIF(FILTER($G$15:$G$24,$A$15:$A$24&lt;&gt;B260),""&gt;""&amp;L260)+COUNTIF(FILTER($G$15:$G$24,$A$15:$A$24&lt;&gt;B260),L260)/2,""Unranked""),""Unranked"")"),2.5)</f>
        <v>2.5</v>
      </c>
      <c r="N260" s="145">
        <f t="shared" si="130"/>
        <v>67.5</v>
      </c>
      <c r="O260" s="145">
        <f>IFERROR(__xludf.DUMMYFUNCTION("IFERROR(IF(ISNUMBER(N260),1+COUNTIF(FILTER($I$15:$I$24,$A$15:$A$24&lt;&gt;B260),""&gt;""&amp;N260)+COUNTIF(FILTER($I$15:$I$24,$A$15:$A$24&lt;&gt;B260),N260)/2,""Unranked""),""Unranked"")"),2.0)</f>
        <v>2</v>
      </c>
      <c r="P260" s="145">
        <f t="shared" si="131"/>
        <v>63.75</v>
      </c>
      <c r="Q260" s="145">
        <f>IFERROR(__xludf.DUMMYFUNCTION("IFERROR(IF(ISNUMBER(P260),1+COUNTIF(FILTER($K$15:$K$24,$A$15:$A$24&lt;&gt;B260),""&gt;""&amp;P260)+COUNTIF(FILTER($K$15:$K$24,$A$15:$A$24&lt;&gt;B260),P260)/2,""Unranked""),""Unranked"")"),2.0)</f>
        <v>2</v>
      </c>
      <c r="R260" s="145">
        <f t="shared" si="132"/>
        <v>0</v>
      </c>
      <c r="S260" s="145">
        <f t="shared" si="133"/>
        <v>0</v>
      </c>
      <c r="T260" s="145">
        <f t="shared" si="134"/>
        <v>0</v>
      </c>
      <c r="U260" s="93" t="s">
        <v>1717</v>
      </c>
      <c r="V260" s="93" t="s">
        <v>1718</v>
      </c>
      <c r="W260" s="93"/>
      <c r="X260" s="93"/>
    </row>
    <row r="261" ht="24.0" customHeight="1">
      <c r="A261" s="93">
        <v>117.0</v>
      </c>
      <c r="B261" s="93" t="s">
        <v>334</v>
      </c>
      <c r="C261" s="93" t="s">
        <v>336</v>
      </c>
      <c r="D261" s="93" t="s">
        <v>1230</v>
      </c>
      <c r="E261" s="145">
        <v>-1.0</v>
      </c>
      <c r="F261" s="145">
        <f t="array" ref="F261">INDEX('Pilot inputs'!$K$15:$K$44,MATCH(B261,'Pilot inputs'!$B$15:$B$44,0))</f>
        <v>29.47</v>
      </c>
      <c r="G261" s="145">
        <f t="shared" si="128"/>
        <v>27.9965</v>
      </c>
      <c r="H261" s="145">
        <f t="array" ref="H261">IFERROR(IF(AND(INDEX('Pilot inputs'!$AQ$15:$AQ$44,MATCH(B261,'Pilot inputs'!$B$15:$B$44,0))=1,ISNUMBER($F$12),$F$12&gt;=0,$F$12&lt;1),INDEX('Pilot inputs'!$AG$15:$AG$44,MATCH(B261,'Pilot inputs'!$B$15:$B$44,0)),"Unranked"),"Unranked")</f>
        <v>100</v>
      </c>
      <c r="I261" s="145">
        <f>IFERROR(__xludf.DUMMYFUNCTION("IFERROR(IF(AND(INDEX('Pilot inputs'!$AQ$15:$AQ$44,MATCH(B261,'Pilot inputs'!$B$15:$B$44,0))=1,ISNUMBER($F$12),$F$12&gt;=0,$F$12&lt;1),INDEX('Pilot inputs'!$AL$15:$AL$44,MATCH(B261,'Pilot inputs'!$B$15:$B$44,0))+IF(C261=""Utilities"",0.4,0.35)*((100-LET(peer_val"&amp;"ues,FILTER('Pilot inputs'!$K$15:$K$44,'Pilot inputs'!$D$15:$D$44=INDEX('Pilot inputs'!$D$15:$D$44,MATCH(B261,'Pilot inputs'!$B$15:$B$44,0)),'Pilot inputs'!$B$15:$B$44&lt;&gt;B261,'Pilot inputs'!$AA$15:$AA$44=1),peer_count,ROWS(peer_values),IF(peer_count+1&lt;MAX(3"&amp;",Rules!$B$12),""Unranked"",100*(SUMPRODUCT(N(peer_values&lt;G261))+SUMPRODUCT(N(peer_values=G261))/2)/peer_count)))-INDEX('Pilot inputs'!$AH$15:$AH$44,MATCH(B261,'Pilot inputs'!$B$15:$B$44,0))),""Unranked""),""Unranked"")"),50.0)</f>
        <v>50</v>
      </c>
      <c r="J261" s="145">
        <f t="array" ref="J261">IFERROR(IF(AND(INDEX('Pilot inputs'!$AQ$15:$AQ$44,MATCH(B261,'Pilot inputs'!$B$15:$B$44,0))=1,ISNUMBER($F$12),$F$12&gt;=0,$F$12&lt;1),INDEX('Pilot inputs'!$AM$15:$AM$44,MATCH(B261,'Pilot inputs'!$B$15:$B$44,0)),"Unranked"),"Unranked")</f>
        <v>50</v>
      </c>
      <c r="K261" s="145">
        <f t="array" ref="K261">IFERROR(IF(AND(INDEX('Pilot inputs'!$AQ$15:$AQ$44,MATCH(B261,'Pilot inputs'!$B$15:$B$44,0))=1,ISNUMBER($F$12),$F$12&gt;=0,$F$12&lt;1),INDEX('Pilot inputs'!$AP$15:$AP$44,MATCH(B261,'Pilot inputs'!$B$15:$B$44,0)),"Unranked"),"Unranked")</f>
        <v>75</v>
      </c>
      <c r="L261" s="145">
        <f t="shared" si="129"/>
        <v>68.75</v>
      </c>
      <c r="M261" s="145">
        <f>IFERROR(__xludf.DUMMYFUNCTION("IFERROR(IF(ISNUMBER(L261),1+COUNTIF(FILTER($G$15:$G$24,$A$15:$A$24&lt;&gt;B261),""&gt;""&amp;L261)+COUNTIF(FILTER($G$15:$G$24,$A$15:$A$24&lt;&gt;B261),L261)/2,""Unranked""),""Unranked"")"),2.5)</f>
        <v>2.5</v>
      </c>
      <c r="N261" s="145">
        <f t="shared" si="130"/>
        <v>67.5</v>
      </c>
      <c r="O261" s="145">
        <f>IFERROR(__xludf.DUMMYFUNCTION("IFERROR(IF(ISNUMBER(N261),1+COUNTIF(FILTER($I$15:$I$24,$A$15:$A$24&lt;&gt;B261),""&gt;""&amp;N261)+COUNTIF(FILTER($I$15:$I$24,$A$15:$A$24&lt;&gt;B261),N261)/2,""Unranked""),""Unranked"")"),2.0)</f>
        <v>2</v>
      </c>
      <c r="P261" s="145">
        <f t="shared" si="131"/>
        <v>63.75</v>
      </c>
      <c r="Q261" s="145">
        <f>IFERROR(__xludf.DUMMYFUNCTION("IFERROR(IF(ISNUMBER(P261),1+COUNTIF(FILTER($K$15:$K$24,$A$15:$A$24&lt;&gt;B261),""&gt;""&amp;P261)+COUNTIF(FILTER($K$15:$K$24,$A$15:$A$24&lt;&gt;B261),P261)/2,""Unranked""),""Unranked"")"),2.0)</f>
        <v>2</v>
      </c>
      <c r="R261" s="145">
        <f t="shared" si="132"/>
        <v>0</v>
      </c>
      <c r="S261" s="145">
        <f t="shared" si="133"/>
        <v>0</v>
      </c>
      <c r="T261" s="145">
        <f t="shared" si="134"/>
        <v>0</v>
      </c>
      <c r="U261" s="93" t="s">
        <v>1717</v>
      </c>
      <c r="V261" s="93" t="s">
        <v>1718</v>
      </c>
      <c r="W261" s="93"/>
      <c r="X261" s="93"/>
    </row>
    <row r="262" ht="24.0" customHeight="1">
      <c r="A262" s="93">
        <v>118.0</v>
      </c>
      <c r="B262" s="93" t="s">
        <v>334</v>
      </c>
      <c r="C262" s="93" t="s">
        <v>336</v>
      </c>
      <c r="D262" s="93" t="s">
        <v>1230</v>
      </c>
      <c r="E262" s="145">
        <v>1.0</v>
      </c>
      <c r="F262" s="145">
        <f t="array" ref="F262">INDEX('Pilot inputs'!$K$15:$K$44,MATCH(B262,'Pilot inputs'!$B$15:$B$44,0))</f>
        <v>29.47</v>
      </c>
      <c r="G262" s="145">
        <f t="shared" si="128"/>
        <v>30.9435</v>
      </c>
      <c r="H262" s="145">
        <f t="array" ref="H262">IFERROR(IF(AND(INDEX('Pilot inputs'!$AQ$15:$AQ$44,MATCH(B262,'Pilot inputs'!$B$15:$B$44,0))=1,ISNUMBER($F$12),$F$12&gt;=0,$F$12&lt;1),INDEX('Pilot inputs'!$AG$15:$AG$44,MATCH(B262,'Pilot inputs'!$B$15:$B$44,0)),"Unranked"),"Unranked")</f>
        <v>100</v>
      </c>
      <c r="I262" s="145">
        <f>IFERROR(__xludf.DUMMYFUNCTION("IFERROR(IF(AND(INDEX('Pilot inputs'!$AQ$15:$AQ$44,MATCH(B262,'Pilot inputs'!$B$15:$B$44,0))=1,ISNUMBER($F$12),$F$12&gt;=0,$F$12&lt;1),INDEX('Pilot inputs'!$AL$15:$AL$44,MATCH(B262,'Pilot inputs'!$B$15:$B$44,0))+IF(C262=""Utilities"",0.4,0.35)*((100-LET(peer_val"&amp;"ues,FILTER('Pilot inputs'!$K$15:$K$44,'Pilot inputs'!$D$15:$D$44=INDEX('Pilot inputs'!$D$15:$D$44,MATCH(B262,'Pilot inputs'!$B$15:$B$44,0)),'Pilot inputs'!$B$15:$B$44&lt;&gt;B262,'Pilot inputs'!$AA$15:$AA$44=1),peer_count,ROWS(peer_values),IF(peer_count+1&lt;MAX(3"&amp;",Rules!$B$12),""Unranked"",100*(SUMPRODUCT(N(peer_values&lt;G262))+SUMPRODUCT(N(peer_values=G262))/2)/peer_count)))-INDEX('Pilot inputs'!$AH$15:$AH$44,MATCH(B262,'Pilot inputs'!$B$15:$B$44,0))),""Unranked""),""Unranked"")"),50.0)</f>
        <v>50</v>
      </c>
      <c r="J262" s="145">
        <f t="array" ref="J262">IFERROR(IF(AND(INDEX('Pilot inputs'!$AQ$15:$AQ$44,MATCH(B262,'Pilot inputs'!$B$15:$B$44,0))=1,ISNUMBER($F$12),$F$12&gt;=0,$F$12&lt;1),INDEX('Pilot inputs'!$AM$15:$AM$44,MATCH(B262,'Pilot inputs'!$B$15:$B$44,0)),"Unranked"),"Unranked")</f>
        <v>50</v>
      </c>
      <c r="K262" s="145">
        <f t="array" ref="K262">IFERROR(IF(AND(INDEX('Pilot inputs'!$AQ$15:$AQ$44,MATCH(B262,'Pilot inputs'!$B$15:$B$44,0))=1,ISNUMBER($F$12),$F$12&gt;=0,$F$12&lt;1),INDEX('Pilot inputs'!$AP$15:$AP$44,MATCH(B262,'Pilot inputs'!$B$15:$B$44,0)),"Unranked"),"Unranked")</f>
        <v>75</v>
      </c>
      <c r="L262" s="145">
        <f t="shared" si="129"/>
        <v>68.75</v>
      </c>
      <c r="M262" s="145">
        <f>IFERROR(__xludf.DUMMYFUNCTION("IFERROR(IF(ISNUMBER(L262),1+COUNTIF(FILTER($G$15:$G$24,$A$15:$A$24&lt;&gt;B262),""&gt;""&amp;L262)+COUNTIF(FILTER($G$15:$G$24,$A$15:$A$24&lt;&gt;B262),L262)/2,""Unranked""),""Unranked"")"),2.5)</f>
        <v>2.5</v>
      </c>
      <c r="N262" s="145">
        <f t="shared" si="130"/>
        <v>67.5</v>
      </c>
      <c r="O262" s="145">
        <f>IFERROR(__xludf.DUMMYFUNCTION("IFERROR(IF(ISNUMBER(N262),1+COUNTIF(FILTER($I$15:$I$24,$A$15:$A$24&lt;&gt;B262),""&gt;""&amp;N262)+COUNTIF(FILTER($I$15:$I$24,$A$15:$A$24&lt;&gt;B262),N262)/2,""Unranked""),""Unranked"")"),2.0)</f>
        <v>2</v>
      </c>
      <c r="P262" s="145">
        <f t="shared" si="131"/>
        <v>63.75</v>
      </c>
      <c r="Q262" s="145">
        <f>IFERROR(__xludf.DUMMYFUNCTION("IFERROR(IF(ISNUMBER(P262),1+COUNTIF(FILTER($K$15:$K$24,$A$15:$A$24&lt;&gt;B262),""&gt;""&amp;P262)+COUNTIF(FILTER($K$15:$K$24,$A$15:$A$24&lt;&gt;B262),P262)/2,""Unranked""),""Unranked"")"),2.0)</f>
        <v>2</v>
      </c>
      <c r="R262" s="145">
        <f t="shared" si="132"/>
        <v>0</v>
      </c>
      <c r="S262" s="145">
        <f t="shared" si="133"/>
        <v>0</v>
      </c>
      <c r="T262" s="145">
        <f t="shared" si="134"/>
        <v>0</v>
      </c>
      <c r="U262" s="93" t="s">
        <v>1717</v>
      </c>
      <c r="V262" s="93" t="s">
        <v>1718</v>
      </c>
      <c r="W262" s="93"/>
      <c r="X262" s="93"/>
    </row>
    <row r="263" ht="24.0" customHeight="1">
      <c r="A263" s="93">
        <v>119.0</v>
      </c>
      <c r="B263" s="93" t="s">
        <v>334</v>
      </c>
      <c r="C263" s="93" t="s">
        <v>336</v>
      </c>
      <c r="D263" s="93" t="s">
        <v>1740</v>
      </c>
      <c r="E263" s="145">
        <v>-1.0</v>
      </c>
      <c r="F263" s="145">
        <f t="array" ref="F263">INDEX('Pilot inputs'!$L$15:$L$44,MATCH(B263,'Pilot inputs'!$B$15:$B$44,0))</f>
        <v>19.5</v>
      </c>
      <c r="G263" s="145">
        <f t="shared" si="128"/>
        <v>18.525</v>
      </c>
      <c r="H263" s="145">
        <f t="array" ref="H263">IFERROR(IF(AND(INDEX('Pilot inputs'!$AQ$15:$AQ$44,MATCH(B263,'Pilot inputs'!$B$15:$B$44,0))=1,ISNUMBER($F$12),$F$12&gt;=0,$F$12&lt;1),INDEX('Pilot inputs'!$AG$15:$AG$44,MATCH(B263,'Pilot inputs'!$B$15:$B$44,0)),"Unranked"),"Unranked")</f>
        <v>100</v>
      </c>
      <c r="I263" s="145">
        <f>IFERROR(__xludf.DUMMYFUNCTION("IFERROR(IF(AND(INDEX('Pilot inputs'!$AQ$15:$AQ$44,MATCH(B263,'Pilot inputs'!$B$15:$B$44,0))=1,ISNUMBER($F$12),$F$12&gt;=0,$F$12&lt;1),INDEX('Pilot inputs'!$AL$15:$AL$44,MATCH(B263,'Pilot inputs'!$B$15:$B$44,0))+IF(C263=""Utilities"",0.4,0.35)*((100-LET(peer_val"&amp;"ues,FILTER('Pilot inputs'!$L$15:$L$44,'Pilot inputs'!$D$15:$D$44=INDEX('Pilot inputs'!$D$15:$D$44,MATCH(B263,'Pilot inputs'!$B$15:$B$44,0)),'Pilot inputs'!$B$15:$B$44&lt;&gt;B263,'Pilot inputs'!$AA$15:$AA$44=1),peer_count,ROWS(peer_values),IF(peer_count+1&lt;MAX(3"&amp;",Rules!$B$12),""Unranked"",100*(SUMPRODUCT(N(peer_values&lt;G263))+SUMPRODUCT(N(peer_values=G263))/2)/peer_count)))-INDEX('Pilot inputs'!$AI$15:$AI$44,MATCH(B263,'Pilot inputs'!$B$15:$B$44,0))),""Unranked""),""Unranked"")"),50.0)</f>
        <v>50</v>
      </c>
      <c r="J263" s="145">
        <f t="array" ref="J263">IFERROR(IF(AND(INDEX('Pilot inputs'!$AQ$15:$AQ$44,MATCH(B263,'Pilot inputs'!$B$15:$B$44,0))=1,ISNUMBER($F$12),$F$12&gt;=0,$F$12&lt;1),INDEX('Pilot inputs'!$AM$15:$AM$44,MATCH(B263,'Pilot inputs'!$B$15:$B$44,0)),"Unranked"),"Unranked")</f>
        <v>50</v>
      </c>
      <c r="K263" s="145">
        <f t="array" ref="K263">IFERROR(IF(AND(INDEX('Pilot inputs'!$AQ$15:$AQ$44,MATCH(B263,'Pilot inputs'!$B$15:$B$44,0))=1,ISNUMBER($F$12),$F$12&gt;=0,$F$12&lt;1),INDEX('Pilot inputs'!$AP$15:$AP$44,MATCH(B263,'Pilot inputs'!$B$15:$B$44,0)),"Unranked"),"Unranked")</f>
        <v>75</v>
      </c>
      <c r="L263" s="145">
        <f t="shared" si="129"/>
        <v>68.75</v>
      </c>
      <c r="M263" s="145">
        <f>IFERROR(__xludf.DUMMYFUNCTION("IFERROR(IF(ISNUMBER(L263),1+COUNTIF(FILTER($G$15:$G$24,$A$15:$A$24&lt;&gt;B263),""&gt;""&amp;L263)+COUNTIF(FILTER($G$15:$G$24,$A$15:$A$24&lt;&gt;B263),L263)/2,""Unranked""),""Unranked"")"),2.5)</f>
        <v>2.5</v>
      </c>
      <c r="N263" s="145">
        <f t="shared" si="130"/>
        <v>67.5</v>
      </c>
      <c r="O263" s="145">
        <f>IFERROR(__xludf.DUMMYFUNCTION("IFERROR(IF(ISNUMBER(N263),1+COUNTIF(FILTER($I$15:$I$24,$A$15:$A$24&lt;&gt;B263),""&gt;""&amp;N263)+COUNTIF(FILTER($I$15:$I$24,$A$15:$A$24&lt;&gt;B263),N263)/2,""Unranked""),""Unranked"")"),2.0)</f>
        <v>2</v>
      </c>
      <c r="P263" s="145">
        <f t="shared" si="131"/>
        <v>63.75</v>
      </c>
      <c r="Q263" s="145">
        <f>IFERROR(__xludf.DUMMYFUNCTION("IFERROR(IF(ISNUMBER(P263),1+COUNTIF(FILTER($K$15:$K$24,$A$15:$A$24&lt;&gt;B263),""&gt;""&amp;P263)+COUNTIF(FILTER($K$15:$K$24,$A$15:$A$24&lt;&gt;B263),P263)/2,""Unranked""),""Unranked"")"),2.0)</f>
        <v>2</v>
      </c>
      <c r="R263" s="145">
        <f t="shared" si="132"/>
        <v>0</v>
      </c>
      <c r="S263" s="145">
        <f t="shared" si="133"/>
        <v>0</v>
      </c>
      <c r="T263" s="145">
        <f t="shared" si="134"/>
        <v>0</v>
      </c>
      <c r="U263" s="93" t="s">
        <v>1717</v>
      </c>
      <c r="V263" s="93" t="s">
        <v>1718</v>
      </c>
      <c r="W263" s="93"/>
      <c r="X263" s="93"/>
    </row>
    <row r="264" ht="24.0" customHeight="1">
      <c r="A264" s="93">
        <v>120.0</v>
      </c>
      <c r="B264" s="93" t="s">
        <v>334</v>
      </c>
      <c r="C264" s="93" t="s">
        <v>336</v>
      </c>
      <c r="D264" s="93" t="s">
        <v>1740</v>
      </c>
      <c r="E264" s="145">
        <v>1.0</v>
      </c>
      <c r="F264" s="145">
        <f t="array" ref="F264">INDEX('Pilot inputs'!$L$15:$L$44,MATCH(B264,'Pilot inputs'!$B$15:$B$44,0))</f>
        <v>19.5</v>
      </c>
      <c r="G264" s="145">
        <f t="shared" si="128"/>
        <v>20.475</v>
      </c>
      <c r="H264" s="145">
        <f t="array" ref="H264">IFERROR(IF(AND(INDEX('Pilot inputs'!$AQ$15:$AQ$44,MATCH(B264,'Pilot inputs'!$B$15:$B$44,0))=1,ISNUMBER($F$12),$F$12&gt;=0,$F$12&lt;1),INDEX('Pilot inputs'!$AG$15:$AG$44,MATCH(B264,'Pilot inputs'!$B$15:$B$44,0)),"Unranked"),"Unranked")</f>
        <v>100</v>
      </c>
      <c r="I264" s="145">
        <f>IFERROR(__xludf.DUMMYFUNCTION("IFERROR(IF(AND(INDEX('Pilot inputs'!$AQ$15:$AQ$44,MATCH(B264,'Pilot inputs'!$B$15:$B$44,0))=1,ISNUMBER($F$12),$F$12&gt;=0,$F$12&lt;1),INDEX('Pilot inputs'!$AL$15:$AL$44,MATCH(B264,'Pilot inputs'!$B$15:$B$44,0))+IF(C264=""Utilities"",0.4,0.35)*((100-LET(peer_val"&amp;"ues,FILTER('Pilot inputs'!$L$15:$L$44,'Pilot inputs'!$D$15:$D$44=INDEX('Pilot inputs'!$D$15:$D$44,MATCH(B264,'Pilot inputs'!$B$15:$B$44,0)),'Pilot inputs'!$B$15:$B$44&lt;&gt;B264,'Pilot inputs'!$AA$15:$AA$44=1),peer_count,ROWS(peer_values),IF(peer_count+1&lt;MAX(3"&amp;",Rules!$B$12),""Unranked"",100*(SUMPRODUCT(N(peer_values&lt;G264))+SUMPRODUCT(N(peer_values=G264))/2)/peer_count)))-INDEX('Pilot inputs'!$AI$15:$AI$44,MATCH(B264,'Pilot inputs'!$B$15:$B$44,0))),""Unranked""),""Unranked"")"),50.0)</f>
        <v>50</v>
      </c>
      <c r="J264" s="145">
        <f t="array" ref="J264">IFERROR(IF(AND(INDEX('Pilot inputs'!$AQ$15:$AQ$44,MATCH(B264,'Pilot inputs'!$B$15:$B$44,0))=1,ISNUMBER($F$12),$F$12&gt;=0,$F$12&lt;1),INDEX('Pilot inputs'!$AM$15:$AM$44,MATCH(B264,'Pilot inputs'!$B$15:$B$44,0)),"Unranked"),"Unranked")</f>
        <v>50</v>
      </c>
      <c r="K264" s="145">
        <f t="array" ref="K264">IFERROR(IF(AND(INDEX('Pilot inputs'!$AQ$15:$AQ$44,MATCH(B264,'Pilot inputs'!$B$15:$B$44,0))=1,ISNUMBER($F$12),$F$12&gt;=0,$F$12&lt;1),INDEX('Pilot inputs'!$AP$15:$AP$44,MATCH(B264,'Pilot inputs'!$B$15:$B$44,0)),"Unranked"),"Unranked")</f>
        <v>75</v>
      </c>
      <c r="L264" s="145">
        <f t="shared" si="129"/>
        <v>68.75</v>
      </c>
      <c r="M264" s="145">
        <f>IFERROR(__xludf.DUMMYFUNCTION("IFERROR(IF(ISNUMBER(L264),1+COUNTIF(FILTER($G$15:$G$24,$A$15:$A$24&lt;&gt;B264),""&gt;""&amp;L264)+COUNTIF(FILTER($G$15:$G$24,$A$15:$A$24&lt;&gt;B264),L264)/2,""Unranked""),""Unranked"")"),2.5)</f>
        <v>2.5</v>
      </c>
      <c r="N264" s="145">
        <f t="shared" si="130"/>
        <v>67.5</v>
      </c>
      <c r="O264" s="145">
        <f>IFERROR(__xludf.DUMMYFUNCTION("IFERROR(IF(ISNUMBER(N264),1+COUNTIF(FILTER($I$15:$I$24,$A$15:$A$24&lt;&gt;B264),""&gt;""&amp;N264)+COUNTIF(FILTER($I$15:$I$24,$A$15:$A$24&lt;&gt;B264),N264)/2,""Unranked""),""Unranked"")"),2.0)</f>
        <v>2</v>
      </c>
      <c r="P264" s="145">
        <f t="shared" si="131"/>
        <v>63.75</v>
      </c>
      <c r="Q264" s="145">
        <f>IFERROR(__xludf.DUMMYFUNCTION("IFERROR(IF(ISNUMBER(P264),1+COUNTIF(FILTER($K$15:$K$24,$A$15:$A$24&lt;&gt;B264),""&gt;""&amp;P264)+COUNTIF(FILTER($K$15:$K$24,$A$15:$A$24&lt;&gt;B264),P264)/2,""Unranked""),""Unranked"")"),2.0)</f>
        <v>2</v>
      </c>
      <c r="R264" s="145">
        <f t="shared" si="132"/>
        <v>0</v>
      </c>
      <c r="S264" s="145">
        <f t="shared" si="133"/>
        <v>0</v>
      </c>
      <c r="T264" s="145">
        <f t="shared" si="134"/>
        <v>0</v>
      </c>
      <c r="U264" s="93" t="s">
        <v>1717</v>
      </c>
      <c r="V264" s="93" t="s">
        <v>1718</v>
      </c>
      <c r="W264" s="93"/>
      <c r="X264" s="93"/>
    </row>
    <row r="265" ht="24.0" customHeight="1">
      <c r="A265" s="93">
        <v>121.0</v>
      </c>
      <c r="B265" s="93" t="s">
        <v>334</v>
      </c>
      <c r="C265" s="93" t="s">
        <v>336</v>
      </c>
      <c r="D265" s="93" t="s">
        <v>1741</v>
      </c>
      <c r="E265" s="145">
        <v>-1.0</v>
      </c>
      <c r="F265" s="145">
        <f t="array" ref="F265">INDEX('Pilot inputs'!$M$15:$M$44,MATCH(B265,'Pilot inputs'!$B$15:$B$44,0))</f>
        <v>0.0417</v>
      </c>
      <c r="G265" s="145">
        <f t="shared" si="128"/>
        <v>0.039615</v>
      </c>
      <c r="H265" s="145">
        <f t="array" ref="H265">IFERROR(IF(AND(INDEX('Pilot inputs'!$AQ$15:$AQ$44,MATCH(B265,'Pilot inputs'!$B$15:$B$44,0))=1,ISNUMBER($F$12),$F$12&gt;=0,$F$12&lt;1),INDEX('Pilot inputs'!$AG$15:$AG$44,MATCH(B265,'Pilot inputs'!$B$15:$B$44,0)),"Unranked"),"Unranked")</f>
        <v>100</v>
      </c>
      <c r="I265" s="145">
        <f>IFERROR(__xludf.DUMMYFUNCTION("IFERROR(IF(AND(INDEX('Pilot inputs'!$AQ$15:$AQ$44,MATCH(B265,'Pilot inputs'!$B$15:$B$44,0))=1,ISNUMBER($F$12),$F$12&gt;=0,$F$12&lt;1),INDEX('Pilot inputs'!$AL$15:$AL$44,MATCH(B265,'Pilot inputs'!$B$15:$B$44,0))+0.3*((LET(peer_values,FILTER('Pilot inputs'!$M$15:"&amp;"$M$44,'Pilot inputs'!$D$15:$D$44=INDEX('Pilot inputs'!$D$15:$D$44,MATCH(B265,'Pilot inputs'!$B$15:$B$44,0)),'Pilot inputs'!$B$15:$B$44&lt;&gt;B265,'Pilot inputs'!$AA$15:$AA$44=1),peer_count,ROWS(peer_values),IF(peer_count+1&lt;MAX(3,Rules!$B$12),""Unranked"",100*("&amp;"SUMPRODUCT(N(peer_values&lt;G265))+SUMPRODUCT(N(peer_values=G265))/2)/peer_count)))-INDEX('Pilot inputs'!$AJ$15:$AJ$44,MATCH(B265,'Pilot inputs'!$B$15:$B$44,0))),""Unranked""),""Unranked"")"),50.0)</f>
        <v>50</v>
      </c>
      <c r="J265" s="145">
        <f t="array" ref="J265">IFERROR(IF(AND(INDEX('Pilot inputs'!$AQ$15:$AQ$44,MATCH(B265,'Pilot inputs'!$B$15:$B$44,0))=1,ISNUMBER($F$12),$F$12&gt;=0,$F$12&lt;1),INDEX('Pilot inputs'!$AM$15:$AM$44,MATCH(B265,'Pilot inputs'!$B$15:$B$44,0)),"Unranked"),"Unranked")</f>
        <v>50</v>
      </c>
      <c r="K265" s="145">
        <f t="array" ref="K265">IFERROR(IF(AND(INDEX('Pilot inputs'!$AQ$15:$AQ$44,MATCH(B265,'Pilot inputs'!$B$15:$B$44,0))=1,ISNUMBER($F$12),$F$12&gt;=0,$F$12&lt;1),INDEX('Pilot inputs'!$AP$15:$AP$44,MATCH(B265,'Pilot inputs'!$B$15:$B$44,0)),"Unranked"),"Unranked")</f>
        <v>75</v>
      </c>
      <c r="L265" s="145">
        <f t="shared" si="129"/>
        <v>68.75</v>
      </c>
      <c r="M265" s="145">
        <f>IFERROR(__xludf.DUMMYFUNCTION("IFERROR(IF(ISNUMBER(L265),1+COUNTIF(FILTER($G$15:$G$24,$A$15:$A$24&lt;&gt;B265),""&gt;""&amp;L265)+COUNTIF(FILTER($G$15:$G$24,$A$15:$A$24&lt;&gt;B265),L265)/2,""Unranked""),""Unranked"")"),2.5)</f>
        <v>2.5</v>
      </c>
      <c r="N265" s="145">
        <f t="shared" si="130"/>
        <v>67.5</v>
      </c>
      <c r="O265" s="145">
        <f>IFERROR(__xludf.DUMMYFUNCTION("IFERROR(IF(ISNUMBER(N265),1+COUNTIF(FILTER($I$15:$I$24,$A$15:$A$24&lt;&gt;B265),""&gt;""&amp;N265)+COUNTIF(FILTER($I$15:$I$24,$A$15:$A$24&lt;&gt;B265),N265)/2,""Unranked""),""Unranked"")"),2.0)</f>
        <v>2</v>
      </c>
      <c r="P265" s="145">
        <f t="shared" si="131"/>
        <v>63.75</v>
      </c>
      <c r="Q265" s="145">
        <f>IFERROR(__xludf.DUMMYFUNCTION("IFERROR(IF(ISNUMBER(P265),1+COUNTIF(FILTER($K$15:$K$24,$A$15:$A$24&lt;&gt;B265),""&gt;""&amp;P265)+COUNTIF(FILTER($K$15:$K$24,$A$15:$A$24&lt;&gt;B265),P265)/2,""Unranked""),""Unranked"")"),2.0)</f>
        <v>2</v>
      </c>
      <c r="R265" s="145">
        <f t="shared" si="132"/>
        <v>0</v>
      </c>
      <c r="S265" s="145">
        <f t="shared" si="133"/>
        <v>0</v>
      </c>
      <c r="T265" s="145">
        <f t="shared" si="134"/>
        <v>0</v>
      </c>
      <c r="U265" s="93" t="s">
        <v>1717</v>
      </c>
      <c r="V265" s="93" t="s">
        <v>1718</v>
      </c>
      <c r="W265" s="93"/>
      <c r="X265" s="93"/>
    </row>
    <row r="266" ht="24.0" customHeight="1">
      <c r="A266" s="93">
        <v>122.0</v>
      </c>
      <c r="B266" s="93" t="s">
        <v>334</v>
      </c>
      <c r="C266" s="93" t="s">
        <v>336</v>
      </c>
      <c r="D266" s="93" t="s">
        <v>1741</v>
      </c>
      <c r="E266" s="145">
        <v>1.0</v>
      </c>
      <c r="F266" s="145">
        <f t="array" ref="F266">INDEX('Pilot inputs'!$M$15:$M$44,MATCH(B266,'Pilot inputs'!$B$15:$B$44,0))</f>
        <v>0.0417</v>
      </c>
      <c r="G266" s="145">
        <f t="shared" si="128"/>
        <v>0.043785</v>
      </c>
      <c r="H266" s="145">
        <f t="array" ref="H266">IFERROR(IF(AND(INDEX('Pilot inputs'!$AQ$15:$AQ$44,MATCH(B266,'Pilot inputs'!$B$15:$B$44,0))=1,ISNUMBER($F$12),$F$12&gt;=0,$F$12&lt;1),INDEX('Pilot inputs'!$AG$15:$AG$44,MATCH(B266,'Pilot inputs'!$B$15:$B$44,0)),"Unranked"),"Unranked")</f>
        <v>100</v>
      </c>
      <c r="I266" s="145">
        <f>IFERROR(__xludf.DUMMYFUNCTION("IFERROR(IF(AND(INDEX('Pilot inputs'!$AQ$15:$AQ$44,MATCH(B266,'Pilot inputs'!$B$15:$B$44,0))=1,ISNUMBER($F$12),$F$12&gt;=0,$F$12&lt;1),INDEX('Pilot inputs'!$AL$15:$AL$44,MATCH(B266,'Pilot inputs'!$B$15:$B$44,0))+0.3*((LET(peer_values,FILTER('Pilot inputs'!$M$15:"&amp;"$M$44,'Pilot inputs'!$D$15:$D$44=INDEX('Pilot inputs'!$D$15:$D$44,MATCH(B266,'Pilot inputs'!$B$15:$B$44,0)),'Pilot inputs'!$B$15:$B$44&lt;&gt;B266,'Pilot inputs'!$AA$15:$AA$44=1),peer_count,ROWS(peer_values),IF(peer_count+1&lt;MAX(3,Rules!$B$12),""Unranked"",100*("&amp;"SUMPRODUCT(N(peer_values&lt;G266))+SUMPRODUCT(N(peer_values=G266))/2)/peer_count)))-INDEX('Pilot inputs'!$AJ$15:$AJ$44,MATCH(B266,'Pilot inputs'!$B$15:$B$44,0))),""Unranked""),""Unranked"")"),50.0)</f>
        <v>50</v>
      </c>
      <c r="J266" s="145">
        <f t="array" ref="J266">IFERROR(IF(AND(INDEX('Pilot inputs'!$AQ$15:$AQ$44,MATCH(B266,'Pilot inputs'!$B$15:$B$44,0))=1,ISNUMBER($F$12),$F$12&gt;=0,$F$12&lt;1),INDEX('Pilot inputs'!$AM$15:$AM$44,MATCH(B266,'Pilot inputs'!$B$15:$B$44,0)),"Unranked"),"Unranked")</f>
        <v>50</v>
      </c>
      <c r="K266" s="145">
        <f t="array" ref="K266">IFERROR(IF(AND(INDEX('Pilot inputs'!$AQ$15:$AQ$44,MATCH(B266,'Pilot inputs'!$B$15:$B$44,0))=1,ISNUMBER($F$12),$F$12&gt;=0,$F$12&lt;1),INDEX('Pilot inputs'!$AP$15:$AP$44,MATCH(B266,'Pilot inputs'!$B$15:$B$44,0)),"Unranked"),"Unranked")</f>
        <v>75</v>
      </c>
      <c r="L266" s="145">
        <f t="shared" si="129"/>
        <v>68.75</v>
      </c>
      <c r="M266" s="145">
        <f>IFERROR(__xludf.DUMMYFUNCTION("IFERROR(IF(ISNUMBER(L266),1+COUNTIF(FILTER($G$15:$G$24,$A$15:$A$24&lt;&gt;B266),""&gt;""&amp;L266)+COUNTIF(FILTER($G$15:$G$24,$A$15:$A$24&lt;&gt;B266),L266)/2,""Unranked""),""Unranked"")"),2.5)</f>
        <v>2.5</v>
      </c>
      <c r="N266" s="145">
        <f t="shared" si="130"/>
        <v>67.5</v>
      </c>
      <c r="O266" s="145">
        <f>IFERROR(__xludf.DUMMYFUNCTION("IFERROR(IF(ISNUMBER(N266),1+COUNTIF(FILTER($I$15:$I$24,$A$15:$A$24&lt;&gt;B266),""&gt;""&amp;N266)+COUNTIF(FILTER($I$15:$I$24,$A$15:$A$24&lt;&gt;B266),N266)/2,""Unranked""),""Unranked"")"),2.0)</f>
        <v>2</v>
      </c>
      <c r="P266" s="145">
        <f t="shared" si="131"/>
        <v>63.75</v>
      </c>
      <c r="Q266" s="145">
        <f>IFERROR(__xludf.DUMMYFUNCTION("IFERROR(IF(ISNUMBER(P266),1+COUNTIF(FILTER($K$15:$K$24,$A$15:$A$24&lt;&gt;B266),""&gt;""&amp;P266)+COUNTIF(FILTER($K$15:$K$24,$A$15:$A$24&lt;&gt;B266),P266)/2,""Unranked""),""Unranked"")"),2.0)</f>
        <v>2</v>
      </c>
      <c r="R266" s="145">
        <f t="shared" si="132"/>
        <v>0</v>
      </c>
      <c r="S266" s="145">
        <f t="shared" si="133"/>
        <v>0</v>
      </c>
      <c r="T266" s="145">
        <f t="shared" si="134"/>
        <v>0</v>
      </c>
      <c r="U266" s="93" t="s">
        <v>1717</v>
      </c>
      <c r="V266" s="93" t="s">
        <v>1718</v>
      </c>
      <c r="W266" s="93"/>
      <c r="X266" s="93"/>
    </row>
    <row r="267" ht="24.0" customHeight="1">
      <c r="A267" s="93">
        <v>123.0</v>
      </c>
      <c r="B267" s="93" t="s">
        <v>334</v>
      </c>
      <c r="C267" s="93" t="s">
        <v>336</v>
      </c>
      <c r="D267" s="93" t="s">
        <v>1235</v>
      </c>
      <c r="E267" s="145">
        <v>-1.0</v>
      </c>
      <c r="F267" s="145">
        <f t="array" ref="F267">INDEX('Pilot inputs'!$O$15:$O$44,MATCH(B267,'Pilot inputs'!$B$15:$B$44,0))</f>
        <v>0.1639</v>
      </c>
      <c r="G267" s="145">
        <f t="shared" si="128"/>
        <v>0.155705</v>
      </c>
      <c r="H267" s="145">
        <f t="array" ref="H267">IFERROR(IF(AND(INDEX('Pilot inputs'!$AQ$15:$AQ$44,MATCH(B267,'Pilot inputs'!$B$15:$B$44,0))=1,ISNUMBER($F$12),$F$12&gt;=0,$F$12&lt;1),INDEX('Pilot inputs'!$AG$15:$AG$44,MATCH(B267,'Pilot inputs'!$B$15:$B$44,0)),"Unranked"),"Unranked")</f>
        <v>100</v>
      </c>
      <c r="I267" s="145">
        <f t="array" ref="I267">IFERROR(IF(AND(INDEX('Pilot inputs'!$AQ$15:$AQ$44,MATCH(B267,'Pilot inputs'!$B$15:$B$44,0))=1,ISNUMBER($F$12),$F$12&gt;=0,$F$12&lt;1),INDEX('Pilot inputs'!$AL$15:$AL$44,MATCH(B267,'Pilot inputs'!$B$15:$B$44,0)),"Unranked"),"Unranked")</f>
        <v>50</v>
      </c>
      <c r="J267" s="145">
        <f t="array" ref="J267">IFERROR(IF(AND(INDEX('Pilot inputs'!$AQ$15:$AQ$44,MATCH(B267,'Pilot inputs'!$B$15:$B$44,0))=1,ISNUMBER($F$12),$F$12&gt;=0,$F$12&lt;1),INDEX('Pilot inputs'!$AM$15:$AM$44,MATCH(B267,'Pilot inputs'!$B$15:$B$44,0)),"Unranked"),"Unranked")</f>
        <v>50</v>
      </c>
      <c r="K267" s="145">
        <f>IFERROR(__xludf.DUMMYFUNCTION("IFERROR(IF(AND(INDEX('Pilot inputs'!$AQ$15:$AQ$44,MATCH(B267,'Pilot inputs'!$B$15:$B$44,0))=1,ISNUMBER($F$12),$F$12&gt;=0,$F$12&lt;1),(LET(peer_values,FILTER('Pilot inputs'!$O$15:$O$44,'Pilot inputs'!$D$15:$D$44=INDEX('Pilot inputs'!$D$15:$D$44,MATCH(B267,'Pilo"&amp;"t inputs'!$B$15:$B$44,0)),'Pilot inputs'!$B$15:$B$44&lt;&gt;B267,'Pilot inputs'!$AA$15:$AA$44=1),peer_count,ROWS(peer_values),IF(peer_count+1&lt;MAX(3,Rules!$B$12),""Unranked"",100*(SUMPRODUCT(N(peer_values&lt;G267))+SUMPRODUCT(N(peer_values=G267))/2)/peer_count))+IN"&amp;"DEX('Pilot inputs'!$AO$15:$AO$44,MATCH(B267,'Pilot inputs'!$B$15:$B$44,0)))/2,""Unranked""),""Unranked"")"),75.0)</f>
        <v>75</v>
      </c>
      <c r="L267" s="145">
        <f t="shared" si="129"/>
        <v>68.75</v>
      </c>
      <c r="M267" s="145">
        <f>IFERROR(__xludf.DUMMYFUNCTION("IFERROR(IF(ISNUMBER(L267),1+COUNTIF(FILTER($G$15:$G$24,$A$15:$A$24&lt;&gt;B267),""&gt;""&amp;L267)+COUNTIF(FILTER($G$15:$G$24,$A$15:$A$24&lt;&gt;B267),L267)/2,""Unranked""),""Unranked"")"),2.5)</f>
        <v>2.5</v>
      </c>
      <c r="N267" s="145">
        <f t="shared" si="130"/>
        <v>67.5</v>
      </c>
      <c r="O267" s="145">
        <f>IFERROR(__xludf.DUMMYFUNCTION("IFERROR(IF(ISNUMBER(N267),1+COUNTIF(FILTER($I$15:$I$24,$A$15:$A$24&lt;&gt;B267),""&gt;""&amp;N267)+COUNTIF(FILTER($I$15:$I$24,$A$15:$A$24&lt;&gt;B267),N267)/2,""Unranked""),""Unranked"")"),2.0)</f>
        <v>2</v>
      </c>
      <c r="P267" s="145">
        <f t="shared" si="131"/>
        <v>63.75</v>
      </c>
      <c r="Q267" s="145">
        <f>IFERROR(__xludf.DUMMYFUNCTION("IFERROR(IF(ISNUMBER(P267),1+COUNTIF(FILTER($K$15:$K$24,$A$15:$A$24&lt;&gt;B267),""&gt;""&amp;P267)+COUNTIF(FILTER($K$15:$K$24,$A$15:$A$24&lt;&gt;B267),P267)/2,""Unranked""),""Unranked"")"),2.0)</f>
        <v>2</v>
      </c>
      <c r="R267" s="145">
        <f t="shared" si="132"/>
        <v>0</v>
      </c>
      <c r="S267" s="145">
        <f t="shared" si="133"/>
        <v>0</v>
      </c>
      <c r="T267" s="145">
        <f t="shared" si="134"/>
        <v>0</v>
      </c>
      <c r="U267" s="93" t="s">
        <v>1717</v>
      </c>
      <c r="V267" s="93" t="s">
        <v>1718</v>
      </c>
      <c r="W267" s="93"/>
      <c r="X267" s="93"/>
    </row>
    <row r="268" ht="24.0" customHeight="1">
      <c r="A268" s="93">
        <v>124.0</v>
      </c>
      <c r="B268" s="93" t="s">
        <v>334</v>
      </c>
      <c r="C268" s="93" t="s">
        <v>336</v>
      </c>
      <c r="D268" s="93" t="s">
        <v>1235</v>
      </c>
      <c r="E268" s="145">
        <v>1.0</v>
      </c>
      <c r="F268" s="145">
        <f t="array" ref="F268">INDEX('Pilot inputs'!$O$15:$O$44,MATCH(B268,'Pilot inputs'!$B$15:$B$44,0))</f>
        <v>0.1639</v>
      </c>
      <c r="G268" s="145">
        <f t="shared" si="128"/>
        <v>0.172095</v>
      </c>
      <c r="H268" s="145">
        <f t="array" ref="H268">IFERROR(IF(AND(INDEX('Pilot inputs'!$AQ$15:$AQ$44,MATCH(B268,'Pilot inputs'!$B$15:$B$44,0))=1,ISNUMBER($F$12),$F$12&gt;=0,$F$12&lt;1),INDEX('Pilot inputs'!$AG$15:$AG$44,MATCH(B268,'Pilot inputs'!$B$15:$B$44,0)),"Unranked"),"Unranked")</f>
        <v>100</v>
      </c>
      <c r="I268" s="145">
        <f t="array" ref="I268">IFERROR(IF(AND(INDEX('Pilot inputs'!$AQ$15:$AQ$44,MATCH(B268,'Pilot inputs'!$B$15:$B$44,0))=1,ISNUMBER($F$12),$F$12&gt;=0,$F$12&lt;1),INDEX('Pilot inputs'!$AL$15:$AL$44,MATCH(B268,'Pilot inputs'!$B$15:$B$44,0)),"Unranked"),"Unranked")</f>
        <v>50</v>
      </c>
      <c r="J268" s="145">
        <f t="array" ref="J268">IFERROR(IF(AND(INDEX('Pilot inputs'!$AQ$15:$AQ$44,MATCH(B268,'Pilot inputs'!$B$15:$B$44,0))=1,ISNUMBER($F$12),$F$12&gt;=0,$F$12&lt;1),INDEX('Pilot inputs'!$AM$15:$AM$44,MATCH(B268,'Pilot inputs'!$B$15:$B$44,0)),"Unranked"),"Unranked")</f>
        <v>50</v>
      </c>
      <c r="K268" s="145">
        <f>IFERROR(__xludf.DUMMYFUNCTION("IFERROR(IF(AND(INDEX('Pilot inputs'!$AQ$15:$AQ$44,MATCH(B268,'Pilot inputs'!$B$15:$B$44,0))=1,ISNUMBER($F$12),$F$12&gt;=0,$F$12&lt;1),(LET(peer_values,FILTER('Pilot inputs'!$O$15:$O$44,'Pilot inputs'!$D$15:$D$44=INDEX('Pilot inputs'!$D$15:$D$44,MATCH(B268,'Pilo"&amp;"t inputs'!$B$15:$B$44,0)),'Pilot inputs'!$B$15:$B$44&lt;&gt;B268,'Pilot inputs'!$AA$15:$AA$44=1),peer_count,ROWS(peer_values),IF(peer_count+1&lt;MAX(3,Rules!$B$12),""Unranked"",100*(SUMPRODUCT(N(peer_values&lt;G268))+SUMPRODUCT(N(peer_values=G268))/2)/peer_count))+IN"&amp;"DEX('Pilot inputs'!$AO$15:$AO$44,MATCH(B268,'Pilot inputs'!$B$15:$B$44,0)))/2,""Unranked""),""Unranked"")"),75.0)</f>
        <v>75</v>
      </c>
      <c r="L268" s="145">
        <f t="shared" si="129"/>
        <v>68.75</v>
      </c>
      <c r="M268" s="145">
        <f>IFERROR(__xludf.DUMMYFUNCTION("IFERROR(IF(ISNUMBER(L268),1+COUNTIF(FILTER($G$15:$G$24,$A$15:$A$24&lt;&gt;B268),""&gt;""&amp;L268)+COUNTIF(FILTER($G$15:$G$24,$A$15:$A$24&lt;&gt;B268),L268)/2,""Unranked""),""Unranked"")"),2.5)</f>
        <v>2.5</v>
      </c>
      <c r="N268" s="145">
        <f t="shared" si="130"/>
        <v>67.5</v>
      </c>
      <c r="O268" s="145">
        <f>IFERROR(__xludf.DUMMYFUNCTION("IFERROR(IF(ISNUMBER(N268),1+COUNTIF(FILTER($I$15:$I$24,$A$15:$A$24&lt;&gt;B268),""&gt;""&amp;N268)+COUNTIF(FILTER($I$15:$I$24,$A$15:$A$24&lt;&gt;B268),N268)/2,""Unranked""),""Unranked"")"),2.0)</f>
        <v>2</v>
      </c>
      <c r="P268" s="145">
        <f t="shared" si="131"/>
        <v>63.75</v>
      </c>
      <c r="Q268" s="145">
        <f>IFERROR(__xludf.DUMMYFUNCTION("IFERROR(IF(ISNUMBER(P268),1+COUNTIF(FILTER($K$15:$K$24,$A$15:$A$24&lt;&gt;B268),""&gt;""&amp;P268)+COUNTIF(FILTER($K$15:$K$24,$A$15:$A$24&lt;&gt;B268),P268)/2,""Unranked""),""Unranked"")"),2.0)</f>
        <v>2</v>
      </c>
      <c r="R268" s="145">
        <f t="shared" si="132"/>
        <v>0</v>
      </c>
      <c r="S268" s="145">
        <f t="shared" si="133"/>
        <v>0</v>
      </c>
      <c r="T268" s="145">
        <f t="shared" si="134"/>
        <v>0</v>
      </c>
      <c r="U268" s="93" t="s">
        <v>1717</v>
      </c>
      <c r="V268" s="93" t="s">
        <v>1718</v>
      </c>
      <c r="W268" s="93"/>
      <c r="X268" s="93"/>
    </row>
    <row r="269" ht="24.0" customHeight="1">
      <c r="A269" s="93">
        <v>125.0</v>
      </c>
      <c r="B269" s="93" t="s">
        <v>334</v>
      </c>
      <c r="C269" s="93" t="s">
        <v>336</v>
      </c>
      <c r="D269" s="93" t="s">
        <v>1742</v>
      </c>
      <c r="E269" s="145">
        <v>-1.0</v>
      </c>
      <c r="F269" s="145">
        <f t="array" ref="F269">INDEX('Pilot inputs'!$P$15:$P$44,MATCH(B269,'Pilot inputs'!$B$15:$B$44,0))</f>
        <v>0.1632</v>
      </c>
      <c r="G269" s="145">
        <f t="shared" si="128"/>
        <v>0.15504</v>
      </c>
      <c r="H269" s="145">
        <f t="array" ref="H269">IFERROR(IF(AND(INDEX('Pilot inputs'!$AQ$15:$AQ$44,MATCH(B269,'Pilot inputs'!$B$15:$B$44,0))=1,ISNUMBER($F$12),$F$12&gt;=0,$F$12&lt;1),INDEX('Pilot inputs'!$AG$15:$AG$44,MATCH(B269,'Pilot inputs'!$B$15:$B$44,0)),"Unranked"),"Unranked")</f>
        <v>100</v>
      </c>
      <c r="I269" s="145">
        <f t="array" ref="I269">IFERROR(IF(AND(INDEX('Pilot inputs'!$AQ$15:$AQ$44,MATCH(B269,'Pilot inputs'!$B$15:$B$44,0))=1,ISNUMBER($F$12),$F$12&gt;=0,$F$12&lt;1),INDEX('Pilot inputs'!$AL$15:$AL$44,MATCH(B269,'Pilot inputs'!$B$15:$B$44,0)),"Unranked"),"Unranked")</f>
        <v>50</v>
      </c>
      <c r="J269" s="145">
        <f t="array" ref="J269">IFERROR(IF(AND(INDEX('Pilot inputs'!$AQ$15:$AQ$44,MATCH(B269,'Pilot inputs'!$B$15:$B$44,0))=1,ISNUMBER($F$12),$F$12&gt;=0,$F$12&lt;1),INDEX('Pilot inputs'!$AM$15:$AM$44,MATCH(B269,'Pilot inputs'!$B$15:$B$44,0)),"Unranked"),"Unranked")</f>
        <v>50</v>
      </c>
      <c r="K269" s="145">
        <f>IFERROR(__xludf.DUMMYFUNCTION("IFERROR(IF(AND(INDEX('Pilot inputs'!$AQ$15:$AQ$44,MATCH(B269,'Pilot inputs'!$B$15:$B$44,0))=1,ISNUMBER($F$12),$F$12&gt;=0,$F$12&lt;1),(LET(peer_values,FILTER('Pilot inputs'!$P$15:$P$44,'Pilot inputs'!$D$15:$D$44=INDEX('Pilot inputs'!$D$15:$D$44,MATCH(B269,'Pilo"&amp;"t inputs'!$B$15:$B$44,0)),'Pilot inputs'!$B$15:$B$44&lt;&gt;B269,'Pilot inputs'!$AA$15:$AA$44=1),peer_count,ROWS(peer_values),IF(peer_count+1&lt;MAX(3,Rules!$B$12),""Unranked"",100*(SUMPRODUCT(N(peer_values&lt;G269))+SUMPRODUCT(N(peer_values=G269))/2)/peer_count))+IN"&amp;"DEX('Pilot inputs'!$AN$15:$AN$44,MATCH(B269,'Pilot inputs'!$B$15:$B$44,0)))/2,""Unranked""),""Unranked"")"),75.0)</f>
        <v>75</v>
      </c>
      <c r="L269" s="145">
        <f t="shared" si="129"/>
        <v>68.75</v>
      </c>
      <c r="M269" s="145">
        <f>IFERROR(__xludf.DUMMYFUNCTION("IFERROR(IF(ISNUMBER(L269),1+COUNTIF(FILTER($G$15:$G$24,$A$15:$A$24&lt;&gt;B269),""&gt;""&amp;L269)+COUNTIF(FILTER($G$15:$G$24,$A$15:$A$24&lt;&gt;B269),L269)/2,""Unranked""),""Unranked"")"),2.5)</f>
        <v>2.5</v>
      </c>
      <c r="N269" s="145">
        <f t="shared" si="130"/>
        <v>67.5</v>
      </c>
      <c r="O269" s="145">
        <f>IFERROR(__xludf.DUMMYFUNCTION("IFERROR(IF(ISNUMBER(N269),1+COUNTIF(FILTER($I$15:$I$24,$A$15:$A$24&lt;&gt;B269),""&gt;""&amp;N269)+COUNTIF(FILTER($I$15:$I$24,$A$15:$A$24&lt;&gt;B269),N269)/2,""Unranked""),""Unranked"")"),2.0)</f>
        <v>2</v>
      </c>
      <c r="P269" s="145">
        <f t="shared" si="131"/>
        <v>63.75</v>
      </c>
      <c r="Q269" s="145">
        <f>IFERROR(__xludf.DUMMYFUNCTION("IFERROR(IF(ISNUMBER(P269),1+COUNTIF(FILTER($K$15:$K$24,$A$15:$A$24&lt;&gt;B269),""&gt;""&amp;P269)+COUNTIF(FILTER($K$15:$K$24,$A$15:$A$24&lt;&gt;B269),P269)/2,""Unranked""),""Unranked"")"),2.0)</f>
        <v>2</v>
      </c>
      <c r="R269" s="145">
        <f t="shared" si="132"/>
        <v>0</v>
      </c>
      <c r="S269" s="145">
        <f t="shared" si="133"/>
        <v>0</v>
      </c>
      <c r="T269" s="145">
        <f t="shared" si="134"/>
        <v>0</v>
      </c>
      <c r="U269" s="93" t="s">
        <v>1717</v>
      </c>
      <c r="V269" s="93" t="s">
        <v>1718</v>
      </c>
      <c r="W269" s="93"/>
      <c r="X269" s="93"/>
    </row>
    <row r="270" ht="24.0" customHeight="1">
      <c r="A270" s="93">
        <v>126.0</v>
      </c>
      <c r="B270" s="93" t="s">
        <v>334</v>
      </c>
      <c r="C270" s="93" t="s">
        <v>336</v>
      </c>
      <c r="D270" s="93" t="s">
        <v>1742</v>
      </c>
      <c r="E270" s="145">
        <v>1.0</v>
      </c>
      <c r="F270" s="145">
        <f t="array" ref="F270">INDEX('Pilot inputs'!$P$15:$P$44,MATCH(B270,'Pilot inputs'!$B$15:$B$44,0))</f>
        <v>0.1632</v>
      </c>
      <c r="G270" s="145">
        <f t="shared" si="128"/>
        <v>0.17136</v>
      </c>
      <c r="H270" s="145">
        <f t="array" ref="H270">IFERROR(IF(AND(INDEX('Pilot inputs'!$AQ$15:$AQ$44,MATCH(B270,'Pilot inputs'!$B$15:$B$44,0))=1,ISNUMBER($F$12),$F$12&gt;=0,$F$12&lt;1),INDEX('Pilot inputs'!$AG$15:$AG$44,MATCH(B270,'Pilot inputs'!$B$15:$B$44,0)),"Unranked"),"Unranked")</f>
        <v>100</v>
      </c>
      <c r="I270" s="145">
        <f t="array" ref="I270">IFERROR(IF(AND(INDEX('Pilot inputs'!$AQ$15:$AQ$44,MATCH(B270,'Pilot inputs'!$B$15:$B$44,0))=1,ISNUMBER($F$12),$F$12&gt;=0,$F$12&lt;1),INDEX('Pilot inputs'!$AL$15:$AL$44,MATCH(B270,'Pilot inputs'!$B$15:$B$44,0)),"Unranked"),"Unranked")</f>
        <v>50</v>
      </c>
      <c r="J270" s="145">
        <f t="array" ref="J270">IFERROR(IF(AND(INDEX('Pilot inputs'!$AQ$15:$AQ$44,MATCH(B270,'Pilot inputs'!$B$15:$B$44,0))=1,ISNUMBER($F$12),$F$12&gt;=0,$F$12&lt;1),INDEX('Pilot inputs'!$AM$15:$AM$44,MATCH(B270,'Pilot inputs'!$B$15:$B$44,0)),"Unranked"),"Unranked")</f>
        <v>50</v>
      </c>
      <c r="K270" s="145">
        <f>IFERROR(__xludf.DUMMYFUNCTION("IFERROR(IF(AND(INDEX('Pilot inputs'!$AQ$15:$AQ$44,MATCH(B270,'Pilot inputs'!$B$15:$B$44,0))=1,ISNUMBER($F$12),$F$12&gt;=0,$F$12&lt;1),(LET(peer_values,FILTER('Pilot inputs'!$P$15:$P$44,'Pilot inputs'!$D$15:$D$44=INDEX('Pilot inputs'!$D$15:$D$44,MATCH(B270,'Pilo"&amp;"t inputs'!$B$15:$B$44,0)),'Pilot inputs'!$B$15:$B$44&lt;&gt;B270,'Pilot inputs'!$AA$15:$AA$44=1),peer_count,ROWS(peer_values),IF(peer_count+1&lt;MAX(3,Rules!$B$12),""Unranked"",100*(SUMPRODUCT(N(peer_values&lt;G270))+SUMPRODUCT(N(peer_values=G270))/2)/peer_count))+IN"&amp;"DEX('Pilot inputs'!$AN$15:$AN$44,MATCH(B270,'Pilot inputs'!$B$15:$B$44,0)))/2,""Unranked""),""Unranked"")"),75.0)</f>
        <v>75</v>
      </c>
      <c r="L270" s="145">
        <f t="shared" si="129"/>
        <v>68.75</v>
      </c>
      <c r="M270" s="145">
        <f>IFERROR(__xludf.DUMMYFUNCTION("IFERROR(IF(ISNUMBER(L270),1+COUNTIF(FILTER($G$15:$G$24,$A$15:$A$24&lt;&gt;B270),""&gt;""&amp;L270)+COUNTIF(FILTER($G$15:$G$24,$A$15:$A$24&lt;&gt;B270),L270)/2,""Unranked""),""Unranked"")"),2.5)</f>
        <v>2.5</v>
      </c>
      <c r="N270" s="145">
        <f t="shared" si="130"/>
        <v>67.5</v>
      </c>
      <c r="O270" s="145">
        <f>IFERROR(__xludf.DUMMYFUNCTION("IFERROR(IF(ISNUMBER(N270),1+COUNTIF(FILTER($I$15:$I$24,$A$15:$A$24&lt;&gt;B270),""&gt;""&amp;N270)+COUNTIF(FILTER($I$15:$I$24,$A$15:$A$24&lt;&gt;B270),N270)/2,""Unranked""),""Unranked"")"),2.0)</f>
        <v>2</v>
      </c>
      <c r="P270" s="145">
        <f t="shared" si="131"/>
        <v>63.75</v>
      </c>
      <c r="Q270" s="145">
        <f>IFERROR(__xludf.DUMMYFUNCTION("IFERROR(IF(ISNUMBER(P270),1+COUNTIF(FILTER($K$15:$K$24,$A$15:$A$24&lt;&gt;B270),""&gt;""&amp;P270)+COUNTIF(FILTER($K$15:$K$24,$A$15:$A$24&lt;&gt;B270),P270)/2,""Unranked""),""Unranked"")"),2.0)</f>
        <v>2</v>
      </c>
      <c r="R270" s="145">
        <f t="shared" si="132"/>
        <v>0</v>
      </c>
      <c r="S270" s="145">
        <f t="shared" si="133"/>
        <v>0</v>
      </c>
      <c r="T270" s="145">
        <f t="shared" si="134"/>
        <v>0</v>
      </c>
      <c r="U270" s="93" t="s">
        <v>1717</v>
      </c>
      <c r="V270" s="93" t="s">
        <v>1718</v>
      </c>
      <c r="W270" s="93"/>
      <c r="X270" s="93"/>
    </row>
    <row r="271" ht="24.0" customHeight="1">
      <c r="A271" s="93">
        <v>127.0</v>
      </c>
      <c r="B271" s="93" t="s">
        <v>334</v>
      </c>
      <c r="C271" s="93" t="s">
        <v>336</v>
      </c>
      <c r="D271" s="93" t="s">
        <v>1743</v>
      </c>
      <c r="E271" s="145">
        <v>-1.0</v>
      </c>
      <c r="F271" s="145">
        <f t="array" ref="F271">INDEX('Pilot inputs'!$R$15:$R$44,MATCH(B271,'Pilot inputs'!$B$15:$B$44,0))</f>
        <v>23.574</v>
      </c>
      <c r="G271" s="145">
        <f t="shared" si="128"/>
        <v>22.3953</v>
      </c>
      <c r="H271" s="145">
        <f t="array" ref="H271">IFERROR(IF(AND(INDEX('Pilot inputs'!$AQ$15:$AQ$44,MATCH(B271,'Pilot inputs'!$B$15:$B$44,0))=1,ISNUMBER($F$12),$F$12&gt;=0,$F$12&lt;1),INDEX('Pilot inputs'!$AG$15:$AG$44,MATCH(B271,'Pilot inputs'!$B$15:$B$44,0)),"Unranked"),"Unranked")</f>
        <v>100</v>
      </c>
      <c r="I271" s="145">
        <f t="array" ref="I271">IFERROR(IF(AND(INDEX('Pilot inputs'!$AQ$15:$AQ$44,MATCH(B271,'Pilot inputs'!$B$15:$B$44,0))=1,ISNUMBER($F$12),$F$12&gt;=0,$F$12&lt;1),INDEX('Pilot inputs'!$AL$15:$AL$44,MATCH(B271,'Pilot inputs'!$B$15:$B$44,0)),"Unranked"),"Unranked")</f>
        <v>50</v>
      </c>
      <c r="J271" s="145">
        <f>IFERROR(__xludf.DUMMYFUNCTION("IFERROR(IF(AND(INDEX('Pilot inputs'!$AQ$15:$AQ$44,MATCH(B271,'Pilot inputs'!$B$15:$B$44,0))=1,ISNUMBER($F$12),$F$12&gt;=0,$F$12&lt;1),LET(peer_values,FILTER('Pilot inputs'!$AB$15:$AB$44,'Pilot inputs'!$D$15:$D$44=INDEX('Pilot inputs'!$D$15:$D$44,MATCH(B271,'Pil"&amp;"ot inputs'!$B$15:$B$44,0)),'Pilot inputs'!$B$15:$B$44&lt;&gt;B271,'Pilot inputs'!$AA$15:$AA$44=1),peer_count,ROWS(peer_values),IF(peer_count+1&lt;MAX(3,Rules!$B$12),""Unranked"",100*(SUMPRODUCT(N(peer_values&lt;((G271/INDEX('Pilot inputs'!$T$15:$T$44,MATCH(B271,'Pilo"&amp;"t inputs'!$B$15:$B$44,0)))^(1/3)-1)))+SUMPRODUCT(N(peer_values=((G271/INDEX('Pilot inputs'!$T$15:$T$44,MATCH(B271,'Pilot inputs'!$B$15:$B$44,0)))^(1/3)-1)))/2)/peer_count)),""Unranked""),""Unranked"")"),0.0)</f>
        <v>0</v>
      </c>
      <c r="K271" s="145">
        <f t="array" ref="K271">IFERROR(IF(AND(INDEX('Pilot inputs'!$AQ$15:$AQ$44,MATCH(B271,'Pilot inputs'!$B$15:$B$44,0))=1,ISNUMBER($F$12),$F$12&gt;=0,$F$12&lt;1),INDEX('Pilot inputs'!$AP$15:$AP$44,MATCH(B271,'Pilot inputs'!$B$15:$B$44,0)),"Unranked"),"Unranked")</f>
        <v>75</v>
      </c>
      <c r="L271" s="145">
        <f t="shared" si="129"/>
        <v>56.25</v>
      </c>
      <c r="M271" s="145">
        <f>IFERROR(__xludf.DUMMYFUNCTION("IFERROR(IF(ISNUMBER(L271),1+COUNTIF(FILTER($G$15:$G$24,$A$15:$A$24&lt;&gt;B271),""&gt;""&amp;L271)+COUNTIF(FILTER($G$15:$G$24,$A$15:$A$24&lt;&gt;B271),L271)/2,""Unranked""),""Unranked"")"),5.0)</f>
        <v>5</v>
      </c>
      <c r="N271" s="145">
        <f t="shared" si="130"/>
        <v>55</v>
      </c>
      <c r="O271" s="145">
        <f>IFERROR(__xludf.DUMMYFUNCTION("IFERROR(IF(ISNUMBER(N271),1+COUNTIF(FILTER($I$15:$I$24,$A$15:$A$24&lt;&gt;B271),""&gt;""&amp;N271)+COUNTIF(FILTER($I$15:$I$24,$A$15:$A$24&lt;&gt;B271),N271)/2,""Unranked""),""Unranked"")"),6.0)</f>
        <v>6</v>
      </c>
      <c r="P271" s="145">
        <f t="shared" si="131"/>
        <v>53.75</v>
      </c>
      <c r="Q271" s="145">
        <f>IFERROR(__xludf.DUMMYFUNCTION("IFERROR(IF(ISNUMBER(P271),1+COUNTIF(FILTER($K$15:$K$24,$A$15:$A$24&lt;&gt;B271),""&gt;""&amp;P271)+COUNTIF(FILTER($K$15:$K$24,$A$15:$A$24&lt;&gt;B271),P271)/2,""Unranked""),""Unranked"")"),4.0)</f>
        <v>4</v>
      </c>
      <c r="R271" s="145">
        <f t="shared" si="132"/>
        <v>2.5</v>
      </c>
      <c r="S271" s="145">
        <f t="shared" si="133"/>
        <v>4</v>
      </c>
      <c r="T271" s="145">
        <f t="shared" si="134"/>
        <v>2</v>
      </c>
      <c r="U271" s="93" t="s">
        <v>1717</v>
      </c>
      <c r="V271" s="93" t="s">
        <v>1718</v>
      </c>
      <c r="W271" s="93"/>
      <c r="X271" s="93"/>
    </row>
    <row r="272" ht="24.0" customHeight="1">
      <c r="A272" s="93">
        <v>128.0</v>
      </c>
      <c r="B272" s="93" t="s">
        <v>334</v>
      </c>
      <c r="C272" s="93" t="s">
        <v>336</v>
      </c>
      <c r="D272" s="93" t="s">
        <v>1743</v>
      </c>
      <c r="E272" s="145">
        <v>1.0</v>
      </c>
      <c r="F272" s="145">
        <f t="array" ref="F272">INDEX('Pilot inputs'!$R$15:$R$44,MATCH(B272,'Pilot inputs'!$B$15:$B$44,0))</f>
        <v>23.574</v>
      </c>
      <c r="G272" s="145">
        <f t="shared" si="128"/>
        <v>24.7527</v>
      </c>
      <c r="H272" s="145">
        <f t="array" ref="H272">IFERROR(IF(AND(INDEX('Pilot inputs'!$AQ$15:$AQ$44,MATCH(B272,'Pilot inputs'!$B$15:$B$44,0))=1,ISNUMBER($F$12),$F$12&gt;=0,$F$12&lt;1),INDEX('Pilot inputs'!$AG$15:$AG$44,MATCH(B272,'Pilot inputs'!$B$15:$B$44,0)),"Unranked"),"Unranked")</f>
        <v>100</v>
      </c>
      <c r="I272" s="145">
        <f t="array" ref="I272">IFERROR(IF(AND(INDEX('Pilot inputs'!$AQ$15:$AQ$44,MATCH(B272,'Pilot inputs'!$B$15:$B$44,0))=1,ISNUMBER($F$12),$F$12&gt;=0,$F$12&lt;1),INDEX('Pilot inputs'!$AL$15:$AL$44,MATCH(B272,'Pilot inputs'!$B$15:$B$44,0)),"Unranked"),"Unranked")</f>
        <v>50</v>
      </c>
      <c r="J272" s="145">
        <f>IFERROR(__xludf.DUMMYFUNCTION("IFERROR(IF(AND(INDEX('Pilot inputs'!$AQ$15:$AQ$44,MATCH(B272,'Pilot inputs'!$B$15:$B$44,0))=1,ISNUMBER($F$12),$F$12&gt;=0,$F$12&lt;1),LET(peer_values,FILTER('Pilot inputs'!$AB$15:$AB$44,'Pilot inputs'!$D$15:$D$44=INDEX('Pilot inputs'!$D$15:$D$44,MATCH(B272,'Pil"&amp;"ot inputs'!$B$15:$B$44,0)),'Pilot inputs'!$B$15:$B$44&lt;&gt;B272,'Pilot inputs'!$AA$15:$AA$44=1),peer_count,ROWS(peer_values),IF(peer_count+1&lt;MAX(3,Rules!$B$12),""Unranked"",100*(SUMPRODUCT(N(peer_values&lt;((G272/INDEX('Pilot inputs'!$T$15:$T$44,MATCH(B272,'Pilo"&amp;"t inputs'!$B$15:$B$44,0)))^(1/3)-1)))+SUMPRODUCT(N(peer_values=((G272/INDEX('Pilot inputs'!$T$15:$T$44,MATCH(B272,'Pilot inputs'!$B$15:$B$44,0)))^(1/3)-1)))/2)/peer_count)),""Unranked""),""Unranked"")"),50.0)</f>
        <v>50</v>
      </c>
      <c r="K272" s="145">
        <f t="array" ref="K272">IFERROR(IF(AND(INDEX('Pilot inputs'!$AQ$15:$AQ$44,MATCH(B272,'Pilot inputs'!$B$15:$B$44,0))=1,ISNUMBER($F$12),$F$12&gt;=0,$F$12&lt;1),INDEX('Pilot inputs'!$AP$15:$AP$44,MATCH(B272,'Pilot inputs'!$B$15:$B$44,0)),"Unranked"),"Unranked")</f>
        <v>75</v>
      </c>
      <c r="L272" s="145">
        <f t="shared" si="129"/>
        <v>68.75</v>
      </c>
      <c r="M272" s="145">
        <f>IFERROR(__xludf.DUMMYFUNCTION("IFERROR(IF(ISNUMBER(L272),1+COUNTIF(FILTER($G$15:$G$24,$A$15:$A$24&lt;&gt;B272),""&gt;""&amp;L272)+COUNTIF(FILTER($G$15:$G$24,$A$15:$A$24&lt;&gt;B272),L272)/2,""Unranked""),""Unranked"")"),2.5)</f>
        <v>2.5</v>
      </c>
      <c r="N272" s="145">
        <f t="shared" si="130"/>
        <v>67.5</v>
      </c>
      <c r="O272" s="145">
        <f>IFERROR(__xludf.DUMMYFUNCTION("IFERROR(IF(ISNUMBER(N272),1+COUNTIF(FILTER($I$15:$I$24,$A$15:$A$24&lt;&gt;B272),""&gt;""&amp;N272)+COUNTIF(FILTER($I$15:$I$24,$A$15:$A$24&lt;&gt;B272),N272)/2,""Unranked""),""Unranked"")"),2.0)</f>
        <v>2</v>
      </c>
      <c r="P272" s="145">
        <f t="shared" si="131"/>
        <v>63.75</v>
      </c>
      <c r="Q272" s="145">
        <f>IFERROR(__xludf.DUMMYFUNCTION("IFERROR(IF(ISNUMBER(P272),1+COUNTIF(FILTER($K$15:$K$24,$A$15:$A$24&lt;&gt;B272),""&gt;""&amp;P272)+COUNTIF(FILTER($K$15:$K$24,$A$15:$A$24&lt;&gt;B272),P272)/2,""Unranked""),""Unranked"")"),2.0)</f>
        <v>2</v>
      </c>
      <c r="R272" s="145">
        <f t="shared" si="132"/>
        <v>0</v>
      </c>
      <c r="S272" s="145">
        <f t="shared" si="133"/>
        <v>0</v>
      </c>
      <c r="T272" s="145">
        <f t="shared" si="134"/>
        <v>0</v>
      </c>
      <c r="U272" s="93" t="s">
        <v>1717</v>
      </c>
      <c r="V272" s="93" t="s">
        <v>1718</v>
      </c>
      <c r="W272" s="93"/>
      <c r="X272" s="93"/>
    </row>
    <row r="273" ht="24.0" customHeight="1">
      <c r="A273" s="93">
        <v>129.0</v>
      </c>
      <c r="B273" s="93" t="s">
        <v>340</v>
      </c>
      <c r="C273" s="93" t="s">
        <v>30</v>
      </c>
      <c r="D273" s="93" t="s">
        <v>68</v>
      </c>
      <c r="E273" s="145">
        <v>-1.0</v>
      </c>
      <c r="F273" s="145">
        <f t="array" ref="F273">INDEX('Pilot inputs'!$F$15:$F$44,MATCH(B273,'Pilot inputs'!$B$15:$B$44,0))</f>
        <v>65.09</v>
      </c>
      <c r="G273" s="145">
        <f t="shared" si="128"/>
        <v>61.8355</v>
      </c>
      <c r="H273" s="145">
        <f>IFERROR(__xludf.DUMMYFUNCTION("IFERROR(IF(AND(INDEX('Pilot inputs'!$AQ$15:$AQ$44,MATCH(B273,'Pilot inputs'!$B$15:$B$44,0))=1,ISNUMBER($F$12),$F$12&gt;=0,$F$12&lt;1),(LET(peer_values,FILTER('Pilot inputs'!$F$15:$F$44,'Pilot inputs'!$D$15:$D$44=INDEX('Pilot inputs'!$D$15:$D$44,MATCH(B273,'Pilo"&amp;"t inputs'!$B$15:$B$44,0)),'Pilot inputs'!$B$15:$B$44&lt;&gt;B273,'Pilot inputs'!$AA$15:$AA$44=1),peer_count,ROWS(peer_values),IF(peer_count+1&lt;MAX(3,Rules!$B$12),""Unranked"",100*(SUMPRODUCT(N(peer_values&lt;G273))+SUMPRODUCT(N(peer_values=G273))/2)/peer_count))+IN"&amp;"DEX('Pilot inputs'!$AF$15:$AF$44,MATCH(B273,'Pilot inputs'!$B$15:$B$44,0)))/2,""Unranked""),""Unranked"")"),50.0)</f>
        <v>50</v>
      </c>
      <c r="I273" s="145">
        <f t="array" ref="I273">IFERROR(IF(AND(INDEX('Pilot inputs'!$AQ$15:$AQ$44,MATCH(B273,'Pilot inputs'!$B$15:$B$44,0))=1,ISNUMBER($F$12),$F$12&gt;=0,$F$12&lt;1),INDEX('Pilot inputs'!$AL$15:$AL$44,MATCH(B273,'Pilot inputs'!$B$15:$B$44,0)),"Unranked"),"Unranked")</f>
        <v>20</v>
      </c>
      <c r="J273" s="145">
        <f t="array" ref="J273">IFERROR(IF(AND(INDEX('Pilot inputs'!$AQ$15:$AQ$44,MATCH(B273,'Pilot inputs'!$B$15:$B$44,0))=1,ISNUMBER($F$12),$F$12&gt;=0,$F$12&lt;1),INDEX('Pilot inputs'!$AM$15:$AM$44,MATCH(B273,'Pilot inputs'!$B$15:$B$44,0)),"Unranked"),"Unranked")</f>
        <v>50</v>
      </c>
      <c r="K273" s="145">
        <f t="array" ref="K273">IFERROR(IF(AND(INDEX('Pilot inputs'!$AQ$15:$AQ$44,MATCH(B273,'Pilot inputs'!$B$15:$B$44,0))=1,ISNUMBER($F$12),$F$12&gt;=0,$F$12&lt;1),INDEX('Pilot inputs'!$AP$15:$AP$44,MATCH(B273,'Pilot inputs'!$B$15:$B$44,0)),"Unranked"),"Unranked")</f>
        <v>75</v>
      </c>
      <c r="L273" s="145">
        <f t="shared" si="129"/>
        <v>48.75</v>
      </c>
      <c r="M273" s="145">
        <f>IFERROR(__xludf.DUMMYFUNCTION("IFERROR(IF(ISNUMBER(L273),1+COUNTIF(FILTER($G$15:$G$24,$A$15:$A$24&lt;&gt;B273),""&gt;""&amp;L273)+COUNTIF(FILTER($G$15:$G$24,$A$15:$A$24&lt;&gt;B273),L273)/2,""Unranked""),""Unranked"")"),8.0)</f>
        <v>8</v>
      </c>
      <c r="N273" s="145">
        <f t="shared" si="130"/>
        <v>54</v>
      </c>
      <c r="O273" s="145">
        <f>IFERROR(__xludf.DUMMYFUNCTION("IFERROR(IF(ISNUMBER(N273),1+COUNTIF(FILTER($I$15:$I$24,$A$15:$A$24&lt;&gt;B273),""&gt;""&amp;N273)+COUNTIF(FILTER($I$15:$I$24,$A$15:$A$24&lt;&gt;B273),N273)/2,""Unranked""),""Unranked"")"),7.0)</f>
        <v>7</v>
      </c>
      <c r="P273" s="145">
        <f t="shared" si="131"/>
        <v>44.25</v>
      </c>
      <c r="Q273" s="145">
        <f>IFERROR(__xludf.DUMMYFUNCTION("IFERROR(IF(ISNUMBER(P273),1+COUNTIF(FILTER($K$15:$K$24,$A$15:$A$24&lt;&gt;B273),""&gt;""&amp;P273)+COUNTIF(FILTER($K$15:$K$24,$A$15:$A$24&lt;&gt;B273),P273)/2,""Unranked""),""Unranked"")"),8.0)</f>
        <v>8</v>
      </c>
      <c r="R273" s="145">
        <f t="shared" si="132"/>
        <v>0</v>
      </c>
      <c r="S273" s="145">
        <f t="shared" si="133"/>
        <v>0</v>
      </c>
      <c r="T273" s="145">
        <f t="shared" si="134"/>
        <v>0</v>
      </c>
      <c r="U273" s="93" t="s">
        <v>1717</v>
      </c>
      <c r="V273" s="93" t="s">
        <v>1718</v>
      </c>
      <c r="W273" s="93"/>
      <c r="X273" s="93"/>
    </row>
    <row r="274" ht="24.0" customHeight="1">
      <c r="A274" s="93">
        <v>130.0</v>
      </c>
      <c r="B274" s="93" t="s">
        <v>340</v>
      </c>
      <c r="C274" s="93" t="s">
        <v>30</v>
      </c>
      <c r="D274" s="93" t="s">
        <v>68</v>
      </c>
      <c r="E274" s="145">
        <v>1.0</v>
      </c>
      <c r="F274" s="145">
        <f t="array" ref="F274">INDEX('Pilot inputs'!$F$15:$F$44,MATCH(B274,'Pilot inputs'!$B$15:$B$44,0))</f>
        <v>65.09</v>
      </c>
      <c r="G274" s="145">
        <f t="shared" si="128"/>
        <v>68.3445</v>
      </c>
      <c r="H274" s="145">
        <f>IFERROR(__xludf.DUMMYFUNCTION("IFERROR(IF(AND(INDEX('Pilot inputs'!$AQ$15:$AQ$44,MATCH(B274,'Pilot inputs'!$B$15:$B$44,0))=1,ISNUMBER($F$12),$F$12&gt;=0,$F$12&lt;1),(LET(peer_values,FILTER('Pilot inputs'!$F$15:$F$44,'Pilot inputs'!$D$15:$D$44=INDEX('Pilot inputs'!$D$15:$D$44,MATCH(B274,'Pilo"&amp;"t inputs'!$B$15:$B$44,0)),'Pilot inputs'!$B$15:$B$44&lt;&gt;B274,'Pilot inputs'!$AA$15:$AA$44=1),peer_count,ROWS(peer_values),IF(peer_count+1&lt;MAX(3,Rules!$B$12),""Unranked"",100*(SUMPRODUCT(N(peer_values&lt;G274))+SUMPRODUCT(N(peer_values=G274))/2)/peer_count))+IN"&amp;"DEX('Pilot inputs'!$AF$15:$AF$44,MATCH(B274,'Pilot inputs'!$B$15:$B$44,0)))/2,""Unranked""),""Unranked"")"),50.0)</f>
        <v>50</v>
      </c>
      <c r="I274" s="145">
        <f t="array" ref="I274">IFERROR(IF(AND(INDEX('Pilot inputs'!$AQ$15:$AQ$44,MATCH(B274,'Pilot inputs'!$B$15:$B$44,0))=1,ISNUMBER($F$12),$F$12&gt;=0,$F$12&lt;1),INDEX('Pilot inputs'!$AL$15:$AL$44,MATCH(B274,'Pilot inputs'!$B$15:$B$44,0)),"Unranked"),"Unranked")</f>
        <v>20</v>
      </c>
      <c r="J274" s="145">
        <f t="array" ref="J274">IFERROR(IF(AND(INDEX('Pilot inputs'!$AQ$15:$AQ$44,MATCH(B274,'Pilot inputs'!$B$15:$B$44,0))=1,ISNUMBER($F$12),$F$12&gt;=0,$F$12&lt;1),INDEX('Pilot inputs'!$AM$15:$AM$44,MATCH(B274,'Pilot inputs'!$B$15:$B$44,0)),"Unranked"),"Unranked")</f>
        <v>50</v>
      </c>
      <c r="K274" s="145">
        <f t="array" ref="K274">IFERROR(IF(AND(INDEX('Pilot inputs'!$AQ$15:$AQ$44,MATCH(B274,'Pilot inputs'!$B$15:$B$44,0))=1,ISNUMBER($F$12),$F$12&gt;=0,$F$12&lt;1),INDEX('Pilot inputs'!$AP$15:$AP$44,MATCH(B274,'Pilot inputs'!$B$15:$B$44,0)),"Unranked"),"Unranked")</f>
        <v>75</v>
      </c>
      <c r="L274" s="145">
        <f t="shared" si="129"/>
        <v>48.75</v>
      </c>
      <c r="M274" s="145">
        <f>IFERROR(__xludf.DUMMYFUNCTION("IFERROR(IF(ISNUMBER(L274),1+COUNTIF(FILTER($G$15:$G$24,$A$15:$A$24&lt;&gt;B274),""&gt;""&amp;L274)+COUNTIF(FILTER($G$15:$G$24,$A$15:$A$24&lt;&gt;B274),L274)/2,""Unranked""),""Unranked"")"),8.0)</f>
        <v>8</v>
      </c>
      <c r="N274" s="145">
        <f t="shared" si="130"/>
        <v>54</v>
      </c>
      <c r="O274" s="145">
        <f>IFERROR(__xludf.DUMMYFUNCTION("IFERROR(IF(ISNUMBER(N274),1+COUNTIF(FILTER($I$15:$I$24,$A$15:$A$24&lt;&gt;B274),""&gt;""&amp;N274)+COUNTIF(FILTER($I$15:$I$24,$A$15:$A$24&lt;&gt;B274),N274)/2,""Unranked""),""Unranked"")"),7.0)</f>
        <v>7</v>
      </c>
      <c r="P274" s="145">
        <f t="shared" si="131"/>
        <v>44.25</v>
      </c>
      <c r="Q274" s="145">
        <f>IFERROR(__xludf.DUMMYFUNCTION("IFERROR(IF(ISNUMBER(P274),1+COUNTIF(FILTER($K$15:$K$24,$A$15:$A$24&lt;&gt;B274),""&gt;""&amp;P274)+COUNTIF(FILTER($K$15:$K$24,$A$15:$A$24&lt;&gt;B274),P274)/2,""Unranked""),""Unranked"")"),8.0)</f>
        <v>8</v>
      </c>
      <c r="R274" s="145">
        <f t="shared" si="132"/>
        <v>0</v>
      </c>
      <c r="S274" s="145">
        <f t="shared" si="133"/>
        <v>0</v>
      </c>
      <c r="T274" s="145">
        <f t="shared" si="134"/>
        <v>0</v>
      </c>
      <c r="U274" s="93" t="s">
        <v>1717</v>
      </c>
      <c r="V274" s="93" t="s">
        <v>1718</v>
      </c>
      <c r="W274" s="93"/>
      <c r="X274" s="93"/>
    </row>
    <row r="275" ht="24.0" customHeight="1">
      <c r="A275" s="93">
        <v>131.0</v>
      </c>
      <c r="B275" s="93" t="s">
        <v>340</v>
      </c>
      <c r="C275" s="93" t="s">
        <v>30</v>
      </c>
      <c r="D275" s="93" t="s">
        <v>1720</v>
      </c>
      <c r="E275" s="145">
        <v>-1.0</v>
      </c>
      <c r="F275" s="145">
        <f t="array" ref="F275">INDEX('Pilot inputs'!$H$15:$H$44,MATCH(B275,'Pilot inputs'!$B$15:$B$44,0))</f>
        <v>22.791</v>
      </c>
      <c r="G275" s="145">
        <f t="shared" si="128"/>
        <v>21.65145</v>
      </c>
      <c r="H275" s="145">
        <f>IFERROR(__xludf.DUMMYFUNCTION("IFERROR(IF(AND(INDEX('Pilot inputs'!$AQ$15:$AQ$44,MATCH(B275,'Pilot inputs'!$B$15:$B$44,0))=1,ISNUMBER($F$12),$F$12&gt;=0,$F$12&lt;1),(LET(peer_values,FILTER('Pilot inputs'!$H$15:$H$44,'Pilot inputs'!$D$15:$D$44=INDEX('Pilot inputs'!$D$15:$D$44,MATCH(B275,'Pilo"&amp;"t inputs'!$B$15:$B$44,0)),'Pilot inputs'!$B$15:$B$44&lt;&gt;B275,'Pilot inputs'!$AA$15:$AA$44=1),peer_count,ROWS(peer_values),IF(peer_count+1&lt;MAX(3,Rules!$B$12),""Unranked"",100*(SUMPRODUCT(N(peer_values&lt;G275))+SUMPRODUCT(N(peer_values=G275))/2)/peer_count))+IN"&amp;"DEX('Pilot inputs'!$AE$15:$AE$44,MATCH(B275,'Pilot inputs'!$B$15:$B$44,0)))/2,""Unranked""),""Unranked"")"),50.0)</f>
        <v>50</v>
      </c>
      <c r="I275" s="145">
        <f t="array" ref="I275">IFERROR(IF(AND(INDEX('Pilot inputs'!$AQ$15:$AQ$44,MATCH(B275,'Pilot inputs'!$B$15:$B$44,0))=1,ISNUMBER($F$12),$F$12&gt;=0,$F$12&lt;1),INDEX('Pilot inputs'!$AL$15:$AL$44,MATCH(B275,'Pilot inputs'!$B$15:$B$44,0)),"Unranked"),"Unranked")</f>
        <v>20</v>
      </c>
      <c r="J275" s="145">
        <f t="array" ref="J275">IFERROR(IF(AND(INDEX('Pilot inputs'!$AQ$15:$AQ$44,MATCH(B275,'Pilot inputs'!$B$15:$B$44,0))=1,ISNUMBER($F$12),$F$12&gt;=0,$F$12&lt;1),INDEX('Pilot inputs'!$AM$15:$AM$44,MATCH(B275,'Pilot inputs'!$B$15:$B$44,0)),"Unranked"),"Unranked")</f>
        <v>50</v>
      </c>
      <c r="K275" s="145">
        <f t="array" ref="K275">IFERROR(IF(AND(INDEX('Pilot inputs'!$AQ$15:$AQ$44,MATCH(B275,'Pilot inputs'!$B$15:$B$44,0))=1,ISNUMBER($F$12),$F$12&gt;=0,$F$12&lt;1),INDEX('Pilot inputs'!$AP$15:$AP$44,MATCH(B275,'Pilot inputs'!$B$15:$B$44,0)),"Unranked"),"Unranked")</f>
        <v>75</v>
      </c>
      <c r="L275" s="145">
        <f t="shared" si="129"/>
        <v>48.75</v>
      </c>
      <c r="M275" s="145">
        <f>IFERROR(__xludf.DUMMYFUNCTION("IFERROR(IF(ISNUMBER(L275),1+COUNTIF(FILTER($G$15:$G$24,$A$15:$A$24&lt;&gt;B275),""&gt;""&amp;L275)+COUNTIF(FILTER($G$15:$G$24,$A$15:$A$24&lt;&gt;B275),L275)/2,""Unranked""),""Unranked"")"),8.0)</f>
        <v>8</v>
      </c>
      <c r="N275" s="145">
        <f t="shared" si="130"/>
        <v>54</v>
      </c>
      <c r="O275" s="145">
        <f>IFERROR(__xludf.DUMMYFUNCTION("IFERROR(IF(ISNUMBER(N275),1+COUNTIF(FILTER($I$15:$I$24,$A$15:$A$24&lt;&gt;B275),""&gt;""&amp;N275)+COUNTIF(FILTER($I$15:$I$24,$A$15:$A$24&lt;&gt;B275),N275)/2,""Unranked""),""Unranked"")"),7.0)</f>
        <v>7</v>
      </c>
      <c r="P275" s="145">
        <f t="shared" si="131"/>
        <v>44.25</v>
      </c>
      <c r="Q275" s="145">
        <f>IFERROR(__xludf.DUMMYFUNCTION("IFERROR(IF(ISNUMBER(P275),1+COUNTIF(FILTER($K$15:$K$24,$A$15:$A$24&lt;&gt;B275),""&gt;""&amp;P275)+COUNTIF(FILTER($K$15:$K$24,$A$15:$A$24&lt;&gt;B275),P275)/2,""Unranked""),""Unranked"")"),8.0)</f>
        <v>8</v>
      </c>
      <c r="R275" s="145">
        <f t="shared" si="132"/>
        <v>0</v>
      </c>
      <c r="S275" s="145">
        <f t="shared" si="133"/>
        <v>0</v>
      </c>
      <c r="T275" s="145">
        <f t="shared" si="134"/>
        <v>0</v>
      </c>
      <c r="U275" s="93" t="s">
        <v>1717</v>
      </c>
      <c r="V275" s="93" t="s">
        <v>1718</v>
      </c>
      <c r="W275" s="93"/>
      <c r="X275" s="93"/>
    </row>
    <row r="276" ht="24.0" customHeight="1">
      <c r="A276" s="93">
        <v>132.0</v>
      </c>
      <c r="B276" s="93" t="s">
        <v>340</v>
      </c>
      <c r="C276" s="93" t="s">
        <v>30</v>
      </c>
      <c r="D276" s="93" t="s">
        <v>1720</v>
      </c>
      <c r="E276" s="145">
        <v>1.0</v>
      </c>
      <c r="F276" s="145">
        <f t="array" ref="F276">INDEX('Pilot inputs'!$H$15:$H$44,MATCH(B276,'Pilot inputs'!$B$15:$B$44,0))</f>
        <v>22.791</v>
      </c>
      <c r="G276" s="145">
        <f t="shared" si="128"/>
        <v>23.93055</v>
      </c>
      <c r="H276" s="145">
        <f>IFERROR(__xludf.DUMMYFUNCTION("IFERROR(IF(AND(INDEX('Pilot inputs'!$AQ$15:$AQ$44,MATCH(B276,'Pilot inputs'!$B$15:$B$44,0))=1,ISNUMBER($F$12),$F$12&gt;=0,$F$12&lt;1),(LET(peer_values,FILTER('Pilot inputs'!$H$15:$H$44,'Pilot inputs'!$D$15:$D$44=INDEX('Pilot inputs'!$D$15:$D$44,MATCH(B276,'Pilo"&amp;"t inputs'!$B$15:$B$44,0)),'Pilot inputs'!$B$15:$B$44&lt;&gt;B276,'Pilot inputs'!$AA$15:$AA$44=1),peer_count,ROWS(peer_values),IF(peer_count+1&lt;MAX(3,Rules!$B$12),""Unranked"",100*(SUMPRODUCT(N(peer_values&lt;G276))+SUMPRODUCT(N(peer_values=G276))/2)/peer_count))+IN"&amp;"DEX('Pilot inputs'!$AE$15:$AE$44,MATCH(B276,'Pilot inputs'!$B$15:$B$44,0)))/2,""Unranked""),""Unranked"")"),50.0)</f>
        <v>50</v>
      </c>
      <c r="I276" s="145">
        <f t="array" ref="I276">IFERROR(IF(AND(INDEX('Pilot inputs'!$AQ$15:$AQ$44,MATCH(B276,'Pilot inputs'!$B$15:$B$44,0))=1,ISNUMBER($F$12),$F$12&gt;=0,$F$12&lt;1),INDEX('Pilot inputs'!$AL$15:$AL$44,MATCH(B276,'Pilot inputs'!$B$15:$B$44,0)),"Unranked"),"Unranked")</f>
        <v>20</v>
      </c>
      <c r="J276" s="145">
        <f t="array" ref="J276">IFERROR(IF(AND(INDEX('Pilot inputs'!$AQ$15:$AQ$44,MATCH(B276,'Pilot inputs'!$B$15:$B$44,0))=1,ISNUMBER($F$12),$F$12&gt;=0,$F$12&lt;1),INDEX('Pilot inputs'!$AM$15:$AM$44,MATCH(B276,'Pilot inputs'!$B$15:$B$44,0)),"Unranked"),"Unranked")</f>
        <v>50</v>
      </c>
      <c r="K276" s="145">
        <f t="array" ref="K276">IFERROR(IF(AND(INDEX('Pilot inputs'!$AQ$15:$AQ$44,MATCH(B276,'Pilot inputs'!$B$15:$B$44,0))=1,ISNUMBER($F$12),$F$12&gt;=0,$F$12&lt;1),INDEX('Pilot inputs'!$AP$15:$AP$44,MATCH(B276,'Pilot inputs'!$B$15:$B$44,0)),"Unranked"),"Unranked")</f>
        <v>75</v>
      </c>
      <c r="L276" s="145">
        <f t="shared" si="129"/>
        <v>48.75</v>
      </c>
      <c r="M276" s="145">
        <f>IFERROR(__xludf.DUMMYFUNCTION("IFERROR(IF(ISNUMBER(L276),1+COUNTIF(FILTER($G$15:$G$24,$A$15:$A$24&lt;&gt;B276),""&gt;""&amp;L276)+COUNTIF(FILTER($G$15:$G$24,$A$15:$A$24&lt;&gt;B276),L276)/2,""Unranked""),""Unranked"")"),8.0)</f>
        <v>8</v>
      </c>
      <c r="N276" s="145">
        <f t="shared" si="130"/>
        <v>54</v>
      </c>
      <c r="O276" s="145">
        <f>IFERROR(__xludf.DUMMYFUNCTION("IFERROR(IF(ISNUMBER(N276),1+COUNTIF(FILTER($I$15:$I$24,$A$15:$A$24&lt;&gt;B276),""&gt;""&amp;N276)+COUNTIF(FILTER($I$15:$I$24,$A$15:$A$24&lt;&gt;B276),N276)/2,""Unranked""),""Unranked"")"),7.0)</f>
        <v>7</v>
      </c>
      <c r="P276" s="145">
        <f t="shared" si="131"/>
        <v>44.25</v>
      </c>
      <c r="Q276" s="145">
        <f>IFERROR(__xludf.DUMMYFUNCTION("IFERROR(IF(ISNUMBER(P276),1+COUNTIF(FILTER($K$15:$K$24,$A$15:$A$24&lt;&gt;B276),""&gt;""&amp;P276)+COUNTIF(FILTER($K$15:$K$24,$A$15:$A$24&lt;&gt;B276),P276)/2,""Unranked""),""Unranked"")"),8.0)</f>
        <v>8</v>
      </c>
      <c r="R276" s="145">
        <f t="shared" si="132"/>
        <v>0</v>
      </c>
      <c r="S276" s="145">
        <f t="shared" si="133"/>
        <v>0</v>
      </c>
      <c r="T276" s="145">
        <f t="shared" si="134"/>
        <v>0</v>
      </c>
      <c r="U276" s="93" t="s">
        <v>1717</v>
      </c>
      <c r="V276" s="93" t="s">
        <v>1718</v>
      </c>
      <c r="W276" s="93"/>
      <c r="X276" s="93"/>
    </row>
    <row r="277" ht="24.0" customHeight="1">
      <c r="A277" s="93">
        <v>133.0</v>
      </c>
      <c r="B277" s="93" t="s">
        <v>340</v>
      </c>
      <c r="C277" s="93" t="s">
        <v>30</v>
      </c>
      <c r="D277" s="93" t="s">
        <v>1230</v>
      </c>
      <c r="E277" s="145">
        <v>-1.0</v>
      </c>
      <c r="F277" s="145">
        <f t="array" ref="F277">INDEX('Pilot inputs'!$K$15:$K$44,MATCH(B277,'Pilot inputs'!$B$15:$B$44,0))</f>
        <v>20.71</v>
      </c>
      <c r="G277" s="145">
        <f t="shared" si="128"/>
        <v>19.6745</v>
      </c>
      <c r="H277" s="145">
        <f t="array" ref="H277">IFERROR(IF(AND(INDEX('Pilot inputs'!$AQ$15:$AQ$44,MATCH(B277,'Pilot inputs'!$B$15:$B$44,0))=1,ISNUMBER($F$12),$F$12&gt;=0,$F$12&lt;1),INDEX('Pilot inputs'!$AG$15:$AG$44,MATCH(B277,'Pilot inputs'!$B$15:$B$44,0)),"Unranked"),"Unranked")</f>
        <v>50</v>
      </c>
      <c r="I277" s="145">
        <f>IFERROR(__xludf.DUMMYFUNCTION("IFERROR(IF(AND(INDEX('Pilot inputs'!$AQ$15:$AQ$44,MATCH(B277,'Pilot inputs'!$B$15:$B$44,0))=1,ISNUMBER($F$12),$F$12&gt;=0,$F$12&lt;1),INDEX('Pilot inputs'!$AL$15:$AL$44,MATCH(B277,'Pilot inputs'!$B$15:$B$44,0))+IF(C277=""Utilities"",0.4,0.35)*((100-LET(peer_val"&amp;"ues,FILTER('Pilot inputs'!$K$15:$K$44,'Pilot inputs'!$D$15:$D$44=INDEX('Pilot inputs'!$D$15:$D$44,MATCH(B277,'Pilot inputs'!$B$15:$B$44,0)),'Pilot inputs'!$B$15:$B$44&lt;&gt;B277,'Pilot inputs'!$AA$15:$AA$44=1),peer_count,ROWS(peer_values),IF(peer_count+1&lt;MAX(3"&amp;",Rules!$B$12),""Unranked"",100*(SUMPRODUCT(N(peer_values&lt;G277))+SUMPRODUCT(N(peer_values=G277))/2)/peer_count)))-INDEX('Pilot inputs'!$AH$15:$AH$44,MATCH(B277,'Pilot inputs'!$B$15:$B$44,0))),""Unranked""),""Unranked"")"),20.0)</f>
        <v>20</v>
      </c>
      <c r="J277" s="145">
        <f t="array" ref="J277">IFERROR(IF(AND(INDEX('Pilot inputs'!$AQ$15:$AQ$44,MATCH(B277,'Pilot inputs'!$B$15:$B$44,0))=1,ISNUMBER($F$12),$F$12&gt;=0,$F$12&lt;1),INDEX('Pilot inputs'!$AM$15:$AM$44,MATCH(B277,'Pilot inputs'!$B$15:$B$44,0)),"Unranked"),"Unranked")</f>
        <v>50</v>
      </c>
      <c r="K277" s="145">
        <f t="array" ref="K277">IFERROR(IF(AND(INDEX('Pilot inputs'!$AQ$15:$AQ$44,MATCH(B277,'Pilot inputs'!$B$15:$B$44,0))=1,ISNUMBER($F$12),$F$12&gt;=0,$F$12&lt;1),INDEX('Pilot inputs'!$AP$15:$AP$44,MATCH(B277,'Pilot inputs'!$B$15:$B$44,0)),"Unranked"),"Unranked")</f>
        <v>75</v>
      </c>
      <c r="L277" s="145">
        <f t="shared" si="129"/>
        <v>48.75</v>
      </c>
      <c r="M277" s="145">
        <f>IFERROR(__xludf.DUMMYFUNCTION("IFERROR(IF(ISNUMBER(L277),1+COUNTIF(FILTER($G$15:$G$24,$A$15:$A$24&lt;&gt;B277),""&gt;""&amp;L277)+COUNTIF(FILTER($G$15:$G$24,$A$15:$A$24&lt;&gt;B277),L277)/2,""Unranked""),""Unranked"")"),8.0)</f>
        <v>8</v>
      </c>
      <c r="N277" s="145">
        <f t="shared" si="130"/>
        <v>54</v>
      </c>
      <c r="O277" s="145">
        <f>IFERROR(__xludf.DUMMYFUNCTION("IFERROR(IF(ISNUMBER(N277),1+COUNTIF(FILTER($I$15:$I$24,$A$15:$A$24&lt;&gt;B277),""&gt;""&amp;N277)+COUNTIF(FILTER($I$15:$I$24,$A$15:$A$24&lt;&gt;B277),N277)/2,""Unranked""),""Unranked"")"),7.0)</f>
        <v>7</v>
      </c>
      <c r="P277" s="145">
        <f t="shared" si="131"/>
        <v>44.25</v>
      </c>
      <c r="Q277" s="145">
        <f>IFERROR(__xludf.DUMMYFUNCTION("IFERROR(IF(ISNUMBER(P277),1+COUNTIF(FILTER($K$15:$K$24,$A$15:$A$24&lt;&gt;B277),""&gt;""&amp;P277)+COUNTIF(FILTER($K$15:$K$24,$A$15:$A$24&lt;&gt;B277),P277)/2,""Unranked""),""Unranked"")"),8.0)</f>
        <v>8</v>
      </c>
      <c r="R277" s="145">
        <f t="shared" si="132"/>
        <v>0</v>
      </c>
      <c r="S277" s="145">
        <f t="shared" si="133"/>
        <v>0</v>
      </c>
      <c r="T277" s="145">
        <f t="shared" si="134"/>
        <v>0</v>
      </c>
      <c r="U277" s="93" t="s">
        <v>1717</v>
      </c>
      <c r="V277" s="93" t="s">
        <v>1718</v>
      </c>
      <c r="W277" s="93"/>
      <c r="X277" s="93"/>
    </row>
    <row r="278" ht="24.0" customHeight="1">
      <c r="A278" s="93">
        <v>134.0</v>
      </c>
      <c r="B278" s="93" t="s">
        <v>340</v>
      </c>
      <c r="C278" s="93" t="s">
        <v>30</v>
      </c>
      <c r="D278" s="93" t="s">
        <v>1230</v>
      </c>
      <c r="E278" s="145">
        <v>1.0</v>
      </c>
      <c r="F278" s="145">
        <f t="array" ref="F278">INDEX('Pilot inputs'!$K$15:$K$44,MATCH(B278,'Pilot inputs'!$B$15:$B$44,0))</f>
        <v>20.71</v>
      </c>
      <c r="G278" s="145">
        <f t="shared" si="128"/>
        <v>21.7455</v>
      </c>
      <c r="H278" s="145">
        <f t="array" ref="H278">IFERROR(IF(AND(INDEX('Pilot inputs'!$AQ$15:$AQ$44,MATCH(B278,'Pilot inputs'!$B$15:$B$44,0))=1,ISNUMBER($F$12),$F$12&gt;=0,$F$12&lt;1),INDEX('Pilot inputs'!$AG$15:$AG$44,MATCH(B278,'Pilot inputs'!$B$15:$B$44,0)),"Unranked"),"Unranked")</f>
        <v>50</v>
      </c>
      <c r="I278" s="145">
        <f>IFERROR(__xludf.DUMMYFUNCTION("IFERROR(IF(AND(INDEX('Pilot inputs'!$AQ$15:$AQ$44,MATCH(B278,'Pilot inputs'!$B$15:$B$44,0))=1,ISNUMBER($F$12),$F$12&gt;=0,$F$12&lt;1),INDEX('Pilot inputs'!$AL$15:$AL$44,MATCH(B278,'Pilot inputs'!$B$15:$B$44,0))+IF(C278=""Utilities"",0.4,0.35)*((100-LET(peer_val"&amp;"ues,FILTER('Pilot inputs'!$K$15:$K$44,'Pilot inputs'!$D$15:$D$44=INDEX('Pilot inputs'!$D$15:$D$44,MATCH(B278,'Pilot inputs'!$B$15:$B$44,0)),'Pilot inputs'!$B$15:$B$44&lt;&gt;B278,'Pilot inputs'!$AA$15:$AA$44=1),peer_count,ROWS(peer_values),IF(peer_count+1&lt;MAX(3"&amp;",Rules!$B$12),""Unranked"",100*(SUMPRODUCT(N(peer_values&lt;G278))+SUMPRODUCT(N(peer_values=G278))/2)/peer_count)))-INDEX('Pilot inputs'!$AH$15:$AH$44,MATCH(B278,'Pilot inputs'!$B$15:$B$44,0))),""Unranked""),""Unranked"")"),20.0)</f>
        <v>20</v>
      </c>
      <c r="J278" s="145">
        <f t="array" ref="J278">IFERROR(IF(AND(INDEX('Pilot inputs'!$AQ$15:$AQ$44,MATCH(B278,'Pilot inputs'!$B$15:$B$44,0))=1,ISNUMBER($F$12),$F$12&gt;=0,$F$12&lt;1),INDEX('Pilot inputs'!$AM$15:$AM$44,MATCH(B278,'Pilot inputs'!$B$15:$B$44,0)),"Unranked"),"Unranked")</f>
        <v>50</v>
      </c>
      <c r="K278" s="145">
        <f t="array" ref="K278">IFERROR(IF(AND(INDEX('Pilot inputs'!$AQ$15:$AQ$44,MATCH(B278,'Pilot inputs'!$B$15:$B$44,0))=1,ISNUMBER($F$12),$F$12&gt;=0,$F$12&lt;1),INDEX('Pilot inputs'!$AP$15:$AP$44,MATCH(B278,'Pilot inputs'!$B$15:$B$44,0)),"Unranked"),"Unranked")</f>
        <v>75</v>
      </c>
      <c r="L278" s="145">
        <f t="shared" si="129"/>
        <v>48.75</v>
      </c>
      <c r="M278" s="145">
        <f>IFERROR(__xludf.DUMMYFUNCTION("IFERROR(IF(ISNUMBER(L278),1+COUNTIF(FILTER($G$15:$G$24,$A$15:$A$24&lt;&gt;B278),""&gt;""&amp;L278)+COUNTIF(FILTER($G$15:$G$24,$A$15:$A$24&lt;&gt;B278),L278)/2,""Unranked""),""Unranked"")"),8.0)</f>
        <v>8</v>
      </c>
      <c r="N278" s="145">
        <f t="shared" si="130"/>
        <v>54</v>
      </c>
      <c r="O278" s="145">
        <f>IFERROR(__xludf.DUMMYFUNCTION("IFERROR(IF(ISNUMBER(N278),1+COUNTIF(FILTER($I$15:$I$24,$A$15:$A$24&lt;&gt;B278),""&gt;""&amp;N278)+COUNTIF(FILTER($I$15:$I$24,$A$15:$A$24&lt;&gt;B278),N278)/2,""Unranked""),""Unranked"")"),7.0)</f>
        <v>7</v>
      </c>
      <c r="P278" s="145">
        <f t="shared" si="131"/>
        <v>44.25</v>
      </c>
      <c r="Q278" s="145">
        <f>IFERROR(__xludf.DUMMYFUNCTION("IFERROR(IF(ISNUMBER(P278),1+COUNTIF(FILTER($K$15:$K$24,$A$15:$A$24&lt;&gt;B278),""&gt;""&amp;P278)+COUNTIF(FILTER($K$15:$K$24,$A$15:$A$24&lt;&gt;B278),P278)/2,""Unranked""),""Unranked"")"),8.0)</f>
        <v>8</v>
      </c>
      <c r="R278" s="145">
        <f t="shared" si="132"/>
        <v>0</v>
      </c>
      <c r="S278" s="145">
        <f t="shared" si="133"/>
        <v>0</v>
      </c>
      <c r="T278" s="145">
        <f t="shared" si="134"/>
        <v>0</v>
      </c>
      <c r="U278" s="93" t="s">
        <v>1717</v>
      </c>
      <c r="V278" s="93" t="s">
        <v>1718</v>
      </c>
      <c r="W278" s="93"/>
      <c r="X278" s="93"/>
    </row>
    <row r="279" ht="24.0" customHeight="1">
      <c r="A279" s="93">
        <v>135.0</v>
      </c>
      <c r="B279" s="93" t="s">
        <v>340</v>
      </c>
      <c r="C279" s="93" t="s">
        <v>30</v>
      </c>
      <c r="D279" s="93" t="s">
        <v>1740</v>
      </c>
      <c r="E279" s="145">
        <v>-1.0</v>
      </c>
      <c r="F279" s="145">
        <f t="array" ref="F279">INDEX('Pilot inputs'!$L$15:$L$44,MATCH(B279,'Pilot inputs'!$B$15:$B$44,0))</f>
        <v>13.07</v>
      </c>
      <c r="G279" s="145">
        <f t="shared" si="128"/>
        <v>12.4165</v>
      </c>
      <c r="H279" s="145">
        <f t="array" ref="H279">IFERROR(IF(AND(INDEX('Pilot inputs'!$AQ$15:$AQ$44,MATCH(B279,'Pilot inputs'!$B$15:$B$44,0))=1,ISNUMBER($F$12),$F$12&gt;=0,$F$12&lt;1),INDEX('Pilot inputs'!$AG$15:$AG$44,MATCH(B279,'Pilot inputs'!$B$15:$B$44,0)),"Unranked"),"Unranked")</f>
        <v>50</v>
      </c>
      <c r="I279" s="145">
        <f>IFERROR(__xludf.DUMMYFUNCTION("IFERROR(IF(AND(INDEX('Pilot inputs'!$AQ$15:$AQ$44,MATCH(B279,'Pilot inputs'!$B$15:$B$44,0))=1,ISNUMBER($F$12),$F$12&gt;=0,$F$12&lt;1),INDEX('Pilot inputs'!$AL$15:$AL$44,MATCH(B279,'Pilot inputs'!$B$15:$B$44,0))+IF(C279=""Utilities"",0.4,0.35)*((100-LET(peer_val"&amp;"ues,FILTER('Pilot inputs'!$L$15:$L$44,'Pilot inputs'!$D$15:$D$44=INDEX('Pilot inputs'!$D$15:$D$44,MATCH(B279,'Pilot inputs'!$B$15:$B$44,0)),'Pilot inputs'!$B$15:$B$44&lt;&gt;B279,'Pilot inputs'!$AA$15:$AA$44=1),peer_count,ROWS(peer_values),IF(peer_count+1&lt;MAX(3"&amp;",Rules!$B$12),""Unranked"",100*(SUMPRODUCT(N(peer_values&lt;G279))+SUMPRODUCT(N(peer_values=G279))/2)/peer_count)))-INDEX('Pilot inputs'!$AI$15:$AI$44,MATCH(B279,'Pilot inputs'!$B$15:$B$44,0))),""Unranked""),""Unranked"")"),20.0)</f>
        <v>20</v>
      </c>
      <c r="J279" s="145">
        <f t="array" ref="J279">IFERROR(IF(AND(INDEX('Pilot inputs'!$AQ$15:$AQ$44,MATCH(B279,'Pilot inputs'!$B$15:$B$44,0))=1,ISNUMBER($F$12),$F$12&gt;=0,$F$12&lt;1),INDEX('Pilot inputs'!$AM$15:$AM$44,MATCH(B279,'Pilot inputs'!$B$15:$B$44,0)),"Unranked"),"Unranked")</f>
        <v>50</v>
      </c>
      <c r="K279" s="145">
        <f t="array" ref="K279">IFERROR(IF(AND(INDEX('Pilot inputs'!$AQ$15:$AQ$44,MATCH(B279,'Pilot inputs'!$B$15:$B$44,0))=1,ISNUMBER($F$12),$F$12&gt;=0,$F$12&lt;1),INDEX('Pilot inputs'!$AP$15:$AP$44,MATCH(B279,'Pilot inputs'!$B$15:$B$44,0)),"Unranked"),"Unranked")</f>
        <v>75</v>
      </c>
      <c r="L279" s="145">
        <f t="shared" si="129"/>
        <v>48.75</v>
      </c>
      <c r="M279" s="145">
        <f>IFERROR(__xludf.DUMMYFUNCTION("IFERROR(IF(ISNUMBER(L279),1+COUNTIF(FILTER($G$15:$G$24,$A$15:$A$24&lt;&gt;B279),""&gt;""&amp;L279)+COUNTIF(FILTER($G$15:$G$24,$A$15:$A$24&lt;&gt;B279),L279)/2,""Unranked""),""Unranked"")"),8.0)</f>
        <v>8</v>
      </c>
      <c r="N279" s="145">
        <f t="shared" si="130"/>
        <v>54</v>
      </c>
      <c r="O279" s="145">
        <f>IFERROR(__xludf.DUMMYFUNCTION("IFERROR(IF(ISNUMBER(N279),1+COUNTIF(FILTER($I$15:$I$24,$A$15:$A$24&lt;&gt;B279),""&gt;""&amp;N279)+COUNTIF(FILTER($I$15:$I$24,$A$15:$A$24&lt;&gt;B279),N279)/2,""Unranked""),""Unranked"")"),7.0)</f>
        <v>7</v>
      </c>
      <c r="P279" s="145">
        <f t="shared" si="131"/>
        <v>44.25</v>
      </c>
      <c r="Q279" s="145">
        <f>IFERROR(__xludf.DUMMYFUNCTION("IFERROR(IF(ISNUMBER(P279),1+COUNTIF(FILTER($K$15:$K$24,$A$15:$A$24&lt;&gt;B279),""&gt;""&amp;P279)+COUNTIF(FILTER($K$15:$K$24,$A$15:$A$24&lt;&gt;B279),P279)/2,""Unranked""),""Unranked"")"),8.0)</f>
        <v>8</v>
      </c>
      <c r="R279" s="145">
        <f t="shared" si="132"/>
        <v>0</v>
      </c>
      <c r="S279" s="145">
        <f t="shared" si="133"/>
        <v>0</v>
      </c>
      <c r="T279" s="145">
        <f t="shared" si="134"/>
        <v>0</v>
      </c>
      <c r="U279" s="93" t="s">
        <v>1717</v>
      </c>
      <c r="V279" s="93" t="s">
        <v>1718</v>
      </c>
      <c r="W279" s="93"/>
      <c r="X279" s="93"/>
    </row>
    <row r="280" ht="24.0" customHeight="1">
      <c r="A280" s="93">
        <v>136.0</v>
      </c>
      <c r="B280" s="93" t="s">
        <v>340</v>
      </c>
      <c r="C280" s="93" t="s">
        <v>30</v>
      </c>
      <c r="D280" s="93" t="s">
        <v>1740</v>
      </c>
      <c r="E280" s="145">
        <v>1.0</v>
      </c>
      <c r="F280" s="145">
        <f t="array" ref="F280">INDEX('Pilot inputs'!$L$15:$L$44,MATCH(B280,'Pilot inputs'!$B$15:$B$44,0))</f>
        <v>13.07</v>
      </c>
      <c r="G280" s="145">
        <f t="shared" si="128"/>
        <v>13.7235</v>
      </c>
      <c r="H280" s="145">
        <f t="array" ref="H280">IFERROR(IF(AND(INDEX('Pilot inputs'!$AQ$15:$AQ$44,MATCH(B280,'Pilot inputs'!$B$15:$B$44,0))=1,ISNUMBER($F$12),$F$12&gt;=0,$F$12&lt;1),INDEX('Pilot inputs'!$AG$15:$AG$44,MATCH(B280,'Pilot inputs'!$B$15:$B$44,0)),"Unranked"),"Unranked")</f>
        <v>50</v>
      </c>
      <c r="I280" s="145">
        <f>IFERROR(__xludf.DUMMYFUNCTION("IFERROR(IF(AND(INDEX('Pilot inputs'!$AQ$15:$AQ$44,MATCH(B280,'Pilot inputs'!$B$15:$B$44,0))=1,ISNUMBER($F$12),$F$12&gt;=0,$F$12&lt;1),INDEX('Pilot inputs'!$AL$15:$AL$44,MATCH(B280,'Pilot inputs'!$B$15:$B$44,0))+IF(C280=""Utilities"",0.4,0.35)*((100-LET(peer_val"&amp;"ues,FILTER('Pilot inputs'!$L$15:$L$44,'Pilot inputs'!$D$15:$D$44=INDEX('Pilot inputs'!$D$15:$D$44,MATCH(B280,'Pilot inputs'!$B$15:$B$44,0)),'Pilot inputs'!$B$15:$B$44&lt;&gt;B280,'Pilot inputs'!$AA$15:$AA$44=1),peer_count,ROWS(peer_values),IF(peer_count+1&lt;MAX(3"&amp;",Rules!$B$12),""Unranked"",100*(SUMPRODUCT(N(peer_values&lt;G280))+SUMPRODUCT(N(peer_values=G280))/2)/peer_count)))-INDEX('Pilot inputs'!$AI$15:$AI$44,MATCH(B280,'Pilot inputs'!$B$15:$B$44,0))),""Unranked""),""Unranked"")"),20.0)</f>
        <v>20</v>
      </c>
      <c r="J280" s="145">
        <f t="array" ref="J280">IFERROR(IF(AND(INDEX('Pilot inputs'!$AQ$15:$AQ$44,MATCH(B280,'Pilot inputs'!$B$15:$B$44,0))=1,ISNUMBER($F$12),$F$12&gt;=0,$F$12&lt;1),INDEX('Pilot inputs'!$AM$15:$AM$44,MATCH(B280,'Pilot inputs'!$B$15:$B$44,0)),"Unranked"),"Unranked")</f>
        <v>50</v>
      </c>
      <c r="K280" s="145">
        <f t="array" ref="K280">IFERROR(IF(AND(INDEX('Pilot inputs'!$AQ$15:$AQ$44,MATCH(B280,'Pilot inputs'!$B$15:$B$44,0))=1,ISNUMBER($F$12),$F$12&gt;=0,$F$12&lt;1),INDEX('Pilot inputs'!$AP$15:$AP$44,MATCH(B280,'Pilot inputs'!$B$15:$B$44,0)),"Unranked"),"Unranked")</f>
        <v>75</v>
      </c>
      <c r="L280" s="145">
        <f t="shared" si="129"/>
        <v>48.75</v>
      </c>
      <c r="M280" s="145">
        <f>IFERROR(__xludf.DUMMYFUNCTION("IFERROR(IF(ISNUMBER(L280),1+COUNTIF(FILTER($G$15:$G$24,$A$15:$A$24&lt;&gt;B280),""&gt;""&amp;L280)+COUNTIF(FILTER($G$15:$G$24,$A$15:$A$24&lt;&gt;B280),L280)/2,""Unranked""),""Unranked"")"),8.0)</f>
        <v>8</v>
      </c>
      <c r="N280" s="145">
        <f t="shared" si="130"/>
        <v>54</v>
      </c>
      <c r="O280" s="145">
        <f>IFERROR(__xludf.DUMMYFUNCTION("IFERROR(IF(ISNUMBER(N280),1+COUNTIF(FILTER($I$15:$I$24,$A$15:$A$24&lt;&gt;B280),""&gt;""&amp;N280)+COUNTIF(FILTER($I$15:$I$24,$A$15:$A$24&lt;&gt;B280),N280)/2,""Unranked""),""Unranked"")"),7.0)</f>
        <v>7</v>
      </c>
      <c r="P280" s="145">
        <f t="shared" si="131"/>
        <v>44.25</v>
      </c>
      <c r="Q280" s="145">
        <f>IFERROR(__xludf.DUMMYFUNCTION("IFERROR(IF(ISNUMBER(P280),1+COUNTIF(FILTER($K$15:$K$24,$A$15:$A$24&lt;&gt;B280),""&gt;""&amp;P280)+COUNTIF(FILTER($K$15:$K$24,$A$15:$A$24&lt;&gt;B280),P280)/2,""Unranked""),""Unranked"")"),8.0)</f>
        <v>8</v>
      </c>
      <c r="R280" s="145">
        <f t="shared" si="132"/>
        <v>0</v>
      </c>
      <c r="S280" s="145">
        <f t="shared" si="133"/>
        <v>0</v>
      </c>
      <c r="T280" s="145">
        <f t="shared" si="134"/>
        <v>0</v>
      </c>
      <c r="U280" s="93" t="s">
        <v>1717</v>
      </c>
      <c r="V280" s="93" t="s">
        <v>1718</v>
      </c>
      <c r="W280" s="93"/>
      <c r="X280" s="93"/>
    </row>
    <row r="281" ht="24.0" customHeight="1">
      <c r="A281" s="93">
        <v>137.0</v>
      </c>
      <c r="B281" s="93" t="s">
        <v>340</v>
      </c>
      <c r="C281" s="93" t="s">
        <v>30</v>
      </c>
      <c r="D281" s="93" t="s">
        <v>1234</v>
      </c>
      <c r="E281" s="145">
        <v>-1.0</v>
      </c>
      <c r="F281" s="145">
        <f t="array" ref="F281">INDEX('Pilot inputs'!$N$15:$N$44,MATCH(B281,'Pilot inputs'!$B$15:$B$44,0))</f>
        <v>2.03</v>
      </c>
      <c r="G281" s="145">
        <f t="shared" si="128"/>
        <v>1.9285</v>
      </c>
      <c r="H281" s="145">
        <f t="array" ref="H281">IFERROR(IF(AND(INDEX('Pilot inputs'!$AQ$15:$AQ$44,MATCH(B281,'Pilot inputs'!$B$15:$B$44,0))=1,ISNUMBER($F$12),$F$12&gt;=0,$F$12&lt;1),INDEX('Pilot inputs'!$AG$15:$AG$44,MATCH(B281,'Pilot inputs'!$B$15:$B$44,0)),"Unranked"),"Unranked")</f>
        <v>50</v>
      </c>
      <c r="I281" s="145">
        <f>IFERROR(__xludf.DUMMYFUNCTION("IFERROR(IF(AND(INDEX('Pilot inputs'!$AQ$15:$AQ$44,MATCH(B281,'Pilot inputs'!$B$15:$B$44,0))=1,ISNUMBER($F$12),$F$12&gt;=0,$F$12&lt;1),INDEX('Pilot inputs'!$AL$15:$AL$44,MATCH(B281,'Pilot inputs'!$B$15:$B$44,0))+0.2*((100-LET(peer_values,FILTER('Pilot inputs'!$N"&amp;"$15:$N$44,'Pilot inputs'!$D$15:$D$44=INDEX('Pilot inputs'!$D$15:$D$44,MATCH(B281,'Pilot inputs'!$B$15:$B$44,0)),'Pilot inputs'!$B$15:$B$44&lt;&gt;B281,'Pilot inputs'!$AA$15:$AA$44=1),peer_count,ROWS(peer_values),IF(peer_count+1&lt;MAX(3,Rules!$B$12),""Unranked"",1"&amp;"00*(SUMPRODUCT(N(peer_values&lt;G281))+SUMPRODUCT(N(peer_values=G281))/2)/peer_count)))-INDEX('Pilot inputs'!$AK$15:$AK$44,MATCH(B281,'Pilot inputs'!$B$15:$B$44,0))),""Unranked""),""Unranked"")"),20.0)</f>
        <v>20</v>
      </c>
      <c r="J281" s="145">
        <f t="array" ref="J281">IFERROR(IF(AND(INDEX('Pilot inputs'!$AQ$15:$AQ$44,MATCH(B281,'Pilot inputs'!$B$15:$B$44,0))=1,ISNUMBER($F$12),$F$12&gt;=0,$F$12&lt;1),INDEX('Pilot inputs'!$AM$15:$AM$44,MATCH(B281,'Pilot inputs'!$B$15:$B$44,0)),"Unranked"),"Unranked")</f>
        <v>50</v>
      </c>
      <c r="K281" s="145">
        <f t="array" ref="K281">IFERROR(IF(AND(INDEX('Pilot inputs'!$AQ$15:$AQ$44,MATCH(B281,'Pilot inputs'!$B$15:$B$44,0))=1,ISNUMBER($F$12),$F$12&gt;=0,$F$12&lt;1),INDEX('Pilot inputs'!$AP$15:$AP$44,MATCH(B281,'Pilot inputs'!$B$15:$B$44,0)),"Unranked"),"Unranked")</f>
        <v>75</v>
      </c>
      <c r="L281" s="145">
        <f t="shared" si="129"/>
        <v>48.75</v>
      </c>
      <c r="M281" s="145">
        <f>IFERROR(__xludf.DUMMYFUNCTION("IFERROR(IF(ISNUMBER(L281),1+COUNTIF(FILTER($G$15:$G$24,$A$15:$A$24&lt;&gt;B281),""&gt;""&amp;L281)+COUNTIF(FILTER($G$15:$G$24,$A$15:$A$24&lt;&gt;B281),L281)/2,""Unranked""),""Unranked"")"),8.0)</f>
        <v>8</v>
      </c>
      <c r="N281" s="145">
        <f t="shared" si="130"/>
        <v>54</v>
      </c>
      <c r="O281" s="145">
        <f>IFERROR(__xludf.DUMMYFUNCTION("IFERROR(IF(ISNUMBER(N281),1+COUNTIF(FILTER($I$15:$I$24,$A$15:$A$24&lt;&gt;B281),""&gt;""&amp;N281)+COUNTIF(FILTER($I$15:$I$24,$A$15:$A$24&lt;&gt;B281),N281)/2,""Unranked""),""Unranked"")"),7.0)</f>
        <v>7</v>
      </c>
      <c r="P281" s="145">
        <f t="shared" si="131"/>
        <v>44.25</v>
      </c>
      <c r="Q281" s="145">
        <f>IFERROR(__xludf.DUMMYFUNCTION("IFERROR(IF(ISNUMBER(P281),1+COUNTIF(FILTER($K$15:$K$24,$A$15:$A$24&lt;&gt;B281),""&gt;""&amp;P281)+COUNTIF(FILTER($K$15:$K$24,$A$15:$A$24&lt;&gt;B281),P281)/2,""Unranked""),""Unranked"")"),8.0)</f>
        <v>8</v>
      </c>
      <c r="R281" s="145">
        <f t="shared" si="132"/>
        <v>0</v>
      </c>
      <c r="S281" s="145">
        <f t="shared" si="133"/>
        <v>0</v>
      </c>
      <c r="T281" s="145">
        <f t="shared" si="134"/>
        <v>0</v>
      </c>
      <c r="U281" s="93" t="s">
        <v>1717</v>
      </c>
      <c r="V281" s="93" t="s">
        <v>1718</v>
      </c>
      <c r="W281" s="93"/>
      <c r="X281" s="93"/>
    </row>
    <row r="282" ht="24.0" customHeight="1">
      <c r="A282" s="93">
        <v>138.0</v>
      </c>
      <c r="B282" s="93" t="s">
        <v>340</v>
      </c>
      <c r="C282" s="93" t="s">
        <v>30</v>
      </c>
      <c r="D282" s="93" t="s">
        <v>1234</v>
      </c>
      <c r="E282" s="145">
        <v>1.0</v>
      </c>
      <c r="F282" s="145">
        <f t="array" ref="F282">INDEX('Pilot inputs'!$N$15:$N$44,MATCH(B282,'Pilot inputs'!$B$15:$B$44,0))</f>
        <v>2.03</v>
      </c>
      <c r="G282" s="145">
        <f t="shared" si="128"/>
        <v>2.1315</v>
      </c>
      <c r="H282" s="145">
        <f t="array" ref="H282">IFERROR(IF(AND(INDEX('Pilot inputs'!$AQ$15:$AQ$44,MATCH(B282,'Pilot inputs'!$B$15:$B$44,0))=1,ISNUMBER($F$12),$F$12&gt;=0,$F$12&lt;1),INDEX('Pilot inputs'!$AG$15:$AG$44,MATCH(B282,'Pilot inputs'!$B$15:$B$44,0)),"Unranked"),"Unranked")</f>
        <v>50</v>
      </c>
      <c r="I282" s="145">
        <f>IFERROR(__xludf.DUMMYFUNCTION("IFERROR(IF(AND(INDEX('Pilot inputs'!$AQ$15:$AQ$44,MATCH(B282,'Pilot inputs'!$B$15:$B$44,0))=1,ISNUMBER($F$12),$F$12&gt;=0,$F$12&lt;1),INDEX('Pilot inputs'!$AL$15:$AL$44,MATCH(B282,'Pilot inputs'!$B$15:$B$44,0))+0.2*((100-LET(peer_values,FILTER('Pilot inputs'!$N"&amp;"$15:$N$44,'Pilot inputs'!$D$15:$D$44=INDEX('Pilot inputs'!$D$15:$D$44,MATCH(B282,'Pilot inputs'!$B$15:$B$44,0)),'Pilot inputs'!$B$15:$B$44&lt;&gt;B282,'Pilot inputs'!$AA$15:$AA$44=1),peer_count,ROWS(peer_values),IF(peer_count+1&lt;MAX(3,Rules!$B$12),""Unranked"",1"&amp;"00*(SUMPRODUCT(N(peer_values&lt;G282))+SUMPRODUCT(N(peer_values=G282))/2)/peer_count)))-INDEX('Pilot inputs'!$AK$15:$AK$44,MATCH(B282,'Pilot inputs'!$B$15:$B$44,0))),""Unranked""),""Unranked"")"),20.0)</f>
        <v>20</v>
      </c>
      <c r="J282" s="145">
        <f t="array" ref="J282">IFERROR(IF(AND(INDEX('Pilot inputs'!$AQ$15:$AQ$44,MATCH(B282,'Pilot inputs'!$B$15:$B$44,0))=1,ISNUMBER($F$12),$F$12&gt;=0,$F$12&lt;1),INDEX('Pilot inputs'!$AM$15:$AM$44,MATCH(B282,'Pilot inputs'!$B$15:$B$44,0)),"Unranked"),"Unranked")</f>
        <v>50</v>
      </c>
      <c r="K282" s="145">
        <f t="array" ref="K282">IFERROR(IF(AND(INDEX('Pilot inputs'!$AQ$15:$AQ$44,MATCH(B282,'Pilot inputs'!$B$15:$B$44,0))=1,ISNUMBER($F$12),$F$12&gt;=0,$F$12&lt;1),INDEX('Pilot inputs'!$AP$15:$AP$44,MATCH(B282,'Pilot inputs'!$B$15:$B$44,0)),"Unranked"),"Unranked")</f>
        <v>75</v>
      </c>
      <c r="L282" s="145">
        <f t="shared" si="129"/>
        <v>48.75</v>
      </c>
      <c r="M282" s="145">
        <f>IFERROR(__xludf.DUMMYFUNCTION("IFERROR(IF(ISNUMBER(L282),1+COUNTIF(FILTER($G$15:$G$24,$A$15:$A$24&lt;&gt;B282),""&gt;""&amp;L282)+COUNTIF(FILTER($G$15:$G$24,$A$15:$A$24&lt;&gt;B282),L282)/2,""Unranked""),""Unranked"")"),8.0)</f>
        <v>8</v>
      </c>
      <c r="N282" s="145">
        <f t="shared" si="130"/>
        <v>54</v>
      </c>
      <c r="O282" s="145">
        <f>IFERROR(__xludf.DUMMYFUNCTION("IFERROR(IF(ISNUMBER(N282),1+COUNTIF(FILTER($I$15:$I$24,$A$15:$A$24&lt;&gt;B282),""&gt;""&amp;N282)+COUNTIF(FILTER($I$15:$I$24,$A$15:$A$24&lt;&gt;B282),N282)/2,""Unranked""),""Unranked"")"),7.0)</f>
        <v>7</v>
      </c>
      <c r="P282" s="145">
        <f t="shared" si="131"/>
        <v>44.25</v>
      </c>
      <c r="Q282" s="145">
        <f>IFERROR(__xludf.DUMMYFUNCTION("IFERROR(IF(ISNUMBER(P282),1+COUNTIF(FILTER($K$15:$K$24,$A$15:$A$24&lt;&gt;B282),""&gt;""&amp;P282)+COUNTIF(FILTER($K$15:$K$24,$A$15:$A$24&lt;&gt;B282),P282)/2,""Unranked""),""Unranked"")"),8.0)</f>
        <v>8</v>
      </c>
      <c r="R282" s="145">
        <f t="shared" si="132"/>
        <v>0</v>
      </c>
      <c r="S282" s="145">
        <f t="shared" si="133"/>
        <v>0</v>
      </c>
      <c r="T282" s="145">
        <f t="shared" si="134"/>
        <v>0</v>
      </c>
      <c r="U282" s="93" t="s">
        <v>1717</v>
      </c>
      <c r="V282" s="93" t="s">
        <v>1718</v>
      </c>
      <c r="W282" s="93"/>
      <c r="X282" s="93"/>
    </row>
    <row r="283" ht="24.0" customHeight="1">
      <c r="A283" s="93">
        <v>139.0</v>
      </c>
      <c r="B283" s="93" t="s">
        <v>340</v>
      </c>
      <c r="C283" s="93" t="s">
        <v>30</v>
      </c>
      <c r="D283" s="93" t="s">
        <v>1235</v>
      </c>
      <c r="E283" s="145">
        <v>-1.0</v>
      </c>
      <c r="F283" s="145">
        <f t="array" ref="F283">INDEX('Pilot inputs'!$O$15:$O$44,MATCH(B283,'Pilot inputs'!$B$15:$B$44,0))</f>
        <v>0.0416</v>
      </c>
      <c r="G283" s="145">
        <f t="shared" si="128"/>
        <v>0.03952</v>
      </c>
      <c r="H283" s="145">
        <f t="array" ref="H283">IFERROR(IF(AND(INDEX('Pilot inputs'!$AQ$15:$AQ$44,MATCH(B283,'Pilot inputs'!$B$15:$B$44,0))=1,ISNUMBER($F$12),$F$12&gt;=0,$F$12&lt;1),INDEX('Pilot inputs'!$AG$15:$AG$44,MATCH(B283,'Pilot inputs'!$B$15:$B$44,0)),"Unranked"),"Unranked")</f>
        <v>50</v>
      </c>
      <c r="I283" s="145">
        <f t="array" ref="I283">IFERROR(IF(AND(INDEX('Pilot inputs'!$AQ$15:$AQ$44,MATCH(B283,'Pilot inputs'!$B$15:$B$44,0))=1,ISNUMBER($F$12),$F$12&gt;=0,$F$12&lt;1),INDEX('Pilot inputs'!$AL$15:$AL$44,MATCH(B283,'Pilot inputs'!$B$15:$B$44,0)),"Unranked"),"Unranked")</f>
        <v>20</v>
      </c>
      <c r="J283" s="145">
        <f t="array" ref="J283">IFERROR(IF(AND(INDEX('Pilot inputs'!$AQ$15:$AQ$44,MATCH(B283,'Pilot inputs'!$B$15:$B$44,0))=1,ISNUMBER($F$12),$F$12&gt;=0,$F$12&lt;1),INDEX('Pilot inputs'!$AM$15:$AM$44,MATCH(B283,'Pilot inputs'!$B$15:$B$44,0)),"Unranked"),"Unranked")</f>
        <v>50</v>
      </c>
      <c r="K283" s="145">
        <f>IFERROR(__xludf.DUMMYFUNCTION("IFERROR(IF(AND(INDEX('Pilot inputs'!$AQ$15:$AQ$44,MATCH(B283,'Pilot inputs'!$B$15:$B$44,0))=1,ISNUMBER($F$12),$F$12&gt;=0,$F$12&lt;1),(LET(peer_values,FILTER('Pilot inputs'!$O$15:$O$44,'Pilot inputs'!$D$15:$D$44=INDEX('Pilot inputs'!$D$15:$D$44,MATCH(B283,'Pilo"&amp;"t inputs'!$B$15:$B$44,0)),'Pilot inputs'!$B$15:$B$44&lt;&gt;B283,'Pilot inputs'!$AA$15:$AA$44=1),peer_count,ROWS(peer_values),IF(peer_count+1&lt;MAX(3,Rules!$B$12),""Unranked"",100*(SUMPRODUCT(N(peer_values&lt;G283))+SUMPRODUCT(N(peer_values=G283))/2)/peer_count))+IN"&amp;"DEX('Pilot inputs'!$AO$15:$AO$44,MATCH(B283,'Pilot inputs'!$B$15:$B$44,0)))/2,""Unranked""),""Unranked"")"),75.0)</f>
        <v>75</v>
      </c>
      <c r="L283" s="145">
        <f t="shared" si="129"/>
        <v>48.75</v>
      </c>
      <c r="M283" s="145">
        <f>IFERROR(__xludf.DUMMYFUNCTION("IFERROR(IF(ISNUMBER(L283),1+COUNTIF(FILTER($G$15:$G$24,$A$15:$A$24&lt;&gt;B283),""&gt;""&amp;L283)+COUNTIF(FILTER($G$15:$G$24,$A$15:$A$24&lt;&gt;B283),L283)/2,""Unranked""),""Unranked"")"),8.0)</f>
        <v>8</v>
      </c>
      <c r="N283" s="145">
        <f t="shared" si="130"/>
        <v>54</v>
      </c>
      <c r="O283" s="145">
        <f>IFERROR(__xludf.DUMMYFUNCTION("IFERROR(IF(ISNUMBER(N283),1+COUNTIF(FILTER($I$15:$I$24,$A$15:$A$24&lt;&gt;B283),""&gt;""&amp;N283)+COUNTIF(FILTER($I$15:$I$24,$A$15:$A$24&lt;&gt;B283),N283)/2,""Unranked""),""Unranked"")"),7.0)</f>
        <v>7</v>
      </c>
      <c r="P283" s="145">
        <f t="shared" si="131"/>
        <v>44.25</v>
      </c>
      <c r="Q283" s="145">
        <f>IFERROR(__xludf.DUMMYFUNCTION("IFERROR(IF(ISNUMBER(P283),1+COUNTIF(FILTER($K$15:$K$24,$A$15:$A$24&lt;&gt;B283),""&gt;""&amp;P283)+COUNTIF(FILTER($K$15:$K$24,$A$15:$A$24&lt;&gt;B283),P283)/2,""Unranked""),""Unranked"")"),8.0)</f>
        <v>8</v>
      </c>
      <c r="R283" s="145">
        <f t="shared" si="132"/>
        <v>0</v>
      </c>
      <c r="S283" s="145">
        <f t="shared" si="133"/>
        <v>0</v>
      </c>
      <c r="T283" s="145">
        <f t="shared" si="134"/>
        <v>0</v>
      </c>
      <c r="U283" s="93" t="s">
        <v>1717</v>
      </c>
      <c r="V283" s="93" t="s">
        <v>1718</v>
      </c>
      <c r="W283" s="93"/>
      <c r="X283" s="93"/>
    </row>
    <row r="284" ht="24.0" customHeight="1">
      <c r="A284" s="93">
        <v>140.0</v>
      </c>
      <c r="B284" s="93" t="s">
        <v>340</v>
      </c>
      <c r="C284" s="93" t="s">
        <v>30</v>
      </c>
      <c r="D284" s="93" t="s">
        <v>1235</v>
      </c>
      <c r="E284" s="145">
        <v>1.0</v>
      </c>
      <c r="F284" s="145">
        <f t="array" ref="F284">INDEX('Pilot inputs'!$O$15:$O$44,MATCH(B284,'Pilot inputs'!$B$15:$B$44,0))</f>
        <v>0.0416</v>
      </c>
      <c r="G284" s="145">
        <f t="shared" si="128"/>
        <v>0.04368</v>
      </c>
      <c r="H284" s="145">
        <f t="array" ref="H284">IFERROR(IF(AND(INDEX('Pilot inputs'!$AQ$15:$AQ$44,MATCH(B284,'Pilot inputs'!$B$15:$B$44,0))=1,ISNUMBER($F$12),$F$12&gt;=0,$F$12&lt;1),INDEX('Pilot inputs'!$AG$15:$AG$44,MATCH(B284,'Pilot inputs'!$B$15:$B$44,0)),"Unranked"),"Unranked")</f>
        <v>50</v>
      </c>
      <c r="I284" s="145">
        <f t="array" ref="I284">IFERROR(IF(AND(INDEX('Pilot inputs'!$AQ$15:$AQ$44,MATCH(B284,'Pilot inputs'!$B$15:$B$44,0))=1,ISNUMBER($F$12),$F$12&gt;=0,$F$12&lt;1),INDEX('Pilot inputs'!$AL$15:$AL$44,MATCH(B284,'Pilot inputs'!$B$15:$B$44,0)),"Unranked"),"Unranked")</f>
        <v>20</v>
      </c>
      <c r="J284" s="145">
        <f t="array" ref="J284">IFERROR(IF(AND(INDEX('Pilot inputs'!$AQ$15:$AQ$44,MATCH(B284,'Pilot inputs'!$B$15:$B$44,0))=1,ISNUMBER($F$12),$F$12&gt;=0,$F$12&lt;1),INDEX('Pilot inputs'!$AM$15:$AM$44,MATCH(B284,'Pilot inputs'!$B$15:$B$44,0)),"Unranked"),"Unranked")</f>
        <v>50</v>
      </c>
      <c r="K284" s="145">
        <f>IFERROR(__xludf.DUMMYFUNCTION("IFERROR(IF(AND(INDEX('Pilot inputs'!$AQ$15:$AQ$44,MATCH(B284,'Pilot inputs'!$B$15:$B$44,0))=1,ISNUMBER($F$12),$F$12&gt;=0,$F$12&lt;1),(LET(peer_values,FILTER('Pilot inputs'!$O$15:$O$44,'Pilot inputs'!$D$15:$D$44=INDEX('Pilot inputs'!$D$15:$D$44,MATCH(B284,'Pilo"&amp;"t inputs'!$B$15:$B$44,0)),'Pilot inputs'!$B$15:$B$44&lt;&gt;B284,'Pilot inputs'!$AA$15:$AA$44=1),peer_count,ROWS(peer_values),IF(peer_count+1&lt;MAX(3,Rules!$B$12),""Unranked"",100*(SUMPRODUCT(N(peer_values&lt;G284))+SUMPRODUCT(N(peer_values=G284))/2)/peer_count))+IN"&amp;"DEX('Pilot inputs'!$AO$15:$AO$44,MATCH(B284,'Pilot inputs'!$B$15:$B$44,0)))/2,""Unranked""),""Unranked"")"),75.0)</f>
        <v>75</v>
      </c>
      <c r="L284" s="145">
        <f t="shared" si="129"/>
        <v>48.75</v>
      </c>
      <c r="M284" s="145">
        <f>IFERROR(__xludf.DUMMYFUNCTION("IFERROR(IF(ISNUMBER(L284),1+COUNTIF(FILTER($G$15:$G$24,$A$15:$A$24&lt;&gt;B284),""&gt;""&amp;L284)+COUNTIF(FILTER($G$15:$G$24,$A$15:$A$24&lt;&gt;B284),L284)/2,""Unranked""),""Unranked"")"),8.0)</f>
        <v>8</v>
      </c>
      <c r="N284" s="145">
        <f t="shared" si="130"/>
        <v>54</v>
      </c>
      <c r="O284" s="145">
        <f>IFERROR(__xludf.DUMMYFUNCTION("IFERROR(IF(ISNUMBER(N284),1+COUNTIF(FILTER($I$15:$I$24,$A$15:$A$24&lt;&gt;B284),""&gt;""&amp;N284)+COUNTIF(FILTER($I$15:$I$24,$A$15:$A$24&lt;&gt;B284),N284)/2,""Unranked""),""Unranked"")"),7.0)</f>
        <v>7</v>
      </c>
      <c r="P284" s="145">
        <f t="shared" si="131"/>
        <v>44.25</v>
      </c>
      <c r="Q284" s="145">
        <f>IFERROR(__xludf.DUMMYFUNCTION("IFERROR(IF(ISNUMBER(P284),1+COUNTIF(FILTER($K$15:$K$24,$A$15:$A$24&lt;&gt;B284),""&gt;""&amp;P284)+COUNTIF(FILTER($K$15:$K$24,$A$15:$A$24&lt;&gt;B284),P284)/2,""Unranked""),""Unranked"")"),8.0)</f>
        <v>8</v>
      </c>
      <c r="R284" s="145">
        <f t="shared" si="132"/>
        <v>0</v>
      </c>
      <c r="S284" s="145">
        <f t="shared" si="133"/>
        <v>0</v>
      </c>
      <c r="T284" s="145">
        <f t="shared" si="134"/>
        <v>0</v>
      </c>
      <c r="U284" s="93" t="s">
        <v>1717</v>
      </c>
      <c r="V284" s="93" t="s">
        <v>1718</v>
      </c>
      <c r="W284" s="93"/>
      <c r="X284" s="93"/>
    </row>
    <row r="285" ht="24.0" customHeight="1">
      <c r="A285" s="93">
        <v>141.0</v>
      </c>
      <c r="B285" s="93" t="s">
        <v>340</v>
      </c>
      <c r="C285" s="93" t="s">
        <v>30</v>
      </c>
      <c r="D285" s="93" t="s">
        <v>1742</v>
      </c>
      <c r="E285" s="145">
        <v>-1.0</v>
      </c>
      <c r="F285" s="145">
        <f t="array" ref="F285">INDEX('Pilot inputs'!$P$15:$P$44,MATCH(B285,'Pilot inputs'!$B$15:$B$44,0))</f>
        <v>0.2398</v>
      </c>
      <c r="G285" s="145">
        <f t="shared" si="128"/>
        <v>0.22781</v>
      </c>
      <c r="H285" s="145">
        <f t="array" ref="H285">IFERROR(IF(AND(INDEX('Pilot inputs'!$AQ$15:$AQ$44,MATCH(B285,'Pilot inputs'!$B$15:$B$44,0))=1,ISNUMBER($F$12),$F$12&gt;=0,$F$12&lt;1),INDEX('Pilot inputs'!$AG$15:$AG$44,MATCH(B285,'Pilot inputs'!$B$15:$B$44,0)),"Unranked"),"Unranked")</f>
        <v>50</v>
      </c>
      <c r="I285" s="145">
        <f t="array" ref="I285">IFERROR(IF(AND(INDEX('Pilot inputs'!$AQ$15:$AQ$44,MATCH(B285,'Pilot inputs'!$B$15:$B$44,0))=1,ISNUMBER($F$12),$F$12&gt;=0,$F$12&lt;1),INDEX('Pilot inputs'!$AL$15:$AL$44,MATCH(B285,'Pilot inputs'!$B$15:$B$44,0)),"Unranked"),"Unranked")</f>
        <v>20</v>
      </c>
      <c r="J285" s="145">
        <f t="array" ref="J285">IFERROR(IF(AND(INDEX('Pilot inputs'!$AQ$15:$AQ$44,MATCH(B285,'Pilot inputs'!$B$15:$B$44,0))=1,ISNUMBER($F$12),$F$12&gt;=0,$F$12&lt;1),INDEX('Pilot inputs'!$AM$15:$AM$44,MATCH(B285,'Pilot inputs'!$B$15:$B$44,0)),"Unranked"),"Unranked")</f>
        <v>50</v>
      </c>
      <c r="K285" s="145">
        <f>IFERROR(__xludf.DUMMYFUNCTION("IFERROR(IF(AND(INDEX('Pilot inputs'!$AQ$15:$AQ$44,MATCH(B285,'Pilot inputs'!$B$15:$B$44,0))=1,ISNUMBER($F$12),$F$12&gt;=0,$F$12&lt;1),(LET(peer_values,FILTER('Pilot inputs'!$P$15:$P$44,'Pilot inputs'!$D$15:$D$44=INDEX('Pilot inputs'!$D$15:$D$44,MATCH(B285,'Pilo"&amp;"t inputs'!$B$15:$B$44,0)),'Pilot inputs'!$B$15:$B$44&lt;&gt;B285,'Pilot inputs'!$AA$15:$AA$44=1),peer_count,ROWS(peer_values),IF(peer_count+1&lt;MAX(3,Rules!$B$12),""Unranked"",100*(SUMPRODUCT(N(peer_values&lt;G285))+SUMPRODUCT(N(peer_values=G285))/2)/peer_count))+IN"&amp;"DEX('Pilot inputs'!$AN$15:$AN$44,MATCH(B285,'Pilot inputs'!$B$15:$B$44,0)))/2,""Unranked""),""Unranked"")"),75.0)</f>
        <v>75</v>
      </c>
      <c r="L285" s="145">
        <f t="shared" si="129"/>
        <v>48.75</v>
      </c>
      <c r="M285" s="145">
        <f>IFERROR(__xludf.DUMMYFUNCTION("IFERROR(IF(ISNUMBER(L285),1+COUNTIF(FILTER($G$15:$G$24,$A$15:$A$24&lt;&gt;B285),""&gt;""&amp;L285)+COUNTIF(FILTER($G$15:$G$24,$A$15:$A$24&lt;&gt;B285),L285)/2,""Unranked""),""Unranked"")"),8.0)</f>
        <v>8</v>
      </c>
      <c r="N285" s="145">
        <f t="shared" si="130"/>
        <v>54</v>
      </c>
      <c r="O285" s="145">
        <f>IFERROR(__xludf.DUMMYFUNCTION("IFERROR(IF(ISNUMBER(N285),1+COUNTIF(FILTER($I$15:$I$24,$A$15:$A$24&lt;&gt;B285),""&gt;""&amp;N285)+COUNTIF(FILTER($I$15:$I$24,$A$15:$A$24&lt;&gt;B285),N285)/2,""Unranked""),""Unranked"")"),7.0)</f>
        <v>7</v>
      </c>
      <c r="P285" s="145">
        <f t="shared" si="131"/>
        <v>44.25</v>
      </c>
      <c r="Q285" s="145">
        <f>IFERROR(__xludf.DUMMYFUNCTION("IFERROR(IF(ISNUMBER(P285),1+COUNTIF(FILTER($K$15:$K$24,$A$15:$A$24&lt;&gt;B285),""&gt;""&amp;P285)+COUNTIF(FILTER($K$15:$K$24,$A$15:$A$24&lt;&gt;B285),P285)/2,""Unranked""),""Unranked"")"),8.0)</f>
        <v>8</v>
      </c>
      <c r="R285" s="145">
        <f t="shared" si="132"/>
        <v>0</v>
      </c>
      <c r="S285" s="145">
        <f t="shared" si="133"/>
        <v>0</v>
      </c>
      <c r="T285" s="145">
        <f t="shared" si="134"/>
        <v>0</v>
      </c>
      <c r="U285" s="93" t="s">
        <v>1717</v>
      </c>
      <c r="V285" s="93" t="s">
        <v>1718</v>
      </c>
      <c r="W285" s="93"/>
      <c r="X285" s="93"/>
    </row>
    <row r="286" ht="24.0" customHeight="1">
      <c r="A286" s="93">
        <v>142.0</v>
      </c>
      <c r="B286" s="93" t="s">
        <v>340</v>
      </c>
      <c r="C286" s="93" t="s">
        <v>30</v>
      </c>
      <c r="D286" s="93" t="s">
        <v>1742</v>
      </c>
      <c r="E286" s="145">
        <v>1.0</v>
      </c>
      <c r="F286" s="145">
        <f t="array" ref="F286">INDEX('Pilot inputs'!$P$15:$P$44,MATCH(B286,'Pilot inputs'!$B$15:$B$44,0))</f>
        <v>0.2398</v>
      </c>
      <c r="G286" s="145">
        <f t="shared" si="128"/>
        <v>0.25179</v>
      </c>
      <c r="H286" s="145">
        <f t="array" ref="H286">IFERROR(IF(AND(INDEX('Pilot inputs'!$AQ$15:$AQ$44,MATCH(B286,'Pilot inputs'!$B$15:$B$44,0))=1,ISNUMBER($F$12),$F$12&gt;=0,$F$12&lt;1),INDEX('Pilot inputs'!$AG$15:$AG$44,MATCH(B286,'Pilot inputs'!$B$15:$B$44,0)),"Unranked"),"Unranked")</f>
        <v>50</v>
      </c>
      <c r="I286" s="145">
        <f t="array" ref="I286">IFERROR(IF(AND(INDEX('Pilot inputs'!$AQ$15:$AQ$44,MATCH(B286,'Pilot inputs'!$B$15:$B$44,0))=1,ISNUMBER($F$12),$F$12&gt;=0,$F$12&lt;1),INDEX('Pilot inputs'!$AL$15:$AL$44,MATCH(B286,'Pilot inputs'!$B$15:$B$44,0)),"Unranked"),"Unranked")</f>
        <v>20</v>
      </c>
      <c r="J286" s="145">
        <f t="array" ref="J286">IFERROR(IF(AND(INDEX('Pilot inputs'!$AQ$15:$AQ$44,MATCH(B286,'Pilot inputs'!$B$15:$B$44,0))=1,ISNUMBER($F$12),$F$12&gt;=0,$F$12&lt;1),INDEX('Pilot inputs'!$AM$15:$AM$44,MATCH(B286,'Pilot inputs'!$B$15:$B$44,0)),"Unranked"),"Unranked")</f>
        <v>50</v>
      </c>
      <c r="K286" s="145">
        <f>IFERROR(__xludf.DUMMYFUNCTION("IFERROR(IF(AND(INDEX('Pilot inputs'!$AQ$15:$AQ$44,MATCH(B286,'Pilot inputs'!$B$15:$B$44,0))=1,ISNUMBER($F$12),$F$12&gt;=0,$F$12&lt;1),(LET(peer_values,FILTER('Pilot inputs'!$P$15:$P$44,'Pilot inputs'!$D$15:$D$44=INDEX('Pilot inputs'!$D$15:$D$44,MATCH(B286,'Pilo"&amp;"t inputs'!$B$15:$B$44,0)),'Pilot inputs'!$B$15:$B$44&lt;&gt;B286,'Pilot inputs'!$AA$15:$AA$44=1),peer_count,ROWS(peer_values),IF(peer_count+1&lt;MAX(3,Rules!$B$12),""Unranked"",100*(SUMPRODUCT(N(peer_values&lt;G286))+SUMPRODUCT(N(peer_values=G286))/2)/peer_count))+IN"&amp;"DEX('Pilot inputs'!$AN$15:$AN$44,MATCH(B286,'Pilot inputs'!$B$15:$B$44,0)))/2,""Unranked""),""Unranked"")"),75.0)</f>
        <v>75</v>
      </c>
      <c r="L286" s="145">
        <f t="shared" si="129"/>
        <v>48.75</v>
      </c>
      <c r="M286" s="145">
        <f>IFERROR(__xludf.DUMMYFUNCTION("IFERROR(IF(ISNUMBER(L286),1+COUNTIF(FILTER($G$15:$G$24,$A$15:$A$24&lt;&gt;B286),""&gt;""&amp;L286)+COUNTIF(FILTER($G$15:$G$24,$A$15:$A$24&lt;&gt;B286),L286)/2,""Unranked""),""Unranked"")"),8.0)</f>
        <v>8</v>
      </c>
      <c r="N286" s="145">
        <f t="shared" si="130"/>
        <v>54</v>
      </c>
      <c r="O286" s="145">
        <f>IFERROR(__xludf.DUMMYFUNCTION("IFERROR(IF(ISNUMBER(N286),1+COUNTIF(FILTER($I$15:$I$24,$A$15:$A$24&lt;&gt;B286),""&gt;""&amp;N286)+COUNTIF(FILTER($I$15:$I$24,$A$15:$A$24&lt;&gt;B286),N286)/2,""Unranked""),""Unranked"")"),7.0)</f>
        <v>7</v>
      </c>
      <c r="P286" s="145">
        <f t="shared" si="131"/>
        <v>44.25</v>
      </c>
      <c r="Q286" s="145">
        <f>IFERROR(__xludf.DUMMYFUNCTION("IFERROR(IF(ISNUMBER(P286),1+COUNTIF(FILTER($K$15:$K$24,$A$15:$A$24&lt;&gt;B286),""&gt;""&amp;P286)+COUNTIF(FILTER($K$15:$K$24,$A$15:$A$24&lt;&gt;B286),P286)/2,""Unranked""),""Unranked"")"),8.0)</f>
        <v>8</v>
      </c>
      <c r="R286" s="145">
        <f t="shared" si="132"/>
        <v>0</v>
      </c>
      <c r="S286" s="145">
        <f t="shared" si="133"/>
        <v>0</v>
      </c>
      <c r="T286" s="145">
        <f t="shared" si="134"/>
        <v>0</v>
      </c>
      <c r="U286" s="93" t="s">
        <v>1717</v>
      </c>
      <c r="V286" s="93" t="s">
        <v>1718</v>
      </c>
      <c r="W286" s="93"/>
      <c r="X286" s="93"/>
    </row>
    <row r="287" ht="24.0" customHeight="1">
      <c r="A287" s="93">
        <v>143.0</v>
      </c>
      <c r="B287" s="93" t="s">
        <v>340</v>
      </c>
      <c r="C287" s="93" t="s">
        <v>30</v>
      </c>
      <c r="D287" s="93" t="s">
        <v>1743</v>
      </c>
      <c r="E287" s="145">
        <v>-1.0</v>
      </c>
      <c r="F287" s="145">
        <f t="array" ref="F287">INDEX('Pilot inputs'!$R$15:$R$44,MATCH(B287,'Pilot inputs'!$B$15:$B$44,0))</f>
        <v>21.876</v>
      </c>
      <c r="G287" s="145">
        <f t="shared" si="128"/>
        <v>20.7822</v>
      </c>
      <c r="H287" s="145">
        <f t="array" ref="H287">IFERROR(IF(AND(INDEX('Pilot inputs'!$AQ$15:$AQ$44,MATCH(B287,'Pilot inputs'!$B$15:$B$44,0))=1,ISNUMBER($F$12),$F$12&gt;=0,$F$12&lt;1),INDEX('Pilot inputs'!$AG$15:$AG$44,MATCH(B287,'Pilot inputs'!$B$15:$B$44,0)),"Unranked"),"Unranked")</f>
        <v>50</v>
      </c>
      <c r="I287" s="145">
        <f t="array" ref="I287">IFERROR(IF(AND(INDEX('Pilot inputs'!$AQ$15:$AQ$44,MATCH(B287,'Pilot inputs'!$B$15:$B$44,0))=1,ISNUMBER($F$12),$F$12&gt;=0,$F$12&lt;1),INDEX('Pilot inputs'!$AL$15:$AL$44,MATCH(B287,'Pilot inputs'!$B$15:$B$44,0)),"Unranked"),"Unranked")</f>
        <v>20</v>
      </c>
      <c r="J287" s="145">
        <f>IFERROR(__xludf.DUMMYFUNCTION("IFERROR(IF(AND(INDEX('Pilot inputs'!$AQ$15:$AQ$44,MATCH(B287,'Pilot inputs'!$B$15:$B$44,0))=1,ISNUMBER($F$12),$F$12&gt;=0,$F$12&lt;1),LET(peer_values,FILTER('Pilot inputs'!$AB$15:$AB$44,'Pilot inputs'!$D$15:$D$44=INDEX('Pilot inputs'!$D$15:$D$44,MATCH(B287,'Pil"&amp;"ot inputs'!$B$15:$B$44,0)),'Pilot inputs'!$B$15:$B$44&lt;&gt;B287,'Pilot inputs'!$AA$15:$AA$44=1),peer_count,ROWS(peer_values),IF(peer_count+1&lt;MAX(3,Rules!$B$12),""Unranked"",100*(SUMPRODUCT(N(peer_values&lt;((G287/INDEX('Pilot inputs'!$T$15:$T$44,MATCH(B287,'Pilo"&amp;"t inputs'!$B$15:$B$44,0)))^(1/3)-1)))+SUMPRODUCT(N(peer_values=((G287/INDEX('Pilot inputs'!$T$15:$T$44,MATCH(B287,'Pilot inputs'!$B$15:$B$44,0)))^(1/3)-1)))/2)/peer_count)),""Unranked""),""Unranked"")"),50.0)</f>
        <v>50</v>
      </c>
      <c r="K287" s="145">
        <f t="array" ref="K287">IFERROR(IF(AND(INDEX('Pilot inputs'!$AQ$15:$AQ$44,MATCH(B287,'Pilot inputs'!$B$15:$B$44,0))=1,ISNUMBER($F$12),$F$12&gt;=0,$F$12&lt;1),INDEX('Pilot inputs'!$AP$15:$AP$44,MATCH(B287,'Pilot inputs'!$B$15:$B$44,0)),"Unranked"),"Unranked")</f>
        <v>75</v>
      </c>
      <c r="L287" s="145">
        <f t="shared" si="129"/>
        <v>48.75</v>
      </c>
      <c r="M287" s="145">
        <f>IFERROR(__xludf.DUMMYFUNCTION("IFERROR(IF(ISNUMBER(L287),1+COUNTIF(FILTER($G$15:$G$24,$A$15:$A$24&lt;&gt;B287),""&gt;""&amp;L287)+COUNTIF(FILTER($G$15:$G$24,$A$15:$A$24&lt;&gt;B287),L287)/2,""Unranked""),""Unranked"")"),8.0)</f>
        <v>8</v>
      </c>
      <c r="N287" s="145">
        <f t="shared" si="130"/>
        <v>54</v>
      </c>
      <c r="O287" s="145">
        <f>IFERROR(__xludf.DUMMYFUNCTION("IFERROR(IF(ISNUMBER(N287),1+COUNTIF(FILTER($I$15:$I$24,$A$15:$A$24&lt;&gt;B287),""&gt;""&amp;N287)+COUNTIF(FILTER($I$15:$I$24,$A$15:$A$24&lt;&gt;B287),N287)/2,""Unranked""),""Unranked"")"),7.0)</f>
        <v>7</v>
      </c>
      <c r="P287" s="145">
        <f t="shared" si="131"/>
        <v>44.25</v>
      </c>
      <c r="Q287" s="145">
        <f>IFERROR(__xludf.DUMMYFUNCTION("IFERROR(IF(ISNUMBER(P287),1+COUNTIF(FILTER($K$15:$K$24,$A$15:$A$24&lt;&gt;B287),""&gt;""&amp;P287)+COUNTIF(FILTER($K$15:$K$24,$A$15:$A$24&lt;&gt;B287),P287)/2,""Unranked""),""Unranked"")"),8.0)</f>
        <v>8</v>
      </c>
      <c r="R287" s="145">
        <f t="shared" si="132"/>
        <v>0</v>
      </c>
      <c r="S287" s="145">
        <f t="shared" si="133"/>
        <v>0</v>
      </c>
      <c r="T287" s="145">
        <f t="shared" si="134"/>
        <v>0</v>
      </c>
      <c r="U287" s="93" t="s">
        <v>1717</v>
      </c>
      <c r="V287" s="93" t="s">
        <v>1718</v>
      </c>
      <c r="W287" s="93"/>
      <c r="X287" s="93"/>
    </row>
    <row r="288" ht="24.0" customHeight="1">
      <c r="A288" s="93">
        <v>144.0</v>
      </c>
      <c r="B288" s="93" t="s">
        <v>340</v>
      </c>
      <c r="C288" s="93" t="s">
        <v>30</v>
      </c>
      <c r="D288" s="93" t="s">
        <v>1743</v>
      </c>
      <c r="E288" s="145">
        <v>1.0</v>
      </c>
      <c r="F288" s="145">
        <f t="array" ref="F288">INDEX('Pilot inputs'!$R$15:$R$44,MATCH(B288,'Pilot inputs'!$B$15:$B$44,0))</f>
        <v>21.876</v>
      </c>
      <c r="G288" s="145">
        <f t="shared" si="128"/>
        <v>22.9698</v>
      </c>
      <c r="H288" s="145">
        <f t="array" ref="H288">IFERROR(IF(AND(INDEX('Pilot inputs'!$AQ$15:$AQ$44,MATCH(B288,'Pilot inputs'!$B$15:$B$44,0))=1,ISNUMBER($F$12),$F$12&gt;=0,$F$12&lt;1),INDEX('Pilot inputs'!$AG$15:$AG$44,MATCH(B288,'Pilot inputs'!$B$15:$B$44,0)),"Unranked"),"Unranked")</f>
        <v>50</v>
      </c>
      <c r="I288" s="145">
        <f t="array" ref="I288">IFERROR(IF(AND(INDEX('Pilot inputs'!$AQ$15:$AQ$44,MATCH(B288,'Pilot inputs'!$B$15:$B$44,0))=1,ISNUMBER($F$12),$F$12&gt;=0,$F$12&lt;1),INDEX('Pilot inputs'!$AL$15:$AL$44,MATCH(B288,'Pilot inputs'!$B$15:$B$44,0)),"Unranked"),"Unranked")</f>
        <v>20</v>
      </c>
      <c r="J288" s="145">
        <f>IFERROR(__xludf.DUMMYFUNCTION("IFERROR(IF(AND(INDEX('Pilot inputs'!$AQ$15:$AQ$44,MATCH(B288,'Pilot inputs'!$B$15:$B$44,0))=1,ISNUMBER($F$12),$F$12&gt;=0,$F$12&lt;1),LET(peer_values,FILTER('Pilot inputs'!$AB$15:$AB$44,'Pilot inputs'!$D$15:$D$44=INDEX('Pilot inputs'!$D$15:$D$44,MATCH(B288,'Pil"&amp;"ot inputs'!$B$15:$B$44,0)),'Pilot inputs'!$B$15:$B$44&lt;&gt;B288,'Pilot inputs'!$AA$15:$AA$44=1),peer_count,ROWS(peer_values),IF(peer_count+1&lt;MAX(3,Rules!$B$12),""Unranked"",100*(SUMPRODUCT(N(peer_values&lt;((G288/INDEX('Pilot inputs'!$T$15:$T$44,MATCH(B288,'Pilo"&amp;"t inputs'!$B$15:$B$44,0)))^(1/3)-1)))+SUMPRODUCT(N(peer_values=((G288/INDEX('Pilot inputs'!$T$15:$T$44,MATCH(B288,'Pilot inputs'!$B$15:$B$44,0)))^(1/3)-1)))/2)/peer_count)),""Unranked""),""Unranked"")"),100.0)</f>
        <v>100</v>
      </c>
      <c r="K288" s="145">
        <f t="array" ref="K288">IFERROR(IF(AND(INDEX('Pilot inputs'!$AQ$15:$AQ$44,MATCH(B288,'Pilot inputs'!$B$15:$B$44,0))=1,ISNUMBER($F$12),$F$12&gt;=0,$F$12&lt;1),INDEX('Pilot inputs'!$AP$15:$AP$44,MATCH(B288,'Pilot inputs'!$B$15:$B$44,0)),"Unranked"),"Unranked")</f>
        <v>75</v>
      </c>
      <c r="L288" s="145">
        <f t="shared" si="129"/>
        <v>61.25</v>
      </c>
      <c r="M288" s="145">
        <f>IFERROR(__xludf.DUMMYFUNCTION("IFERROR(IF(ISNUMBER(L288),1+COUNTIF(FILTER($G$15:$G$24,$A$15:$A$24&lt;&gt;B288),""&gt;""&amp;L288)+COUNTIF(FILTER($G$15:$G$24,$A$15:$A$24&lt;&gt;B288),L288)/2,""Unranked""),""Unranked"")"),4.5)</f>
        <v>4.5</v>
      </c>
      <c r="N288" s="145">
        <f t="shared" si="130"/>
        <v>66.5</v>
      </c>
      <c r="O288" s="145">
        <f>IFERROR(__xludf.DUMMYFUNCTION("IFERROR(IF(ISNUMBER(N288),1+COUNTIF(FILTER($I$15:$I$24,$A$15:$A$24&lt;&gt;B288),""&gt;""&amp;N288)+COUNTIF(FILTER($I$15:$I$24,$A$15:$A$24&lt;&gt;B288),N288)/2,""Unranked""),""Unranked"")"),4.0)</f>
        <v>4</v>
      </c>
      <c r="P288" s="145">
        <f t="shared" si="131"/>
        <v>54.25</v>
      </c>
      <c r="Q288" s="145">
        <f>IFERROR(__xludf.DUMMYFUNCTION("IFERROR(IF(ISNUMBER(P288),1+COUNTIF(FILTER($K$15:$K$24,$A$15:$A$24&lt;&gt;B288),""&gt;""&amp;P288)+COUNTIF(FILTER($K$15:$K$24,$A$15:$A$24&lt;&gt;B288),P288)/2,""Unranked""),""Unranked"")"),5.0)</f>
        <v>5</v>
      </c>
      <c r="R288" s="145">
        <f t="shared" si="132"/>
        <v>3.5</v>
      </c>
      <c r="S288" s="145">
        <f t="shared" si="133"/>
        <v>3</v>
      </c>
      <c r="T288" s="145">
        <f t="shared" si="134"/>
        <v>3</v>
      </c>
      <c r="U288" s="93" t="s">
        <v>1717</v>
      </c>
      <c r="V288" s="93" t="s">
        <v>1718</v>
      </c>
      <c r="W288" s="93"/>
      <c r="X288" s="93"/>
    </row>
    <row r="289" ht="24.0" customHeight="1">
      <c r="A289" s="93">
        <v>145.0</v>
      </c>
      <c r="B289" s="93" t="s">
        <v>1406</v>
      </c>
      <c r="C289" s="93" t="s">
        <v>347</v>
      </c>
      <c r="D289" s="93" t="s">
        <v>68</v>
      </c>
      <c r="E289" s="145">
        <v>-1.0</v>
      </c>
      <c r="F289" s="145">
        <f t="array" ref="F289">INDEX('Pilot inputs'!$F$15:$F$44,MATCH(B289,'Pilot inputs'!$B$15:$B$44,0))</f>
        <v>45.17</v>
      </c>
      <c r="G289" s="145">
        <f t="shared" si="128"/>
        <v>42.9115</v>
      </c>
      <c r="H289" s="145">
        <f>IFERROR(__xludf.DUMMYFUNCTION("IFERROR(IF(AND(INDEX('Pilot inputs'!$AQ$15:$AQ$44,MATCH(B289,'Pilot inputs'!$B$15:$B$44,0))=1,ISNUMBER($F$12),$F$12&gt;=0,$F$12&lt;1),(LET(peer_values,FILTER('Pilot inputs'!$F$15:$F$44,'Pilot inputs'!$D$15:$D$44=INDEX('Pilot inputs'!$D$15:$D$44,MATCH(B289,'Pilo"&amp;"t inputs'!$B$15:$B$44,0)),'Pilot inputs'!$B$15:$B$44&lt;&gt;B289,'Pilot inputs'!$AA$15:$AA$44=1),peer_count,ROWS(peer_values),IF(peer_count+1&lt;MAX(3,Rules!$B$12),""Unranked"",100*(SUMPRODUCT(N(peer_values&lt;G289))+SUMPRODUCT(N(peer_values=G289))/2)/peer_count))+IN"&amp;"DEX('Pilot inputs'!$AF$15:$AF$44,MATCH(B289,'Pilot inputs'!$B$15:$B$44,0)))/2,""Unranked""),""Unranked"")"),0.0)</f>
        <v>0</v>
      </c>
      <c r="I289" s="145">
        <f t="array" ref="I289">IFERROR(IF(AND(INDEX('Pilot inputs'!$AQ$15:$AQ$44,MATCH(B289,'Pilot inputs'!$B$15:$B$44,0))=1,ISNUMBER($F$12),$F$12&gt;=0,$F$12&lt;1),INDEX('Pilot inputs'!$AL$15:$AL$44,MATCH(B289,'Pilot inputs'!$B$15:$B$44,0)),"Unranked"),"Unranked")</f>
        <v>100</v>
      </c>
      <c r="J289" s="145">
        <f t="array" ref="J289">IFERROR(IF(AND(INDEX('Pilot inputs'!$AQ$15:$AQ$44,MATCH(B289,'Pilot inputs'!$B$15:$B$44,0))=1,ISNUMBER($F$12),$F$12&gt;=0,$F$12&lt;1),INDEX('Pilot inputs'!$AM$15:$AM$44,MATCH(B289,'Pilot inputs'!$B$15:$B$44,0)),"Unranked"),"Unranked")</f>
        <v>0</v>
      </c>
      <c r="K289" s="145">
        <f t="array" ref="K289">IFERROR(IF(AND(INDEX('Pilot inputs'!$AQ$15:$AQ$44,MATCH(B289,'Pilot inputs'!$B$15:$B$44,0))=1,ISNUMBER($F$12),$F$12&gt;=0,$F$12&lt;1),INDEX('Pilot inputs'!$AP$15:$AP$44,MATCH(B289,'Pilot inputs'!$B$15:$B$44,0)),"Unranked"),"Unranked")</f>
        <v>0</v>
      </c>
      <c r="L289" s="145">
        <f t="shared" si="129"/>
        <v>25</v>
      </c>
      <c r="M289" s="145">
        <f>IFERROR(__xludf.DUMMYFUNCTION("IFERROR(IF(ISNUMBER(L289),1+COUNTIF(FILTER($G$15:$G$24,$A$15:$A$24&lt;&gt;B289),""&gt;""&amp;L289)+COUNTIF(FILTER($G$15:$G$24,$A$15:$A$24&lt;&gt;B289),L289)/2,""Unranked""),""Unranked"")"),10.0)</f>
        <v>10</v>
      </c>
      <c r="N289" s="145">
        <f t="shared" si="130"/>
        <v>20</v>
      </c>
      <c r="O289" s="145">
        <f>IFERROR(__xludf.DUMMYFUNCTION("IFERROR(IF(ISNUMBER(N289),1+COUNTIF(FILTER($I$15:$I$24,$A$15:$A$24&lt;&gt;B289),""&gt;""&amp;N289)+COUNTIF(FILTER($I$15:$I$24,$A$15:$A$24&lt;&gt;B289),N289)/2,""Unranked""),""Unranked"")"),10.0)</f>
        <v>10</v>
      </c>
      <c r="P289" s="145">
        <f t="shared" si="131"/>
        <v>40</v>
      </c>
      <c r="Q289" s="145">
        <f>IFERROR(__xludf.DUMMYFUNCTION("IFERROR(IF(ISNUMBER(P289),1+COUNTIF(FILTER($K$15:$K$24,$A$15:$A$24&lt;&gt;B289),""&gt;""&amp;P289)+COUNTIF(FILTER($K$15:$K$24,$A$15:$A$24&lt;&gt;B289),P289)/2,""Unranked""),""Unranked"")"),9.0)</f>
        <v>9</v>
      </c>
      <c r="R289" s="145">
        <f t="shared" si="132"/>
        <v>0</v>
      </c>
      <c r="S289" s="145">
        <f t="shared" si="133"/>
        <v>0</v>
      </c>
      <c r="T289" s="145">
        <f t="shared" si="134"/>
        <v>0</v>
      </c>
      <c r="U289" s="93" t="s">
        <v>1717</v>
      </c>
      <c r="V289" s="93" t="s">
        <v>1718</v>
      </c>
      <c r="W289" s="93"/>
      <c r="X289" s="93"/>
    </row>
    <row r="290" ht="24.0" customHeight="1">
      <c r="A290" s="93">
        <v>146.0</v>
      </c>
      <c r="B290" s="93" t="s">
        <v>1406</v>
      </c>
      <c r="C290" s="93" t="s">
        <v>347</v>
      </c>
      <c r="D290" s="93" t="s">
        <v>68</v>
      </c>
      <c r="E290" s="145">
        <v>1.0</v>
      </c>
      <c r="F290" s="145">
        <f t="array" ref="F290">INDEX('Pilot inputs'!$F$15:$F$44,MATCH(B290,'Pilot inputs'!$B$15:$B$44,0))</f>
        <v>45.17</v>
      </c>
      <c r="G290" s="145">
        <f t="shared" si="128"/>
        <v>47.4285</v>
      </c>
      <c r="H290" s="145">
        <f>IFERROR(__xludf.DUMMYFUNCTION("IFERROR(IF(AND(INDEX('Pilot inputs'!$AQ$15:$AQ$44,MATCH(B290,'Pilot inputs'!$B$15:$B$44,0))=1,ISNUMBER($F$12),$F$12&gt;=0,$F$12&lt;1),(LET(peer_values,FILTER('Pilot inputs'!$F$15:$F$44,'Pilot inputs'!$D$15:$D$44=INDEX('Pilot inputs'!$D$15:$D$44,MATCH(B290,'Pilo"&amp;"t inputs'!$B$15:$B$44,0)),'Pilot inputs'!$B$15:$B$44&lt;&gt;B290,'Pilot inputs'!$AA$15:$AA$44=1),peer_count,ROWS(peer_values),IF(peer_count+1&lt;MAX(3,Rules!$B$12),""Unranked"",100*(SUMPRODUCT(N(peer_values&lt;G290))+SUMPRODUCT(N(peer_values=G290))/2)/peer_count))+IN"&amp;"DEX('Pilot inputs'!$AF$15:$AF$44,MATCH(B290,'Pilot inputs'!$B$15:$B$44,0)))/2,""Unranked""),""Unranked"")"),0.0)</f>
        <v>0</v>
      </c>
      <c r="I290" s="145">
        <f t="array" ref="I290">IFERROR(IF(AND(INDEX('Pilot inputs'!$AQ$15:$AQ$44,MATCH(B290,'Pilot inputs'!$B$15:$B$44,0))=1,ISNUMBER($F$12),$F$12&gt;=0,$F$12&lt;1),INDEX('Pilot inputs'!$AL$15:$AL$44,MATCH(B290,'Pilot inputs'!$B$15:$B$44,0)),"Unranked"),"Unranked")</f>
        <v>100</v>
      </c>
      <c r="J290" s="145">
        <f t="array" ref="J290">IFERROR(IF(AND(INDEX('Pilot inputs'!$AQ$15:$AQ$44,MATCH(B290,'Pilot inputs'!$B$15:$B$44,0))=1,ISNUMBER($F$12),$F$12&gt;=0,$F$12&lt;1),INDEX('Pilot inputs'!$AM$15:$AM$44,MATCH(B290,'Pilot inputs'!$B$15:$B$44,0)),"Unranked"),"Unranked")</f>
        <v>0</v>
      </c>
      <c r="K290" s="145">
        <f t="array" ref="K290">IFERROR(IF(AND(INDEX('Pilot inputs'!$AQ$15:$AQ$44,MATCH(B290,'Pilot inputs'!$B$15:$B$44,0))=1,ISNUMBER($F$12),$F$12&gt;=0,$F$12&lt;1),INDEX('Pilot inputs'!$AP$15:$AP$44,MATCH(B290,'Pilot inputs'!$B$15:$B$44,0)),"Unranked"),"Unranked")</f>
        <v>0</v>
      </c>
      <c r="L290" s="145">
        <f t="shared" si="129"/>
        <v>25</v>
      </c>
      <c r="M290" s="145">
        <f>IFERROR(__xludf.DUMMYFUNCTION("IFERROR(IF(ISNUMBER(L290),1+COUNTIF(FILTER($G$15:$G$24,$A$15:$A$24&lt;&gt;B290),""&gt;""&amp;L290)+COUNTIF(FILTER($G$15:$G$24,$A$15:$A$24&lt;&gt;B290),L290)/2,""Unranked""),""Unranked"")"),10.0)</f>
        <v>10</v>
      </c>
      <c r="N290" s="145">
        <f t="shared" si="130"/>
        <v>20</v>
      </c>
      <c r="O290" s="145">
        <f>IFERROR(__xludf.DUMMYFUNCTION("IFERROR(IF(ISNUMBER(N290),1+COUNTIF(FILTER($I$15:$I$24,$A$15:$A$24&lt;&gt;B290),""&gt;""&amp;N290)+COUNTIF(FILTER($I$15:$I$24,$A$15:$A$24&lt;&gt;B290),N290)/2,""Unranked""),""Unranked"")"),10.0)</f>
        <v>10</v>
      </c>
      <c r="P290" s="145">
        <f t="shared" si="131"/>
        <v>40</v>
      </c>
      <c r="Q290" s="145">
        <f>IFERROR(__xludf.DUMMYFUNCTION("IFERROR(IF(ISNUMBER(P290),1+COUNTIF(FILTER($K$15:$K$24,$A$15:$A$24&lt;&gt;B290),""&gt;""&amp;P290)+COUNTIF(FILTER($K$15:$K$24,$A$15:$A$24&lt;&gt;B290),P290)/2,""Unranked""),""Unranked"")"),9.0)</f>
        <v>9</v>
      </c>
      <c r="R290" s="145">
        <f t="shared" si="132"/>
        <v>0</v>
      </c>
      <c r="S290" s="145">
        <f t="shared" si="133"/>
        <v>0</v>
      </c>
      <c r="T290" s="145">
        <f t="shared" si="134"/>
        <v>0</v>
      </c>
      <c r="U290" s="93" t="s">
        <v>1717</v>
      </c>
      <c r="V290" s="93" t="s">
        <v>1718</v>
      </c>
      <c r="W290" s="93"/>
      <c r="X290" s="93"/>
    </row>
    <row r="291" ht="24.0" customHeight="1">
      <c r="A291" s="93">
        <v>147.0</v>
      </c>
      <c r="B291" s="93" t="s">
        <v>1406</v>
      </c>
      <c r="C291" s="93" t="s">
        <v>347</v>
      </c>
      <c r="D291" s="93" t="s">
        <v>1720</v>
      </c>
      <c r="E291" s="145">
        <v>-1.0</v>
      </c>
      <c r="F291" s="145">
        <f t="array" ref="F291">INDEX('Pilot inputs'!$H$15:$H$44,MATCH(B291,'Pilot inputs'!$B$15:$B$44,0))</f>
        <v>34.128</v>
      </c>
      <c r="G291" s="145">
        <f t="shared" si="128"/>
        <v>32.4216</v>
      </c>
      <c r="H291" s="145">
        <f>IFERROR(__xludf.DUMMYFUNCTION("IFERROR(IF(AND(INDEX('Pilot inputs'!$AQ$15:$AQ$44,MATCH(B291,'Pilot inputs'!$B$15:$B$44,0))=1,ISNUMBER($F$12),$F$12&gt;=0,$F$12&lt;1),(LET(peer_values,FILTER('Pilot inputs'!$H$15:$H$44,'Pilot inputs'!$D$15:$D$44=INDEX('Pilot inputs'!$D$15:$D$44,MATCH(B291,'Pilo"&amp;"t inputs'!$B$15:$B$44,0)),'Pilot inputs'!$B$15:$B$44&lt;&gt;B291,'Pilot inputs'!$AA$15:$AA$44=1),peer_count,ROWS(peer_values),IF(peer_count+1&lt;MAX(3,Rules!$B$12),""Unranked"",100*(SUMPRODUCT(N(peer_values&lt;G291))+SUMPRODUCT(N(peer_values=G291))/2)/peer_count))+IN"&amp;"DEX('Pilot inputs'!$AE$15:$AE$44,MATCH(B291,'Pilot inputs'!$B$15:$B$44,0)))/2,""Unranked""),""Unranked"")"),0.0)</f>
        <v>0</v>
      </c>
      <c r="I291" s="145">
        <f t="array" ref="I291">IFERROR(IF(AND(INDEX('Pilot inputs'!$AQ$15:$AQ$44,MATCH(B291,'Pilot inputs'!$B$15:$B$44,0))=1,ISNUMBER($F$12),$F$12&gt;=0,$F$12&lt;1),INDEX('Pilot inputs'!$AL$15:$AL$44,MATCH(B291,'Pilot inputs'!$B$15:$B$44,0)),"Unranked"),"Unranked")</f>
        <v>100</v>
      </c>
      <c r="J291" s="145">
        <f t="array" ref="J291">IFERROR(IF(AND(INDEX('Pilot inputs'!$AQ$15:$AQ$44,MATCH(B291,'Pilot inputs'!$B$15:$B$44,0))=1,ISNUMBER($F$12),$F$12&gt;=0,$F$12&lt;1),INDEX('Pilot inputs'!$AM$15:$AM$44,MATCH(B291,'Pilot inputs'!$B$15:$B$44,0)),"Unranked"),"Unranked")</f>
        <v>0</v>
      </c>
      <c r="K291" s="145">
        <f t="array" ref="K291">IFERROR(IF(AND(INDEX('Pilot inputs'!$AQ$15:$AQ$44,MATCH(B291,'Pilot inputs'!$B$15:$B$44,0))=1,ISNUMBER($F$12),$F$12&gt;=0,$F$12&lt;1),INDEX('Pilot inputs'!$AP$15:$AP$44,MATCH(B291,'Pilot inputs'!$B$15:$B$44,0)),"Unranked"),"Unranked")</f>
        <v>0</v>
      </c>
      <c r="L291" s="145">
        <f t="shared" si="129"/>
        <v>25</v>
      </c>
      <c r="M291" s="145">
        <f>IFERROR(__xludf.DUMMYFUNCTION("IFERROR(IF(ISNUMBER(L291),1+COUNTIF(FILTER($G$15:$G$24,$A$15:$A$24&lt;&gt;B291),""&gt;""&amp;L291)+COUNTIF(FILTER($G$15:$G$24,$A$15:$A$24&lt;&gt;B291),L291)/2,""Unranked""),""Unranked"")"),10.0)</f>
        <v>10</v>
      </c>
      <c r="N291" s="145">
        <f t="shared" si="130"/>
        <v>20</v>
      </c>
      <c r="O291" s="145">
        <f>IFERROR(__xludf.DUMMYFUNCTION("IFERROR(IF(ISNUMBER(N291),1+COUNTIF(FILTER($I$15:$I$24,$A$15:$A$24&lt;&gt;B291),""&gt;""&amp;N291)+COUNTIF(FILTER($I$15:$I$24,$A$15:$A$24&lt;&gt;B291),N291)/2,""Unranked""),""Unranked"")"),10.0)</f>
        <v>10</v>
      </c>
      <c r="P291" s="145">
        <f t="shared" si="131"/>
        <v>40</v>
      </c>
      <c r="Q291" s="145">
        <f>IFERROR(__xludf.DUMMYFUNCTION("IFERROR(IF(ISNUMBER(P291),1+COUNTIF(FILTER($K$15:$K$24,$A$15:$A$24&lt;&gt;B291),""&gt;""&amp;P291)+COUNTIF(FILTER($K$15:$K$24,$A$15:$A$24&lt;&gt;B291),P291)/2,""Unranked""),""Unranked"")"),9.0)</f>
        <v>9</v>
      </c>
      <c r="R291" s="145">
        <f t="shared" si="132"/>
        <v>0</v>
      </c>
      <c r="S291" s="145">
        <f t="shared" si="133"/>
        <v>0</v>
      </c>
      <c r="T291" s="145">
        <f t="shared" si="134"/>
        <v>0</v>
      </c>
      <c r="U291" s="93" t="s">
        <v>1717</v>
      </c>
      <c r="V291" s="93" t="s">
        <v>1718</v>
      </c>
      <c r="W291" s="93"/>
      <c r="X291" s="93"/>
    </row>
    <row r="292" ht="24.0" customHeight="1">
      <c r="A292" s="93">
        <v>148.0</v>
      </c>
      <c r="B292" s="93" t="s">
        <v>1406</v>
      </c>
      <c r="C292" s="93" t="s">
        <v>347</v>
      </c>
      <c r="D292" s="93" t="s">
        <v>1720</v>
      </c>
      <c r="E292" s="145">
        <v>1.0</v>
      </c>
      <c r="F292" s="145">
        <f t="array" ref="F292">INDEX('Pilot inputs'!$H$15:$H$44,MATCH(B292,'Pilot inputs'!$B$15:$B$44,0))</f>
        <v>34.128</v>
      </c>
      <c r="G292" s="145">
        <f t="shared" si="128"/>
        <v>35.8344</v>
      </c>
      <c r="H292" s="145">
        <f>IFERROR(__xludf.DUMMYFUNCTION("IFERROR(IF(AND(INDEX('Pilot inputs'!$AQ$15:$AQ$44,MATCH(B292,'Pilot inputs'!$B$15:$B$44,0))=1,ISNUMBER($F$12),$F$12&gt;=0,$F$12&lt;1),(LET(peer_values,FILTER('Pilot inputs'!$H$15:$H$44,'Pilot inputs'!$D$15:$D$44=INDEX('Pilot inputs'!$D$15:$D$44,MATCH(B292,'Pilo"&amp;"t inputs'!$B$15:$B$44,0)),'Pilot inputs'!$B$15:$B$44&lt;&gt;B292,'Pilot inputs'!$AA$15:$AA$44=1),peer_count,ROWS(peer_values),IF(peer_count+1&lt;MAX(3,Rules!$B$12),""Unranked"",100*(SUMPRODUCT(N(peer_values&lt;G292))+SUMPRODUCT(N(peer_values=G292))/2)/peer_count))+IN"&amp;"DEX('Pilot inputs'!$AE$15:$AE$44,MATCH(B292,'Pilot inputs'!$B$15:$B$44,0)))/2,""Unranked""),""Unranked"")"),25.0)</f>
        <v>25</v>
      </c>
      <c r="I292" s="145">
        <f t="array" ref="I292">IFERROR(IF(AND(INDEX('Pilot inputs'!$AQ$15:$AQ$44,MATCH(B292,'Pilot inputs'!$B$15:$B$44,0))=1,ISNUMBER($F$12),$F$12&gt;=0,$F$12&lt;1),INDEX('Pilot inputs'!$AL$15:$AL$44,MATCH(B292,'Pilot inputs'!$B$15:$B$44,0)),"Unranked"),"Unranked")</f>
        <v>100</v>
      </c>
      <c r="J292" s="145">
        <f t="array" ref="J292">IFERROR(IF(AND(INDEX('Pilot inputs'!$AQ$15:$AQ$44,MATCH(B292,'Pilot inputs'!$B$15:$B$44,0))=1,ISNUMBER($F$12),$F$12&gt;=0,$F$12&lt;1),INDEX('Pilot inputs'!$AM$15:$AM$44,MATCH(B292,'Pilot inputs'!$B$15:$B$44,0)),"Unranked"),"Unranked")</f>
        <v>0</v>
      </c>
      <c r="K292" s="145">
        <f t="array" ref="K292">IFERROR(IF(AND(INDEX('Pilot inputs'!$AQ$15:$AQ$44,MATCH(B292,'Pilot inputs'!$B$15:$B$44,0))=1,ISNUMBER($F$12),$F$12&gt;=0,$F$12&lt;1),INDEX('Pilot inputs'!$AP$15:$AP$44,MATCH(B292,'Pilot inputs'!$B$15:$B$44,0)),"Unranked"),"Unranked")</f>
        <v>0</v>
      </c>
      <c r="L292" s="145">
        <f t="shared" si="129"/>
        <v>31.25</v>
      </c>
      <c r="M292" s="145">
        <f>IFERROR(__xludf.DUMMYFUNCTION("IFERROR(IF(ISNUMBER(L292),1+COUNTIF(FILTER($G$15:$G$24,$A$15:$A$24&lt;&gt;B292),""&gt;""&amp;L292)+COUNTIF(FILTER($G$15:$G$24,$A$15:$A$24&lt;&gt;B292),L292)/2,""Unranked""),""Unranked"")"),10.0)</f>
        <v>10</v>
      </c>
      <c r="N292" s="145">
        <f t="shared" si="130"/>
        <v>23.75</v>
      </c>
      <c r="O292" s="145">
        <f>IFERROR(__xludf.DUMMYFUNCTION("IFERROR(IF(ISNUMBER(N292),1+COUNTIF(FILTER($I$15:$I$24,$A$15:$A$24&lt;&gt;B292),""&gt;""&amp;N292)+COUNTIF(FILTER($I$15:$I$24,$A$15:$A$24&lt;&gt;B292),N292)/2,""Unranked""),""Unranked"")"),10.0)</f>
        <v>10</v>
      </c>
      <c r="P292" s="145">
        <f t="shared" si="131"/>
        <v>43.75</v>
      </c>
      <c r="Q292" s="145">
        <f>IFERROR(__xludf.DUMMYFUNCTION("IFERROR(IF(ISNUMBER(P292),1+COUNTIF(FILTER($K$15:$K$24,$A$15:$A$24&lt;&gt;B292),""&gt;""&amp;P292)+COUNTIF(FILTER($K$15:$K$24,$A$15:$A$24&lt;&gt;B292),P292)/2,""Unranked""),""Unranked"")"),9.0)</f>
        <v>9</v>
      </c>
      <c r="R292" s="145">
        <f t="shared" si="132"/>
        <v>0</v>
      </c>
      <c r="S292" s="145">
        <f t="shared" si="133"/>
        <v>0</v>
      </c>
      <c r="T292" s="145">
        <f t="shared" si="134"/>
        <v>0</v>
      </c>
      <c r="U292" s="93" t="s">
        <v>1717</v>
      </c>
      <c r="V292" s="93" t="s">
        <v>1718</v>
      </c>
      <c r="W292" s="93"/>
      <c r="X292" s="93"/>
    </row>
    <row r="293" ht="24.0" customHeight="1">
      <c r="A293" s="93">
        <v>149.0</v>
      </c>
      <c r="B293" s="93" t="s">
        <v>1406</v>
      </c>
      <c r="C293" s="93" t="s">
        <v>347</v>
      </c>
      <c r="D293" s="93" t="s">
        <v>1230</v>
      </c>
      <c r="E293" s="145">
        <v>-1.0</v>
      </c>
      <c r="F293" s="145">
        <f t="array" ref="F293">INDEX('Pilot inputs'!$K$15:$K$44,MATCH(B293,'Pilot inputs'!$B$15:$B$44,0))</f>
        <v>9.95</v>
      </c>
      <c r="G293" s="145">
        <f t="shared" si="128"/>
        <v>9.4525</v>
      </c>
      <c r="H293" s="145">
        <f t="array" ref="H293">IFERROR(IF(AND(INDEX('Pilot inputs'!$AQ$15:$AQ$44,MATCH(B293,'Pilot inputs'!$B$15:$B$44,0))=1,ISNUMBER($F$12),$F$12&gt;=0,$F$12&lt;1),INDEX('Pilot inputs'!$AG$15:$AG$44,MATCH(B293,'Pilot inputs'!$B$15:$B$44,0)),"Unranked"),"Unranked")</f>
        <v>0</v>
      </c>
      <c r="I293" s="145">
        <f>IFERROR(__xludf.DUMMYFUNCTION("IFERROR(IF(AND(INDEX('Pilot inputs'!$AQ$15:$AQ$44,MATCH(B293,'Pilot inputs'!$B$15:$B$44,0))=1,ISNUMBER($F$12),$F$12&gt;=0,$F$12&lt;1),INDEX('Pilot inputs'!$AL$15:$AL$44,MATCH(B293,'Pilot inputs'!$B$15:$B$44,0))+IF(C293=""Utilities"",0.4,0.35)*((100-LET(peer_val"&amp;"ues,FILTER('Pilot inputs'!$K$15:$K$44,'Pilot inputs'!$D$15:$D$44=INDEX('Pilot inputs'!$D$15:$D$44,MATCH(B293,'Pilot inputs'!$B$15:$B$44,0)),'Pilot inputs'!$B$15:$B$44&lt;&gt;B293,'Pilot inputs'!$AA$15:$AA$44=1),peer_count,ROWS(peer_values),IF(peer_count+1&lt;MAX(3"&amp;",Rules!$B$12),""Unranked"",100*(SUMPRODUCT(N(peer_values&lt;G293))+SUMPRODUCT(N(peer_values=G293))/2)/peer_count)))-INDEX('Pilot inputs'!$AH$15:$AH$44,MATCH(B293,'Pilot inputs'!$B$15:$B$44,0))),""Unranked""),""Unranked"")"),100.0)</f>
        <v>100</v>
      </c>
      <c r="J293" s="145">
        <f t="array" ref="J293">IFERROR(IF(AND(INDEX('Pilot inputs'!$AQ$15:$AQ$44,MATCH(B293,'Pilot inputs'!$B$15:$B$44,0))=1,ISNUMBER($F$12),$F$12&gt;=0,$F$12&lt;1),INDEX('Pilot inputs'!$AM$15:$AM$44,MATCH(B293,'Pilot inputs'!$B$15:$B$44,0)),"Unranked"),"Unranked")</f>
        <v>0</v>
      </c>
      <c r="K293" s="145">
        <f t="array" ref="K293">IFERROR(IF(AND(INDEX('Pilot inputs'!$AQ$15:$AQ$44,MATCH(B293,'Pilot inputs'!$B$15:$B$44,0))=1,ISNUMBER($F$12),$F$12&gt;=0,$F$12&lt;1),INDEX('Pilot inputs'!$AP$15:$AP$44,MATCH(B293,'Pilot inputs'!$B$15:$B$44,0)),"Unranked"),"Unranked")</f>
        <v>0</v>
      </c>
      <c r="L293" s="145">
        <f t="shared" si="129"/>
        <v>25</v>
      </c>
      <c r="M293" s="145">
        <f>IFERROR(__xludf.DUMMYFUNCTION("IFERROR(IF(ISNUMBER(L293),1+COUNTIF(FILTER($G$15:$G$24,$A$15:$A$24&lt;&gt;B293),""&gt;""&amp;L293)+COUNTIF(FILTER($G$15:$G$24,$A$15:$A$24&lt;&gt;B293),L293)/2,""Unranked""),""Unranked"")"),10.0)</f>
        <v>10</v>
      </c>
      <c r="N293" s="145">
        <f t="shared" si="130"/>
        <v>20</v>
      </c>
      <c r="O293" s="145">
        <f>IFERROR(__xludf.DUMMYFUNCTION("IFERROR(IF(ISNUMBER(N293),1+COUNTIF(FILTER($I$15:$I$24,$A$15:$A$24&lt;&gt;B293),""&gt;""&amp;N293)+COUNTIF(FILTER($I$15:$I$24,$A$15:$A$24&lt;&gt;B293),N293)/2,""Unranked""),""Unranked"")"),10.0)</f>
        <v>10</v>
      </c>
      <c r="P293" s="145">
        <f t="shared" si="131"/>
        <v>40</v>
      </c>
      <c r="Q293" s="145">
        <f>IFERROR(__xludf.DUMMYFUNCTION("IFERROR(IF(ISNUMBER(P293),1+COUNTIF(FILTER($K$15:$K$24,$A$15:$A$24&lt;&gt;B293),""&gt;""&amp;P293)+COUNTIF(FILTER($K$15:$K$24,$A$15:$A$24&lt;&gt;B293),P293)/2,""Unranked""),""Unranked"")"),9.0)</f>
        <v>9</v>
      </c>
      <c r="R293" s="145">
        <f t="shared" si="132"/>
        <v>0</v>
      </c>
      <c r="S293" s="145">
        <f t="shared" si="133"/>
        <v>0</v>
      </c>
      <c r="T293" s="145">
        <f t="shared" si="134"/>
        <v>0</v>
      </c>
      <c r="U293" s="93" t="s">
        <v>1717</v>
      </c>
      <c r="V293" s="93" t="s">
        <v>1718</v>
      </c>
      <c r="W293" s="93"/>
      <c r="X293" s="93"/>
    </row>
    <row r="294" ht="24.0" customHeight="1">
      <c r="A294" s="93">
        <v>150.0</v>
      </c>
      <c r="B294" s="93" t="s">
        <v>1406</v>
      </c>
      <c r="C294" s="93" t="s">
        <v>347</v>
      </c>
      <c r="D294" s="93" t="s">
        <v>1230</v>
      </c>
      <c r="E294" s="145">
        <v>1.0</v>
      </c>
      <c r="F294" s="145">
        <f t="array" ref="F294">INDEX('Pilot inputs'!$K$15:$K$44,MATCH(B294,'Pilot inputs'!$B$15:$B$44,0))</f>
        <v>9.95</v>
      </c>
      <c r="G294" s="145">
        <f t="shared" si="128"/>
        <v>10.4475</v>
      </c>
      <c r="H294" s="145">
        <f t="array" ref="H294">IFERROR(IF(AND(INDEX('Pilot inputs'!$AQ$15:$AQ$44,MATCH(B294,'Pilot inputs'!$B$15:$B$44,0))=1,ISNUMBER($F$12),$F$12&gt;=0,$F$12&lt;1),INDEX('Pilot inputs'!$AG$15:$AG$44,MATCH(B294,'Pilot inputs'!$B$15:$B$44,0)),"Unranked"),"Unranked")</f>
        <v>0</v>
      </c>
      <c r="I294" s="145">
        <f>IFERROR(__xludf.DUMMYFUNCTION("IFERROR(IF(AND(INDEX('Pilot inputs'!$AQ$15:$AQ$44,MATCH(B294,'Pilot inputs'!$B$15:$B$44,0))=1,ISNUMBER($F$12),$F$12&gt;=0,$F$12&lt;1),INDEX('Pilot inputs'!$AL$15:$AL$44,MATCH(B294,'Pilot inputs'!$B$15:$B$44,0))+IF(C294=""Utilities"",0.4,0.35)*((100-LET(peer_val"&amp;"ues,FILTER('Pilot inputs'!$K$15:$K$44,'Pilot inputs'!$D$15:$D$44=INDEX('Pilot inputs'!$D$15:$D$44,MATCH(B294,'Pilot inputs'!$B$15:$B$44,0)),'Pilot inputs'!$B$15:$B$44&lt;&gt;B294,'Pilot inputs'!$AA$15:$AA$44=1),peer_count,ROWS(peer_values),IF(peer_count+1&lt;MAX(3"&amp;",Rules!$B$12),""Unranked"",100*(SUMPRODUCT(N(peer_values&lt;G294))+SUMPRODUCT(N(peer_values=G294))/2)/peer_count)))-INDEX('Pilot inputs'!$AH$15:$AH$44,MATCH(B294,'Pilot inputs'!$B$15:$B$44,0))),""Unranked""),""Unranked"")"),100.0)</f>
        <v>100</v>
      </c>
      <c r="J294" s="145">
        <f t="array" ref="J294">IFERROR(IF(AND(INDEX('Pilot inputs'!$AQ$15:$AQ$44,MATCH(B294,'Pilot inputs'!$B$15:$B$44,0))=1,ISNUMBER($F$12),$F$12&gt;=0,$F$12&lt;1),INDEX('Pilot inputs'!$AM$15:$AM$44,MATCH(B294,'Pilot inputs'!$B$15:$B$44,0)),"Unranked"),"Unranked")</f>
        <v>0</v>
      </c>
      <c r="K294" s="145">
        <f t="array" ref="K294">IFERROR(IF(AND(INDEX('Pilot inputs'!$AQ$15:$AQ$44,MATCH(B294,'Pilot inputs'!$B$15:$B$44,0))=1,ISNUMBER($F$12),$F$12&gt;=0,$F$12&lt;1),INDEX('Pilot inputs'!$AP$15:$AP$44,MATCH(B294,'Pilot inputs'!$B$15:$B$44,0)),"Unranked"),"Unranked")</f>
        <v>0</v>
      </c>
      <c r="L294" s="145">
        <f t="shared" si="129"/>
        <v>25</v>
      </c>
      <c r="M294" s="145">
        <f>IFERROR(__xludf.DUMMYFUNCTION("IFERROR(IF(ISNUMBER(L294),1+COUNTIF(FILTER($G$15:$G$24,$A$15:$A$24&lt;&gt;B294),""&gt;""&amp;L294)+COUNTIF(FILTER($G$15:$G$24,$A$15:$A$24&lt;&gt;B294),L294)/2,""Unranked""),""Unranked"")"),10.0)</f>
        <v>10</v>
      </c>
      <c r="N294" s="145">
        <f t="shared" si="130"/>
        <v>20</v>
      </c>
      <c r="O294" s="145">
        <f>IFERROR(__xludf.DUMMYFUNCTION("IFERROR(IF(ISNUMBER(N294),1+COUNTIF(FILTER($I$15:$I$24,$A$15:$A$24&lt;&gt;B294),""&gt;""&amp;N294)+COUNTIF(FILTER($I$15:$I$24,$A$15:$A$24&lt;&gt;B294),N294)/2,""Unranked""),""Unranked"")"),10.0)</f>
        <v>10</v>
      </c>
      <c r="P294" s="145">
        <f t="shared" si="131"/>
        <v>40</v>
      </c>
      <c r="Q294" s="145">
        <f>IFERROR(__xludf.DUMMYFUNCTION("IFERROR(IF(ISNUMBER(P294),1+COUNTIF(FILTER($K$15:$K$24,$A$15:$A$24&lt;&gt;B294),""&gt;""&amp;P294)+COUNTIF(FILTER($K$15:$K$24,$A$15:$A$24&lt;&gt;B294),P294)/2,""Unranked""),""Unranked"")"),9.0)</f>
        <v>9</v>
      </c>
      <c r="R294" s="145">
        <f t="shared" si="132"/>
        <v>0</v>
      </c>
      <c r="S294" s="145">
        <f t="shared" si="133"/>
        <v>0</v>
      </c>
      <c r="T294" s="145">
        <f t="shared" si="134"/>
        <v>0</v>
      </c>
      <c r="U294" s="93" t="s">
        <v>1717</v>
      </c>
      <c r="V294" s="93" t="s">
        <v>1718</v>
      </c>
      <c r="W294" s="93"/>
      <c r="X294" s="93"/>
    </row>
    <row r="295" ht="24.0" customHeight="1">
      <c r="A295" s="93">
        <v>151.0</v>
      </c>
      <c r="B295" s="93" t="s">
        <v>1406</v>
      </c>
      <c r="C295" s="93" t="s">
        <v>347</v>
      </c>
      <c r="D295" s="93" t="s">
        <v>1740</v>
      </c>
      <c r="E295" s="145">
        <v>-1.0</v>
      </c>
      <c r="F295" s="145">
        <f t="array" ref="F295">INDEX('Pilot inputs'!$L$15:$L$44,MATCH(B295,'Pilot inputs'!$B$15:$B$44,0))</f>
        <v>7.46</v>
      </c>
      <c r="G295" s="145">
        <f t="shared" si="128"/>
        <v>7.087</v>
      </c>
      <c r="H295" s="145">
        <f t="array" ref="H295">IFERROR(IF(AND(INDEX('Pilot inputs'!$AQ$15:$AQ$44,MATCH(B295,'Pilot inputs'!$B$15:$B$44,0))=1,ISNUMBER($F$12),$F$12&gt;=0,$F$12&lt;1),INDEX('Pilot inputs'!$AG$15:$AG$44,MATCH(B295,'Pilot inputs'!$B$15:$B$44,0)),"Unranked"),"Unranked")</f>
        <v>0</v>
      </c>
      <c r="I295" s="145">
        <f>IFERROR(__xludf.DUMMYFUNCTION("IFERROR(IF(AND(INDEX('Pilot inputs'!$AQ$15:$AQ$44,MATCH(B295,'Pilot inputs'!$B$15:$B$44,0))=1,ISNUMBER($F$12),$F$12&gt;=0,$F$12&lt;1),INDEX('Pilot inputs'!$AL$15:$AL$44,MATCH(B295,'Pilot inputs'!$B$15:$B$44,0))+IF(C295=""Utilities"",0.4,0.35)*((100-LET(peer_val"&amp;"ues,FILTER('Pilot inputs'!$L$15:$L$44,'Pilot inputs'!$D$15:$D$44=INDEX('Pilot inputs'!$D$15:$D$44,MATCH(B295,'Pilot inputs'!$B$15:$B$44,0)),'Pilot inputs'!$B$15:$B$44&lt;&gt;B295,'Pilot inputs'!$AA$15:$AA$44=1),peer_count,ROWS(peer_values),IF(peer_count+1&lt;MAX(3"&amp;",Rules!$B$12),""Unranked"",100*(SUMPRODUCT(N(peer_values&lt;G295))+SUMPRODUCT(N(peer_values=G295))/2)/peer_count)))-INDEX('Pilot inputs'!$AI$15:$AI$44,MATCH(B295,'Pilot inputs'!$B$15:$B$44,0))),""Unranked""),""Unranked"")"),100.0)</f>
        <v>100</v>
      </c>
      <c r="J295" s="145">
        <f t="array" ref="J295">IFERROR(IF(AND(INDEX('Pilot inputs'!$AQ$15:$AQ$44,MATCH(B295,'Pilot inputs'!$B$15:$B$44,0))=1,ISNUMBER($F$12),$F$12&gt;=0,$F$12&lt;1),INDEX('Pilot inputs'!$AM$15:$AM$44,MATCH(B295,'Pilot inputs'!$B$15:$B$44,0)),"Unranked"),"Unranked")</f>
        <v>0</v>
      </c>
      <c r="K295" s="145">
        <f t="array" ref="K295">IFERROR(IF(AND(INDEX('Pilot inputs'!$AQ$15:$AQ$44,MATCH(B295,'Pilot inputs'!$B$15:$B$44,0))=1,ISNUMBER($F$12),$F$12&gt;=0,$F$12&lt;1),INDEX('Pilot inputs'!$AP$15:$AP$44,MATCH(B295,'Pilot inputs'!$B$15:$B$44,0)),"Unranked"),"Unranked")</f>
        <v>0</v>
      </c>
      <c r="L295" s="145">
        <f t="shared" si="129"/>
        <v>25</v>
      </c>
      <c r="M295" s="145">
        <f>IFERROR(__xludf.DUMMYFUNCTION("IFERROR(IF(ISNUMBER(L295),1+COUNTIF(FILTER($G$15:$G$24,$A$15:$A$24&lt;&gt;B295),""&gt;""&amp;L295)+COUNTIF(FILTER($G$15:$G$24,$A$15:$A$24&lt;&gt;B295),L295)/2,""Unranked""),""Unranked"")"),10.0)</f>
        <v>10</v>
      </c>
      <c r="N295" s="145">
        <f t="shared" si="130"/>
        <v>20</v>
      </c>
      <c r="O295" s="145">
        <f>IFERROR(__xludf.DUMMYFUNCTION("IFERROR(IF(ISNUMBER(N295),1+COUNTIF(FILTER($I$15:$I$24,$A$15:$A$24&lt;&gt;B295),""&gt;""&amp;N295)+COUNTIF(FILTER($I$15:$I$24,$A$15:$A$24&lt;&gt;B295),N295)/2,""Unranked""),""Unranked"")"),10.0)</f>
        <v>10</v>
      </c>
      <c r="P295" s="145">
        <f t="shared" si="131"/>
        <v>40</v>
      </c>
      <c r="Q295" s="145">
        <f>IFERROR(__xludf.DUMMYFUNCTION("IFERROR(IF(ISNUMBER(P295),1+COUNTIF(FILTER($K$15:$K$24,$A$15:$A$24&lt;&gt;B295),""&gt;""&amp;P295)+COUNTIF(FILTER($K$15:$K$24,$A$15:$A$24&lt;&gt;B295),P295)/2,""Unranked""),""Unranked"")"),9.0)</f>
        <v>9</v>
      </c>
      <c r="R295" s="145">
        <f t="shared" si="132"/>
        <v>0</v>
      </c>
      <c r="S295" s="145">
        <f t="shared" si="133"/>
        <v>0</v>
      </c>
      <c r="T295" s="145">
        <f t="shared" si="134"/>
        <v>0</v>
      </c>
      <c r="U295" s="93" t="s">
        <v>1717</v>
      </c>
      <c r="V295" s="93" t="s">
        <v>1718</v>
      </c>
      <c r="W295" s="93"/>
      <c r="X295" s="93"/>
    </row>
    <row r="296" ht="24.0" customHeight="1">
      <c r="A296" s="93">
        <v>152.0</v>
      </c>
      <c r="B296" s="93" t="s">
        <v>1406</v>
      </c>
      <c r="C296" s="93" t="s">
        <v>347</v>
      </c>
      <c r="D296" s="93" t="s">
        <v>1740</v>
      </c>
      <c r="E296" s="145">
        <v>1.0</v>
      </c>
      <c r="F296" s="145">
        <f t="array" ref="F296">INDEX('Pilot inputs'!$L$15:$L$44,MATCH(B296,'Pilot inputs'!$B$15:$B$44,0))</f>
        <v>7.46</v>
      </c>
      <c r="G296" s="145">
        <f t="shared" si="128"/>
        <v>7.833</v>
      </c>
      <c r="H296" s="145">
        <f t="array" ref="H296">IFERROR(IF(AND(INDEX('Pilot inputs'!$AQ$15:$AQ$44,MATCH(B296,'Pilot inputs'!$B$15:$B$44,0))=1,ISNUMBER($F$12),$F$12&gt;=0,$F$12&lt;1),INDEX('Pilot inputs'!$AG$15:$AG$44,MATCH(B296,'Pilot inputs'!$B$15:$B$44,0)),"Unranked"),"Unranked")</f>
        <v>0</v>
      </c>
      <c r="I296" s="145">
        <f>IFERROR(__xludf.DUMMYFUNCTION("IFERROR(IF(AND(INDEX('Pilot inputs'!$AQ$15:$AQ$44,MATCH(B296,'Pilot inputs'!$B$15:$B$44,0))=1,ISNUMBER($F$12),$F$12&gt;=0,$F$12&lt;1),INDEX('Pilot inputs'!$AL$15:$AL$44,MATCH(B296,'Pilot inputs'!$B$15:$B$44,0))+IF(C296=""Utilities"",0.4,0.35)*((100-LET(peer_val"&amp;"ues,FILTER('Pilot inputs'!$L$15:$L$44,'Pilot inputs'!$D$15:$D$44=INDEX('Pilot inputs'!$D$15:$D$44,MATCH(B296,'Pilot inputs'!$B$15:$B$44,0)),'Pilot inputs'!$B$15:$B$44&lt;&gt;B296,'Pilot inputs'!$AA$15:$AA$44=1),peer_count,ROWS(peer_values),IF(peer_count+1&lt;MAX(3"&amp;",Rules!$B$12),""Unranked"",100*(SUMPRODUCT(N(peer_values&lt;G296))+SUMPRODUCT(N(peer_values=G296))/2)/peer_count)))-INDEX('Pilot inputs'!$AI$15:$AI$44,MATCH(B296,'Pilot inputs'!$B$15:$B$44,0))),""Unranked""),""Unranked"")"),100.0)</f>
        <v>100</v>
      </c>
      <c r="J296" s="145">
        <f t="array" ref="J296">IFERROR(IF(AND(INDEX('Pilot inputs'!$AQ$15:$AQ$44,MATCH(B296,'Pilot inputs'!$B$15:$B$44,0))=1,ISNUMBER($F$12),$F$12&gt;=0,$F$12&lt;1),INDEX('Pilot inputs'!$AM$15:$AM$44,MATCH(B296,'Pilot inputs'!$B$15:$B$44,0)),"Unranked"),"Unranked")</f>
        <v>0</v>
      </c>
      <c r="K296" s="145">
        <f t="array" ref="K296">IFERROR(IF(AND(INDEX('Pilot inputs'!$AQ$15:$AQ$44,MATCH(B296,'Pilot inputs'!$B$15:$B$44,0))=1,ISNUMBER($F$12),$F$12&gt;=0,$F$12&lt;1),INDEX('Pilot inputs'!$AP$15:$AP$44,MATCH(B296,'Pilot inputs'!$B$15:$B$44,0)),"Unranked"),"Unranked")</f>
        <v>0</v>
      </c>
      <c r="L296" s="145">
        <f t="shared" si="129"/>
        <v>25</v>
      </c>
      <c r="M296" s="145">
        <f>IFERROR(__xludf.DUMMYFUNCTION("IFERROR(IF(ISNUMBER(L296),1+COUNTIF(FILTER($G$15:$G$24,$A$15:$A$24&lt;&gt;B296),""&gt;""&amp;L296)+COUNTIF(FILTER($G$15:$G$24,$A$15:$A$24&lt;&gt;B296),L296)/2,""Unranked""),""Unranked"")"),10.0)</f>
        <v>10</v>
      </c>
      <c r="N296" s="145">
        <f t="shared" si="130"/>
        <v>20</v>
      </c>
      <c r="O296" s="145">
        <f>IFERROR(__xludf.DUMMYFUNCTION("IFERROR(IF(ISNUMBER(N296),1+COUNTIF(FILTER($I$15:$I$24,$A$15:$A$24&lt;&gt;B296),""&gt;""&amp;N296)+COUNTIF(FILTER($I$15:$I$24,$A$15:$A$24&lt;&gt;B296),N296)/2,""Unranked""),""Unranked"")"),10.0)</f>
        <v>10</v>
      </c>
      <c r="P296" s="145">
        <f t="shared" si="131"/>
        <v>40</v>
      </c>
      <c r="Q296" s="145">
        <f>IFERROR(__xludf.DUMMYFUNCTION("IFERROR(IF(ISNUMBER(P296),1+COUNTIF(FILTER($K$15:$K$24,$A$15:$A$24&lt;&gt;B296),""&gt;""&amp;P296)+COUNTIF(FILTER($K$15:$K$24,$A$15:$A$24&lt;&gt;B296),P296)/2,""Unranked""),""Unranked"")"),9.0)</f>
        <v>9</v>
      </c>
      <c r="R296" s="145">
        <f t="shared" si="132"/>
        <v>0</v>
      </c>
      <c r="S296" s="145">
        <f t="shared" si="133"/>
        <v>0</v>
      </c>
      <c r="T296" s="145">
        <f t="shared" si="134"/>
        <v>0</v>
      </c>
      <c r="U296" s="93" t="s">
        <v>1717</v>
      </c>
      <c r="V296" s="93" t="s">
        <v>1718</v>
      </c>
      <c r="W296" s="93"/>
      <c r="X296" s="93"/>
    </row>
    <row r="297" ht="24.0" customHeight="1">
      <c r="A297" s="93">
        <v>153.0</v>
      </c>
      <c r="B297" s="93" t="s">
        <v>1406</v>
      </c>
      <c r="C297" s="93" t="s">
        <v>347</v>
      </c>
      <c r="D297" s="93" t="s">
        <v>1741</v>
      </c>
      <c r="E297" s="145">
        <v>-1.0</v>
      </c>
      <c r="F297" s="145">
        <f t="array" ref="F297">INDEX('Pilot inputs'!$M$15:$M$44,MATCH(B297,'Pilot inputs'!$B$15:$B$44,0))</f>
        <v>0.1458</v>
      </c>
      <c r="G297" s="145">
        <f t="shared" si="128"/>
        <v>0.13851</v>
      </c>
      <c r="H297" s="145">
        <f t="array" ref="H297">IFERROR(IF(AND(INDEX('Pilot inputs'!$AQ$15:$AQ$44,MATCH(B297,'Pilot inputs'!$B$15:$B$44,0))=1,ISNUMBER($F$12),$F$12&gt;=0,$F$12&lt;1),INDEX('Pilot inputs'!$AG$15:$AG$44,MATCH(B297,'Pilot inputs'!$B$15:$B$44,0)),"Unranked"),"Unranked")</f>
        <v>0</v>
      </c>
      <c r="I297" s="145">
        <f>IFERROR(__xludf.DUMMYFUNCTION("IFERROR(IF(AND(INDEX('Pilot inputs'!$AQ$15:$AQ$44,MATCH(B297,'Pilot inputs'!$B$15:$B$44,0))=1,ISNUMBER($F$12),$F$12&gt;=0,$F$12&lt;1),INDEX('Pilot inputs'!$AL$15:$AL$44,MATCH(B297,'Pilot inputs'!$B$15:$B$44,0))+0.3*((LET(peer_values,FILTER('Pilot inputs'!$M$15:"&amp;"$M$44,'Pilot inputs'!$D$15:$D$44=INDEX('Pilot inputs'!$D$15:$D$44,MATCH(B297,'Pilot inputs'!$B$15:$B$44,0)),'Pilot inputs'!$B$15:$B$44&lt;&gt;B297,'Pilot inputs'!$AA$15:$AA$44=1),peer_count,ROWS(peer_values),IF(peer_count+1&lt;MAX(3,Rules!$B$12),""Unranked"",100*("&amp;"SUMPRODUCT(N(peer_values&lt;G297))+SUMPRODUCT(N(peer_values=G297))/2)/peer_count)))-INDEX('Pilot inputs'!$AJ$15:$AJ$44,MATCH(B297,'Pilot inputs'!$B$15:$B$44,0))),""Unranked""),""Unranked"")"),100.0)</f>
        <v>100</v>
      </c>
      <c r="J297" s="145">
        <f t="array" ref="J297">IFERROR(IF(AND(INDEX('Pilot inputs'!$AQ$15:$AQ$44,MATCH(B297,'Pilot inputs'!$B$15:$B$44,0))=1,ISNUMBER($F$12),$F$12&gt;=0,$F$12&lt;1),INDEX('Pilot inputs'!$AM$15:$AM$44,MATCH(B297,'Pilot inputs'!$B$15:$B$44,0)),"Unranked"),"Unranked")</f>
        <v>0</v>
      </c>
      <c r="K297" s="145">
        <f t="array" ref="K297">IFERROR(IF(AND(INDEX('Pilot inputs'!$AQ$15:$AQ$44,MATCH(B297,'Pilot inputs'!$B$15:$B$44,0))=1,ISNUMBER($F$12),$F$12&gt;=0,$F$12&lt;1),INDEX('Pilot inputs'!$AP$15:$AP$44,MATCH(B297,'Pilot inputs'!$B$15:$B$44,0)),"Unranked"),"Unranked")</f>
        <v>0</v>
      </c>
      <c r="L297" s="145">
        <f t="shared" si="129"/>
        <v>25</v>
      </c>
      <c r="M297" s="145">
        <f>IFERROR(__xludf.DUMMYFUNCTION("IFERROR(IF(ISNUMBER(L297),1+COUNTIF(FILTER($G$15:$G$24,$A$15:$A$24&lt;&gt;B297),""&gt;""&amp;L297)+COUNTIF(FILTER($G$15:$G$24,$A$15:$A$24&lt;&gt;B297),L297)/2,""Unranked""),""Unranked"")"),10.0)</f>
        <v>10</v>
      </c>
      <c r="N297" s="145">
        <f t="shared" si="130"/>
        <v>20</v>
      </c>
      <c r="O297" s="145">
        <f>IFERROR(__xludf.DUMMYFUNCTION("IFERROR(IF(ISNUMBER(N297),1+COUNTIF(FILTER($I$15:$I$24,$A$15:$A$24&lt;&gt;B297),""&gt;""&amp;N297)+COUNTIF(FILTER($I$15:$I$24,$A$15:$A$24&lt;&gt;B297),N297)/2,""Unranked""),""Unranked"")"),10.0)</f>
        <v>10</v>
      </c>
      <c r="P297" s="145">
        <f t="shared" si="131"/>
        <v>40</v>
      </c>
      <c r="Q297" s="145">
        <f>IFERROR(__xludf.DUMMYFUNCTION("IFERROR(IF(ISNUMBER(P297),1+COUNTIF(FILTER($K$15:$K$24,$A$15:$A$24&lt;&gt;B297),""&gt;""&amp;P297)+COUNTIF(FILTER($K$15:$K$24,$A$15:$A$24&lt;&gt;B297),P297)/2,""Unranked""),""Unranked"")"),9.0)</f>
        <v>9</v>
      </c>
      <c r="R297" s="145">
        <f t="shared" si="132"/>
        <v>0</v>
      </c>
      <c r="S297" s="145">
        <f t="shared" si="133"/>
        <v>0</v>
      </c>
      <c r="T297" s="145">
        <f t="shared" si="134"/>
        <v>0</v>
      </c>
      <c r="U297" s="93" t="s">
        <v>1717</v>
      </c>
      <c r="V297" s="93" t="s">
        <v>1718</v>
      </c>
      <c r="W297" s="93"/>
      <c r="X297" s="93"/>
    </row>
    <row r="298" ht="24.0" customHeight="1">
      <c r="A298" s="93">
        <v>154.0</v>
      </c>
      <c r="B298" s="93" t="s">
        <v>1406</v>
      </c>
      <c r="C298" s="93" t="s">
        <v>347</v>
      </c>
      <c r="D298" s="93" t="s">
        <v>1741</v>
      </c>
      <c r="E298" s="145">
        <v>1.0</v>
      </c>
      <c r="F298" s="145">
        <f t="array" ref="F298">INDEX('Pilot inputs'!$M$15:$M$44,MATCH(B298,'Pilot inputs'!$B$15:$B$44,0))</f>
        <v>0.1458</v>
      </c>
      <c r="G298" s="145">
        <f t="shared" si="128"/>
        <v>0.15309</v>
      </c>
      <c r="H298" s="145">
        <f t="array" ref="H298">IFERROR(IF(AND(INDEX('Pilot inputs'!$AQ$15:$AQ$44,MATCH(B298,'Pilot inputs'!$B$15:$B$44,0))=1,ISNUMBER($F$12),$F$12&gt;=0,$F$12&lt;1),INDEX('Pilot inputs'!$AG$15:$AG$44,MATCH(B298,'Pilot inputs'!$B$15:$B$44,0)),"Unranked"),"Unranked")</f>
        <v>0</v>
      </c>
      <c r="I298" s="145">
        <f>IFERROR(__xludf.DUMMYFUNCTION("IFERROR(IF(AND(INDEX('Pilot inputs'!$AQ$15:$AQ$44,MATCH(B298,'Pilot inputs'!$B$15:$B$44,0))=1,ISNUMBER($F$12),$F$12&gt;=0,$F$12&lt;1),INDEX('Pilot inputs'!$AL$15:$AL$44,MATCH(B298,'Pilot inputs'!$B$15:$B$44,0))+0.3*((LET(peer_values,FILTER('Pilot inputs'!$M$15:"&amp;"$M$44,'Pilot inputs'!$D$15:$D$44=INDEX('Pilot inputs'!$D$15:$D$44,MATCH(B298,'Pilot inputs'!$B$15:$B$44,0)),'Pilot inputs'!$B$15:$B$44&lt;&gt;B298,'Pilot inputs'!$AA$15:$AA$44=1),peer_count,ROWS(peer_values),IF(peer_count+1&lt;MAX(3,Rules!$B$12),""Unranked"",100*("&amp;"SUMPRODUCT(N(peer_values&lt;G298))+SUMPRODUCT(N(peer_values=G298))/2)/peer_count)))-INDEX('Pilot inputs'!$AJ$15:$AJ$44,MATCH(B298,'Pilot inputs'!$B$15:$B$44,0))),""Unranked""),""Unranked"")"),100.0)</f>
        <v>100</v>
      </c>
      <c r="J298" s="145">
        <f t="array" ref="J298">IFERROR(IF(AND(INDEX('Pilot inputs'!$AQ$15:$AQ$44,MATCH(B298,'Pilot inputs'!$B$15:$B$44,0))=1,ISNUMBER($F$12),$F$12&gt;=0,$F$12&lt;1),INDEX('Pilot inputs'!$AM$15:$AM$44,MATCH(B298,'Pilot inputs'!$B$15:$B$44,0)),"Unranked"),"Unranked")</f>
        <v>0</v>
      </c>
      <c r="K298" s="145">
        <f t="array" ref="K298">IFERROR(IF(AND(INDEX('Pilot inputs'!$AQ$15:$AQ$44,MATCH(B298,'Pilot inputs'!$B$15:$B$44,0))=1,ISNUMBER($F$12),$F$12&gt;=0,$F$12&lt;1),INDEX('Pilot inputs'!$AP$15:$AP$44,MATCH(B298,'Pilot inputs'!$B$15:$B$44,0)),"Unranked"),"Unranked")</f>
        <v>0</v>
      </c>
      <c r="L298" s="145">
        <f t="shared" si="129"/>
        <v>25</v>
      </c>
      <c r="M298" s="145">
        <f>IFERROR(__xludf.DUMMYFUNCTION("IFERROR(IF(ISNUMBER(L298),1+COUNTIF(FILTER($G$15:$G$24,$A$15:$A$24&lt;&gt;B298),""&gt;""&amp;L298)+COUNTIF(FILTER($G$15:$G$24,$A$15:$A$24&lt;&gt;B298),L298)/2,""Unranked""),""Unranked"")"),10.0)</f>
        <v>10</v>
      </c>
      <c r="N298" s="145">
        <f t="shared" si="130"/>
        <v>20</v>
      </c>
      <c r="O298" s="145">
        <f>IFERROR(__xludf.DUMMYFUNCTION("IFERROR(IF(ISNUMBER(N298),1+COUNTIF(FILTER($I$15:$I$24,$A$15:$A$24&lt;&gt;B298),""&gt;""&amp;N298)+COUNTIF(FILTER($I$15:$I$24,$A$15:$A$24&lt;&gt;B298),N298)/2,""Unranked""),""Unranked"")"),10.0)</f>
        <v>10</v>
      </c>
      <c r="P298" s="145">
        <f t="shared" si="131"/>
        <v>40</v>
      </c>
      <c r="Q298" s="145">
        <f>IFERROR(__xludf.DUMMYFUNCTION("IFERROR(IF(ISNUMBER(P298),1+COUNTIF(FILTER($K$15:$K$24,$A$15:$A$24&lt;&gt;B298),""&gt;""&amp;P298)+COUNTIF(FILTER($K$15:$K$24,$A$15:$A$24&lt;&gt;B298),P298)/2,""Unranked""),""Unranked"")"),9.0)</f>
        <v>9</v>
      </c>
      <c r="R298" s="145">
        <f t="shared" si="132"/>
        <v>0</v>
      </c>
      <c r="S298" s="145">
        <f t="shared" si="133"/>
        <v>0</v>
      </c>
      <c r="T298" s="145">
        <f t="shared" si="134"/>
        <v>0</v>
      </c>
      <c r="U298" s="93" t="s">
        <v>1717</v>
      </c>
      <c r="V298" s="93" t="s">
        <v>1718</v>
      </c>
      <c r="W298" s="93"/>
      <c r="X298" s="93"/>
    </row>
    <row r="299" ht="24.0" customHeight="1">
      <c r="A299" s="93">
        <v>155.0</v>
      </c>
      <c r="B299" s="93" t="s">
        <v>1406</v>
      </c>
      <c r="C299" s="93" t="s">
        <v>347</v>
      </c>
      <c r="D299" s="93" t="s">
        <v>1235</v>
      </c>
      <c r="E299" s="145">
        <v>-1.0</v>
      </c>
      <c r="F299" s="145">
        <f t="array" ref="F299">INDEX('Pilot inputs'!$O$15:$O$44,MATCH(B299,'Pilot inputs'!$B$15:$B$44,0))</f>
        <v>0.2227</v>
      </c>
      <c r="G299" s="145">
        <f t="shared" si="128"/>
        <v>0.211565</v>
      </c>
      <c r="H299" s="145">
        <f t="array" ref="H299">IFERROR(IF(AND(INDEX('Pilot inputs'!$AQ$15:$AQ$44,MATCH(B299,'Pilot inputs'!$B$15:$B$44,0))=1,ISNUMBER($F$12),$F$12&gt;=0,$F$12&lt;1),INDEX('Pilot inputs'!$AG$15:$AG$44,MATCH(B299,'Pilot inputs'!$B$15:$B$44,0)),"Unranked"),"Unranked")</f>
        <v>0</v>
      </c>
      <c r="I299" s="145">
        <f t="array" ref="I299">IFERROR(IF(AND(INDEX('Pilot inputs'!$AQ$15:$AQ$44,MATCH(B299,'Pilot inputs'!$B$15:$B$44,0))=1,ISNUMBER($F$12),$F$12&gt;=0,$F$12&lt;1),INDEX('Pilot inputs'!$AL$15:$AL$44,MATCH(B299,'Pilot inputs'!$B$15:$B$44,0)),"Unranked"),"Unranked")</f>
        <v>100</v>
      </c>
      <c r="J299" s="145">
        <f t="array" ref="J299">IFERROR(IF(AND(INDEX('Pilot inputs'!$AQ$15:$AQ$44,MATCH(B299,'Pilot inputs'!$B$15:$B$44,0))=1,ISNUMBER($F$12),$F$12&gt;=0,$F$12&lt;1),INDEX('Pilot inputs'!$AM$15:$AM$44,MATCH(B299,'Pilot inputs'!$B$15:$B$44,0)),"Unranked"),"Unranked")</f>
        <v>0</v>
      </c>
      <c r="K299" s="145">
        <f>IFERROR(__xludf.DUMMYFUNCTION("IFERROR(IF(AND(INDEX('Pilot inputs'!$AQ$15:$AQ$44,MATCH(B299,'Pilot inputs'!$B$15:$B$44,0))=1,ISNUMBER($F$12),$F$12&gt;=0,$F$12&lt;1),(LET(peer_values,FILTER('Pilot inputs'!$O$15:$O$44,'Pilot inputs'!$D$15:$D$44=INDEX('Pilot inputs'!$D$15:$D$44,MATCH(B299,'Pilo"&amp;"t inputs'!$B$15:$B$44,0)),'Pilot inputs'!$B$15:$B$44&lt;&gt;B299,'Pilot inputs'!$AA$15:$AA$44=1),peer_count,ROWS(peer_values),IF(peer_count+1&lt;MAX(3,Rules!$B$12),""Unranked"",100*(SUMPRODUCT(N(peer_values&lt;G299))+SUMPRODUCT(N(peer_values=G299))/2)/peer_count))+IN"&amp;"DEX('Pilot inputs'!$AO$15:$AO$44,MATCH(B299,'Pilot inputs'!$B$15:$B$44,0)))/2,""Unranked""),""Unranked"")"),0.0)</f>
        <v>0</v>
      </c>
      <c r="L299" s="145">
        <f t="shared" si="129"/>
        <v>25</v>
      </c>
      <c r="M299" s="145">
        <f>IFERROR(__xludf.DUMMYFUNCTION("IFERROR(IF(ISNUMBER(L299),1+COUNTIF(FILTER($G$15:$G$24,$A$15:$A$24&lt;&gt;B299),""&gt;""&amp;L299)+COUNTIF(FILTER($G$15:$G$24,$A$15:$A$24&lt;&gt;B299),L299)/2,""Unranked""),""Unranked"")"),10.0)</f>
        <v>10</v>
      </c>
      <c r="N299" s="145">
        <f t="shared" si="130"/>
        <v>20</v>
      </c>
      <c r="O299" s="145">
        <f>IFERROR(__xludf.DUMMYFUNCTION("IFERROR(IF(ISNUMBER(N299),1+COUNTIF(FILTER($I$15:$I$24,$A$15:$A$24&lt;&gt;B299),""&gt;""&amp;N299)+COUNTIF(FILTER($I$15:$I$24,$A$15:$A$24&lt;&gt;B299),N299)/2,""Unranked""),""Unranked"")"),10.0)</f>
        <v>10</v>
      </c>
      <c r="P299" s="145">
        <f t="shared" si="131"/>
        <v>40</v>
      </c>
      <c r="Q299" s="145">
        <f>IFERROR(__xludf.DUMMYFUNCTION("IFERROR(IF(ISNUMBER(P299),1+COUNTIF(FILTER($K$15:$K$24,$A$15:$A$24&lt;&gt;B299),""&gt;""&amp;P299)+COUNTIF(FILTER($K$15:$K$24,$A$15:$A$24&lt;&gt;B299),P299)/2,""Unranked""),""Unranked"")"),9.0)</f>
        <v>9</v>
      </c>
      <c r="R299" s="145">
        <f t="shared" si="132"/>
        <v>0</v>
      </c>
      <c r="S299" s="145">
        <f t="shared" si="133"/>
        <v>0</v>
      </c>
      <c r="T299" s="145">
        <f t="shared" si="134"/>
        <v>0</v>
      </c>
      <c r="U299" s="93" t="s">
        <v>1717</v>
      </c>
      <c r="V299" s="93" t="s">
        <v>1718</v>
      </c>
      <c r="W299" s="93"/>
      <c r="X299" s="93"/>
    </row>
    <row r="300" ht="24.0" customHeight="1">
      <c r="A300" s="93">
        <v>156.0</v>
      </c>
      <c r="B300" s="93" t="s">
        <v>1406</v>
      </c>
      <c r="C300" s="93" t="s">
        <v>347</v>
      </c>
      <c r="D300" s="93" t="s">
        <v>1235</v>
      </c>
      <c r="E300" s="145">
        <v>1.0</v>
      </c>
      <c r="F300" s="145">
        <f t="array" ref="F300">INDEX('Pilot inputs'!$O$15:$O$44,MATCH(B300,'Pilot inputs'!$B$15:$B$44,0))</f>
        <v>0.2227</v>
      </c>
      <c r="G300" s="145">
        <f t="shared" si="128"/>
        <v>0.233835</v>
      </c>
      <c r="H300" s="145">
        <f t="array" ref="H300">IFERROR(IF(AND(INDEX('Pilot inputs'!$AQ$15:$AQ$44,MATCH(B300,'Pilot inputs'!$B$15:$B$44,0))=1,ISNUMBER($F$12),$F$12&gt;=0,$F$12&lt;1),INDEX('Pilot inputs'!$AG$15:$AG$44,MATCH(B300,'Pilot inputs'!$B$15:$B$44,0)),"Unranked"),"Unranked")</f>
        <v>0</v>
      </c>
      <c r="I300" s="145">
        <f t="array" ref="I300">IFERROR(IF(AND(INDEX('Pilot inputs'!$AQ$15:$AQ$44,MATCH(B300,'Pilot inputs'!$B$15:$B$44,0))=1,ISNUMBER($F$12),$F$12&gt;=0,$F$12&lt;1),INDEX('Pilot inputs'!$AL$15:$AL$44,MATCH(B300,'Pilot inputs'!$B$15:$B$44,0)),"Unranked"),"Unranked")</f>
        <v>100</v>
      </c>
      <c r="J300" s="145">
        <f t="array" ref="J300">IFERROR(IF(AND(INDEX('Pilot inputs'!$AQ$15:$AQ$44,MATCH(B300,'Pilot inputs'!$B$15:$B$44,0))=1,ISNUMBER($F$12),$F$12&gt;=0,$F$12&lt;1),INDEX('Pilot inputs'!$AM$15:$AM$44,MATCH(B300,'Pilot inputs'!$B$15:$B$44,0)),"Unranked"),"Unranked")</f>
        <v>0</v>
      </c>
      <c r="K300" s="145">
        <f>IFERROR(__xludf.DUMMYFUNCTION("IFERROR(IF(AND(INDEX('Pilot inputs'!$AQ$15:$AQ$44,MATCH(B300,'Pilot inputs'!$B$15:$B$44,0))=1,ISNUMBER($F$12),$F$12&gt;=0,$F$12&lt;1),(LET(peer_values,FILTER('Pilot inputs'!$O$15:$O$44,'Pilot inputs'!$D$15:$D$44=INDEX('Pilot inputs'!$D$15:$D$44,MATCH(B300,'Pilo"&amp;"t inputs'!$B$15:$B$44,0)),'Pilot inputs'!$B$15:$B$44&lt;&gt;B300,'Pilot inputs'!$AA$15:$AA$44=1),peer_count,ROWS(peer_values),IF(peer_count+1&lt;MAX(3,Rules!$B$12),""Unranked"",100*(SUMPRODUCT(N(peer_values&lt;G300))+SUMPRODUCT(N(peer_values=G300))/2)/peer_count))+IN"&amp;"DEX('Pilot inputs'!$AO$15:$AO$44,MATCH(B300,'Pilot inputs'!$B$15:$B$44,0)))/2,""Unranked""),""Unranked"")"),0.0)</f>
        <v>0</v>
      </c>
      <c r="L300" s="145">
        <f t="shared" si="129"/>
        <v>25</v>
      </c>
      <c r="M300" s="145">
        <f>IFERROR(__xludf.DUMMYFUNCTION("IFERROR(IF(ISNUMBER(L300),1+COUNTIF(FILTER($G$15:$G$24,$A$15:$A$24&lt;&gt;B300),""&gt;""&amp;L300)+COUNTIF(FILTER($G$15:$G$24,$A$15:$A$24&lt;&gt;B300),L300)/2,""Unranked""),""Unranked"")"),10.0)</f>
        <v>10</v>
      </c>
      <c r="N300" s="145">
        <f t="shared" si="130"/>
        <v>20</v>
      </c>
      <c r="O300" s="145">
        <f>IFERROR(__xludf.DUMMYFUNCTION("IFERROR(IF(ISNUMBER(N300),1+COUNTIF(FILTER($I$15:$I$24,$A$15:$A$24&lt;&gt;B300),""&gt;""&amp;N300)+COUNTIF(FILTER($I$15:$I$24,$A$15:$A$24&lt;&gt;B300),N300)/2,""Unranked""),""Unranked"")"),10.0)</f>
        <v>10</v>
      </c>
      <c r="P300" s="145">
        <f t="shared" si="131"/>
        <v>40</v>
      </c>
      <c r="Q300" s="145">
        <f>IFERROR(__xludf.DUMMYFUNCTION("IFERROR(IF(ISNUMBER(P300),1+COUNTIF(FILTER($K$15:$K$24,$A$15:$A$24&lt;&gt;B300),""&gt;""&amp;P300)+COUNTIF(FILTER($K$15:$K$24,$A$15:$A$24&lt;&gt;B300),P300)/2,""Unranked""),""Unranked"")"),9.0)</f>
        <v>9</v>
      </c>
      <c r="R300" s="145">
        <f t="shared" si="132"/>
        <v>0</v>
      </c>
      <c r="S300" s="145">
        <f t="shared" si="133"/>
        <v>0</v>
      </c>
      <c r="T300" s="145">
        <f t="shared" si="134"/>
        <v>0</v>
      </c>
      <c r="U300" s="93" t="s">
        <v>1717</v>
      </c>
      <c r="V300" s="93" t="s">
        <v>1718</v>
      </c>
      <c r="W300" s="93"/>
      <c r="X300" s="93"/>
    </row>
    <row r="301" ht="24.0" customHeight="1">
      <c r="A301" s="93">
        <v>157.0</v>
      </c>
      <c r="B301" s="93" t="s">
        <v>1406</v>
      </c>
      <c r="C301" s="93" t="s">
        <v>347</v>
      </c>
      <c r="D301" s="93" t="s">
        <v>1742</v>
      </c>
      <c r="E301" s="145">
        <v>-1.0</v>
      </c>
      <c r="F301" s="145">
        <f t="array" ref="F301">INDEX('Pilot inputs'!$P$15:$P$44,MATCH(B301,'Pilot inputs'!$B$15:$B$44,0))</f>
        <v>0.1761</v>
      </c>
      <c r="G301" s="145">
        <f t="shared" si="128"/>
        <v>0.167295</v>
      </c>
      <c r="H301" s="145">
        <f t="array" ref="H301">IFERROR(IF(AND(INDEX('Pilot inputs'!$AQ$15:$AQ$44,MATCH(B301,'Pilot inputs'!$B$15:$B$44,0))=1,ISNUMBER($F$12),$F$12&gt;=0,$F$12&lt;1),INDEX('Pilot inputs'!$AG$15:$AG$44,MATCH(B301,'Pilot inputs'!$B$15:$B$44,0)),"Unranked"),"Unranked")</f>
        <v>0</v>
      </c>
      <c r="I301" s="145">
        <f t="array" ref="I301">IFERROR(IF(AND(INDEX('Pilot inputs'!$AQ$15:$AQ$44,MATCH(B301,'Pilot inputs'!$B$15:$B$44,0))=1,ISNUMBER($F$12),$F$12&gt;=0,$F$12&lt;1),INDEX('Pilot inputs'!$AL$15:$AL$44,MATCH(B301,'Pilot inputs'!$B$15:$B$44,0)),"Unranked"),"Unranked")</f>
        <v>100</v>
      </c>
      <c r="J301" s="145">
        <f t="array" ref="J301">IFERROR(IF(AND(INDEX('Pilot inputs'!$AQ$15:$AQ$44,MATCH(B301,'Pilot inputs'!$B$15:$B$44,0))=1,ISNUMBER($F$12),$F$12&gt;=0,$F$12&lt;1),INDEX('Pilot inputs'!$AM$15:$AM$44,MATCH(B301,'Pilot inputs'!$B$15:$B$44,0)),"Unranked"),"Unranked")</f>
        <v>0</v>
      </c>
      <c r="K301" s="145">
        <f>IFERROR(__xludf.DUMMYFUNCTION("IFERROR(IF(AND(INDEX('Pilot inputs'!$AQ$15:$AQ$44,MATCH(B301,'Pilot inputs'!$B$15:$B$44,0))=1,ISNUMBER($F$12),$F$12&gt;=0,$F$12&lt;1),(LET(peer_values,FILTER('Pilot inputs'!$P$15:$P$44,'Pilot inputs'!$D$15:$D$44=INDEX('Pilot inputs'!$D$15:$D$44,MATCH(B301,'Pilo"&amp;"t inputs'!$B$15:$B$44,0)),'Pilot inputs'!$B$15:$B$44&lt;&gt;B301,'Pilot inputs'!$AA$15:$AA$44=1),peer_count,ROWS(peer_values),IF(peer_count+1&lt;MAX(3,Rules!$B$12),""Unranked"",100*(SUMPRODUCT(N(peer_values&lt;G301))+SUMPRODUCT(N(peer_values=G301))/2)/peer_count))+IN"&amp;"DEX('Pilot inputs'!$AN$15:$AN$44,MATCH(B301,'Pilot inputs'!$B$15:$B$44,0)))/2,""Unranked""),""Unranked"")"),0.0)</f>
        <v>0</v>
      </c>
      <c r="L301" s="145">
        <f t="shared" si="129"/>
        <v>25</v>
      </c>
      <c r="M301" s="145">
        <f>IFERROR(__xludf.DUMMYFUNCTION("IFERROR(IF(ISNUMBER(L301),1+COUNTIF(FILTER($G$15:$G$24,$A$15:$A$24&lt;&gt;B301),""&gt;""&amp;L301)+COUNTIF(FILTER($G$15:$G$24,$A$15:$A$24&lt;&gt;B301),L301)/2,""Unranked""),""Unranked"")"),10.0)</f>
        <v>10</v>
      </c>
      <c r="N301" s="145">
        <f t="shared" si="130"/>
        <v>20</v>
      </c>
      <c r="O301" s="145">
        <f>IFERROR(__xludf.DUMMYFUNCTION("IFERROR(IF(ISNUMBER(N301),1+COUNTIF(FILTER($I$15:$I$24,$A$15:$A$24&lt;&gt;B301),""&gt;""&amp;N301)+COUNTIF(FILTER($I$15:$I$24,$A$15:$A$24&lt;&gt;B301),N301)/2,""Unranked""),""Unranked"")"),10.0)</f>
        <v>10</v>
      </c>
      <c r="P301" s="145">
        <f t="shared" si="131"/>
        <v>40</v>
      </c>
      <c r="Q301" s="145">
        <f>IFERROR(__xludf.DUMMYFUNCTION("IFERROR(IF(ISNUMBER(P301),1+COUNTIF(FILTER($K$15:$K$24,$A$15:$A$24&lt;&gt;B301),""&gt;""&amp;P301)+COUNTIF(FILTER($K$15:$K$24,$A$15:$A$24&lt;&gt;B301),P301)/2,""Unranked""),""Unranked"")"),9.0)</f>
        <v>9</v>
      </c>
      <c r="R301" s="145">
        <f t="shared" si="132"/>
        <v>0</v>
      </c>
      <c r="S301" s="145">
        <f t="shared" si="133"/>
        <v>0</v>
      </c>
      <c r="T301" s="145">
        <f t="shared" si="134"/>
        <v>0</v>
      </c>
      <c r="U301" s="93" t="s">
        <v>1717</v>
      </c>
      <c r="V301" s="93" t="s">
        <v>1718</v>
      </c>
      <c r="W301" s="93"/>
      <c r="X301" s="93"/>
    </row>
    <row r="302" ht="24.0" customHeight="1">
      <c r="A302" s="93">
        <v>158.0</v>
      </c>
      <c r="B302" s="93" t="s">
        <v>1406</v>
      </c>
      <c r="C302" s="93" t="s">
        <v>347</v>
      </c>
      <c r="D302" s="93" t="s">
        <v>1742</v>
      </c>
      <c r="E302" s="145">
        <v>1.0</v>
      </c>
      <c r="F302" s="145">
        <f t="array" ref="F302">INDEX('Pilot inputs'!$P$15:$P$44,MATCH(B302,'Pilot inputs'!$B$15:$B$44,0))</f>
        <v>0.1761</v>
      </c>
      <c r="G302" s="145">
        <f t="shared" si="128"/>
        <v>0.184905</v>
      </c>
      <c r="H302" s="145">
        <f t="array" ref="H302">IFERROR(IF(AND(INDEX('Pilot inputs'!$AQ$15:$AQ$44,MATCH(B302,'Pilot inputs'!$B$15:$B$44,0))=1,ISNUMBER($F$12),$F$12&gt;=0,$F$12&lt;1),INDEX('Pilot inputs'!$AG$15:$AG$44,MATCH(B302,'Pilot inputs'!$B$15:$B$44,0)),"Unranked"),"Unranked")</f>
        <v>0</v>
      </c>
      <c r="I302" s="145">
        <f t="array" ref="I302">IFERROR(IF(AND(INDEX('Pilot inputs'!$AQ$15:$AQ$44,MATCH(B302,'Pilot inputs'!$B$15:$B$44,0))=1,ISNUMBER($F$12),$F$12&gt;=0,$F$12&lt;1),INDEX('Pilot inputs'!$AL$15:$AL$44,MATCH(B302,'Pilot inputs'!$B$15:$B$44,0)),"Unranked"),"Unranked")</f>
        <v>100</v>
      </c>
      <c r="J302" s="145">
        <f t="array" ref="J302">IFERROR(IF(AND(INDEX('Pilot inputs'!$AQ$15:$AQ$44,MATCH(B302,'Pilot inputs'!$B$15:$B$44,0))=1,ISNUMBER($F$12),$F$12&gt;=0,$F$12&lt;1),INDEX('Pilot inputs'!$AM$15:$AM$44,MATCH(B302,'Pilot inputs'!$B$15:$B$44,0)),"Unranked"),"Unranked")</f>
        <v>0</v>
      </c>
      <c r="K302" s="145">
        <f>IFERROR(__xludf.DUMMYFUNCTION("IFERROR(IF(AND(INDEX('Pilot inputs'!$AQ$15:$AQ$44,MATCH(B302,'Pilot inputs'!$B$15:$B$44,0))=1,ISNUMBER($F$12),$F$12&gt;=0,$F$12&lt;1),(LET(peer_values,FILTER('Pilot inputs'!$P$15:$P$44,'Pilot inputs'!$D$15:$D$44=INDEX('Pilot inputs'!$D$15:$D$44,MATCH(B302,'Pilo"&amp;"t inputs'!$B$15:$B$44,0)),'Pilot inputs'!$B$15:$B$44&lt;&gt;B302,'Pilot inputs'!$AA$15:$AA$44=1),peer_count,ROWS(peer_values),IF(peer_count+1&lt;MAX(3,Rules!$B$12),""Unranked"",100*(SUMPRODUCT(N(peer_values&lt;G302))+SUMPRODUCT(N(peer_values=G302))/2)/peer_count))+IN"&amp;"DEX('Pilot inputs'!$AN$15:$AN$44,MATCH(B302,'Pilot inputs'!$B$15:$B$44,0)))/2,""Unranked""),""Unranked"")"),0.0)</f>
        <v>0</v>
      </c>
      <c r="L302" s="145">
        <f t="shared" si="129"/>
        <v>25</v>
      </c>
      <c r="M302" s="145">
        <f>IFERROR(__xludf.DUMMYFUNCTION("IFERROR(IF(ISNUMBER(L302),1+COUNTIF(FILTER($G$15:$G$24,$A$15:$A$24&lt;&gt;B302),""&gt;""&amp;L302)+COUNTIF(FILTER($G$15:$G$24,$A$15:$A$24&lt;&gt;B302),L302)/2,""Unranked""),""Unranked"")"),10.0)</f>
        <v>10</v>
      </c>
      <c r="N302" s="145">
        <f t="shared" si="130"/>
        <v>20</v>
      </c>
      <c r="O302" s="145">
        <f>IFERROR(__xludf.DUMMYFUNCTION("IFERROR(IF(ISNUMBER(N302),1+COUNTIF(FILTER($I$15:$I$24,$A$15:$A$24&lt;&gt;B302),""&gt;""&amp;N302)+COUNTIF(FILTER($I$15:$I$24,$A$15:$A$24&lt;&gt;B302),N302)/2,""Unranked""),""Unranked"")"),10.0)</f>
        <v>10</v>
      </c>
      <c r="P302" s="145">
        <f t="shared" si="131"/>
        <v>40</v>
      </c>
      <c r="Q302" s="145">
        <f>IFERROR(__xludf.DUMMYFUNCTION("IFERROR(IF(ISNUMBER(P302),1+COUNTIF(FILTER($K$15:$K$24,$A$15:$A$24&lt;&gt;B302),""&gt;""&amp;P302)+COUNTIF(FILTER($K$15:$K$24,$A$15:$A$24&lt;&gt;B302),P302)/2,""Unranked""),""Unranked"")"),9.0)</f>
        <v>9</v>
      </c>
      <c r="R302" s="145">
        <f t="shared" si="132"/>
        <v>0</v>
      </c>
      <c r="S302" s="145">
        <f t="shared" si="133"/>
        <v>0</v>
      </c>
      <c r="T302" s="145">
        <f t="shared" si="134"/>
        <v>0</v>
      </c>
      <c r="U302" s="93" t="s">
        <v>1717</v>
      </c>
      <c r="V302" s="93" t="s">
        <v>1718</v>
      </c>
      <c r="W302" s="93"/>
      <c r="X302" s="93"/>
    </row>
    <row r="303" ht="24.0" customHeight="1">
      <c r="A303" s="93">
        <v>159.0</v>
      </c>
      <c r="B303" s="93" t="s">
        <v>1406</v>
      </c>
      <c r="C303" s="93" t="s">
        <v>347</v>
      </c>
      <c r="D303" s="93" t="s">
        <v>1743</v>
      </c>
      <c r="E303" s="145">
        <v>-1.0</v>
      </c>
      <c r="F303" s="145">
        <f t="array" ref="F303">INDEX('Pilot inputs'!$R$15:$R$44,MATCH(B303,'Pilot inputs'!$B$15:$B$44,0))</f>
        <v>33.172</v>
      </c>
      <c r="G303" s="145">
        <f t="shared" si="128"/>
        <v>31.5134</v>
      </c>
      <c r="H303" s="145">
        <f t="array" ref="H303">IFERROR(IF(AND(INDEX('Pilot inputs'!$AQ$15:$AQ$44,MATCH(B303,'Pilot inputs'!$B$15:$B$44,0))=1,ISNUMBER($F$12),$F$12&gt;=0,$F$12&lt;1),INDEX('Pilot inputs'!$AG$15:$AG$44,MATCH(B303,'Pilot inputs'!$B$15:$B$44,0)),"Unranked"),"Unranked")</f>
        <v>0</v>
      </c>
      <c r="I303" s="145">
        <f t="array" ref="I303">IFERROR(IF(AND(INDEX('Pilot inputs'!$AQ$15:$AQ$44,MATCH(B303,'Pilot inputs'!$B$15:$B$44,0))=1,ISNUMBER($F$12),$F$12&gt;=0,$F$12&lt;1),INDEX('Pilot inputs'!$AL$15:$AL$44,MATCH(B303,'Pilot inputs'!$B$15:$B$44,0)),"Unranked"),"Unranked")</f>
        <v>100</v>
      </c>
      <c r="J303" s="145">
        <f>IFERROR(__xludf.DUMMYFUNCTION("IFERROR(IF(AND(INDEX('Pilot inputs'!$AQ$15:$AQ$44,MATCH(B303,'Pilot inputs'!$B$15:$B$44,0))=1,ISNUMBER($F$12),$F$12&gt;=0,$F$12&lt;1),LET(peer_values,FILTER('Pilot inputs'!$AB$15:$AB$44,'Pilot inputs'!$D$15:$D$44=INDEX('Pilot inputs'!$D$15:$D$44,MATCH(B303,'Pil"&amp;"ot inputs'!$B$15:$B$44,0)),'Pilot inputs'!$B$15:$B$44&lt;&gt;B303,'Pilot inputs'!$AA$15:$AA$44=1),peer_count,ROWS(peer_values),IF(peer_count+1&lt;MAX(3,Rules!$B$12),""Unranked"",100*(SUMPRODUCT(N(peer_values&lt;((G303/INDEX('Pilot inputs'!$T$15:$T$44,MATCH(B303,'Pilo"&amp;"t inputs'!$B$15:$B$44,0)))^(1/3)-1)))+SUMPRODUCT(N(peer_values=((G303/INDEX('Pilot inputs'!$T$15:$T$44,MATCH(B303,'Pilot inputs'!$B$15:$B$44,0)))^(1/3)-1)))/2)/peer_count)),""Unranked""),""Unranked"")"),0.0)</f>
        <v>0</v>
      </c>
      <c r="K303" s="145">
        <f t="array" ref="K303">IFERROR(IF(AND(INDEX('Pilot inputs'!$AQ$15:$AQ$44,MATCH(B303,'Pilot inputs'!$B$15:$B$44,0))=1,ISNUMBER($F$12),$F$12&gt;=0,$F$12&lt;1),INDEX('Pilot inputs'!$AP$15:$AP$44,MATCH(B303,'Pilot inputs'!$B$15:$B$44,0)),"Unranked"),"Unranked")</f>
        <v>0</v>
      </c>
      <c r="L303" s="145">
        <f t="shared" si="129"/>
        <v>25</v>
      </c>
      <c r="M303" s="145">
        <f>IFERROR(__xludf.DUMMYFUNCTION("IFERROR(IF(ISNUMBER(L303),1+COUNTIF(FILTER($G$15:$G$24,$A$15:$A$24&lt;&gt;B303),""&gt;""&amp;L303)+COUNTIF(FILTER($G$15:$G$24,$A$15:$A$24&lt;&gt;B303),L303)/2,""Unranked""),""Unranked"")"),10.0)</f>
        <v>10</v>
      </c>
      <c r="N303" s="145">
        <f t="shared" si="130"/>
        <v>20</v>
      </c>
      <c r="O303" s="145">
        <f>IFERROR(__xludf.DUMMYFUNCTION("IFERROR(IF(ISNUMBER(N303),1+COUNTIF(FILTER($I$15:$I$24,$A$15:$A$24&lt;&gt;B303),""&gt;""&amp;N303)+COUNTIF(FILTER($I$15:$I$24,$A$15:$A$24&lt;&gt;B303),N303)/2,""Unranked""),""Unranked"")"),10.0)</f>
        <v>10</v>
      </c>
      <c r="P303" s="145">
        <f t="shared" si="131"/>
        <v>40</v>
      </c>
      <c r="Q303" s="145">
        <f>IFERROR(__xludf.DUMMYFUNCTION("IFERROR(IF(ISNUMBER(P303),1+COUNTIF(FILTER($K$15:$K$24,$A$15:$A$24&lt;&gt;B303),""&gt;""&amp;P303)+COUNTIF(FILTER($K$15:$K$24,$A$15:$A$24&lt;&gt;B303),P303)/2,""Unranked""),""Unranked"")"),9.0)</f>
        <v>9</v>
      </c>
      <c r="R303" s="145">
        <f t="shared" si="132"/>
        <v>0</v>
      </c>
      <c r="S303" s="145">
        <f t="shared" si="133"/>
        <v>0</v>
      </c>
      <c r="T303" s="145">
        <f t="shared" si="134"/>
        <v>0</v>
      </c>
      <c r="U303" s="93" t="s">
        <v>1717</v>
      </c>
      <c r="V303" s="93" t="s">
        <v>1718</v>
      </c>
      <c r="W303" s="93"/>
      <c r="X303" s="93"/>
    </row>
    <row r="304" ht="24.0" customHeight="1">
      <c r="A304" s="93">
        <v>160.0</v>
      </c>
      <c r="B304" s="93" t="s">
        <v>1406</v>
      </c>
      <c r="C304" s="93" t="s">
        <v>347</v>
      </c>
      <c r="D304" s="93" t="s">
        <v>1743</v>
      </c>
      <c r="E304" s="145">
        <v>1.0</v>
      </c>
      <c r="F304" s="145">
        <f t="array" ref="F304">INDEX('Pilot inputs'!$R$15:$R$44,MATCH(B304,'Pilot inputs'!$B$15:$B$44,0))</f>
        <v>33.172</v>
      </c>
      <c r="G304" s="145">
        <f t="shared" si="128"/>
        <v>34.8306</v>
      </c>
      <c r="H304" s="145">
        <f t="array" ref="H304">IFERROR(IF(AND(INDEX('Pilot inputs'!$AQ$15:$AQ$44,MATCH(B304,'Pilot inputs'!$B$15:$B$44,0))=1,ISNUMBER($F$12),$F$12&gt;=0,$F$12&lt;1),INDEX('Pilot inputs'!$AG$15:$AG$44,MATCH(B304,'Pilot inputs'!$B$15:$B$44,0)),"Unranked"),"Unranked")</f>
        <v>0</v>
      </c>
      <c r="I304" s="145">
        <f t="array" ref="I304">IFERROR(IF(AND(INDEX('Pilot inputs'!$AQ$15:$AQ$44,MATCH(B304,'Pilot inputs'!$B$15:$B$44,0))=1,ISNUMBER($F$12),$F$12&gt;=0,$F$12&lt;1),INDEX('Pilot inputs'!$AL$15:$AL$44,MATCH(B304,'Pilot inputs'!$B$15:$B$44,0)),"Unranked"),"Unranked")</f>
        <v>100</v>
      </c>
      <c r="J304" s="145">
        <f>IFERROR(__xludf.DUMMYFUNCTION("IFERROR(IF(AND(INDEX('Pilot inputs'!$AQ$15:$AQ$44,MATCH(B304,'Pilot inputs'!$B$15:$B$44,0))=1,ISNUMBER($F$12),$F$12&gt;=0,$F$12&lt;1),LET(peer_values,FILTER('Pilot inputs'!$AB$15:$AB$44,'Pilot inputs'!$D$15:$D$44=INDEX('Pilot inputs'!$D$15:$D$44,MATCH(B304,'Pil"&amp;"ot inputs'!$B$15:$B$44,0)),'Pilot inputs'!$B$15:$B$44&lt;&gt;B304,'Pilot inputs'!$AA$15:$AA$44=1),peer_count,ROWS(peer_values),IF(peer_count+1&lt;MAX(3,Rules!$B$12),""Unranked"",100*(SUMPRODUCT(N(peer_values&lt;((G304/INDEX('Pilot inputs'!$T$15:$T$44,MATCH(B304,'Pilo"&amp;"t inputs'!$B$15:$B$44,0)))^(1/3)-1)))+SUMPRODUCT(N(peer_values=((G304/INDEX('Pilot inputs'!$T$15:$T$44,MATCH(B304,'Pilot inputs'!$B$15:$B$44,0)))^(1/3)-1)))/2)/peer_count)),""Unranked""),""Unranked"")"),0.0)</f>
        <v>0</v>
      </c>
      <c r="K304" s="145">
        <f t="array" ref="K304">IFERROR(IF(AND(INDEX('Pilot inputs'!$AQ$15:$AQ$44,MATCH(B304,'Pilot inputs'!$B$15:$B$44,0))=1,ISNUMBER($F$12),$F$12&gt;=0,$F$12&lt;1),INDEX('Pilot inputs'!$AP$15:$AP$44,MATCH(B304,'Pilot inputs'!$B$15:$B$44,0)),"Unranked"),"Unranked")</f>
        <v>0</v>
      </c>
      <c r="L304" s="145">
        <f t="shared" si="129"/>
        <v>25</v>
      </c>
      <c r="M304" s="145">
        <f>IFERROR(__xludf.DUMMYFUNCTION("IFERROR(IF(ISNUMBER(L304),1+COUNTIF(FILTER($G$15:$G$24,$A$15:$A$24&lt;&gt;B304),""&gt;""&amp;L304)+COUNTIF(FILTER($G$15:$G$24,$A$15:$A$24&lt;&gt;B304),L304)/2,""Unranked""),""Unranked"")"),10.0)</f>
        <v>10</v>
      </c>
      <c r="N304" s="145">
        <f t="shared" si="130"/>
        <v>20</v>
      </c>
      <c r="O304" s="145">
        <f>IFERROR(__xludf.DUMMYFUNCTION("IFERROR(IF(ISNUMBER(N304),1+COUNTIF(FILTER($I$15:$I$24,$A$15:$A$24&lt;&gt;B304),""&gt;""&amp;N304)+COUNTIF(FILTER($I$15:$I$24,$A$15:$A$24&lt;&gt;B304),N304)/2,""Unranked""),""Unranked"")"),10.0)</f>
        <v>10</v>
      </c>
      <c r="P304" s="145">
        <f t="shared" si="131"/>
        <v>40</v>
      </c>
      <c r="Q304" s="145">
        <f>IFERROR(__xludf.DUMMYFUNCTION("IFERROR(IF(ISNUMBER(P304),1+COUNTIF(FILTER($K$15:$K$24,$A$15:$A$24&lt;&gt;B304),""&gt;""&amp;P304)+COUNTIF(FILTER($K$15:$K$24,$A$15:$A$24&lt;&gt;B304),P304)/2,""Unranked""),""Unranked"")"),9.0)</f>
        <v>9</v>
      </c>
      <c r="R304" s="145">
        <f t="shared" si="132"/>
        <v>0</v>
      </c>
      <c r="S304" s="145">
        <f t="shared" si="133"/>
        <v>0</v>
      </c>
      <c r="T304" s="145">
        <f t="shared" si="134"/>
        <v>0</v>
      </c>
      <c r="U304" s="93" t="s">
        <v>1717</v>
      </c>
      <c r="V304" s="93" t="s">
        <v>1718</v>
      </c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 ht="58.5" customHeight="1">
      <c r="A309" s="93" t="s">
        <v>1744</v>
      </c>
      <c r="B309" s="93"/>
      <c r="C309" s="95" t="s">
        <v>1745</v>
      </c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ht="58.5" customHeight="1">
      <c r="A310" s="93" t="s">
        <v>1746</v>
      </c>
      <c r="B310" s="93"/>
      <c r="C310" s="95" t="s">
        <v>1747</v>
      </c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ht="58.5" customHeight="1">
      <c r="A311" s="93" t="s">
        <v>1748</v>
      </c>
      <c r="B311" s="93"/>
      <c r="C311" s="95" t="s">
        <v>1749</v>
      </c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ht="58.5" customHeight="1">
      <c r="A312" s="93" t="s">
        <v>1750</v>
      </c>
      <c r="B312" s="93"/>
      <c r="C312" s="95" t="s">
        <v>1751</v>
      </c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ht="58.5" customHeight="1">
      <c r="A313" s="93" t="s">
        <v>1752</v>
      </c>
      <c r="B313" s="93"/>
      <c r="C313" s="95" t="s">
        <v>1753</v>
      </c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ht="58.5" customHeight="1">
      <c r="A314" s="93" t="s">
        <v>1754</v>
      </c>
      <c r="B314" s="93"/>
      <c r="C314" s="95" t="s">
        <v>1755</v>
      </c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ht="58.5" customHeight="1">
      <c r="A315" s="93" t="s">
        <v>1756</v>
      </c>
      <c r="B315" s="93"/>
      <c r="C315" s="95" t="s">
        <v>1757</v>
      </c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ht="58.5" customHeight="1">
      <c r="A316" s="93" t="s">
        <v>1758</v>
      </c>
      <c r="B316" s="93"/>
      <c r="C316" s="95" t="s">
        <v>1759</v>
      </c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ht="58.5" customHeight="1">
      <c r="A317" s="93" t="s">
        <v>1760</v>
      </c>
      <c r="B317" s="93"/>
      <c r="C317" s="95" t="s">
        <v>1761</v>
      </c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ht="58.5" customHeight="1">
      <c r="A318" s="93" t="s">
        <v>1762</v>
      </c>
      <c r="B318" s="93"/>
      <c r="C318" s="95" t="s">
        <v>1763</v>
      </c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ht="58.5" customHeight="1">
      <c r="A319" s="93" t="s">
        <v>1764</v>
      </c>
      <c r="B319" s="93"/>
      <c r="C319" s="95" t="s">
        <v>1765</v>
      </c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</sheetData>
  <mergeCells count="13">
    <mergeCell ref="C314:H314"/>
    <mergeCell ref="C315:H315"/>
    <mergeCell ref="C316:H316"/>
    <mergeCell ref="C317:H317"/>
    <mergeCell ref="C318:H318"/>
    <mergeCell ref="C319:H319"/>
    <mergeCell ref="A2:B2"/>
    <mergeCell ref="C3:H3"/>
    <mergeCell ref="C309:H309"/>
    <mergeCell ref="C310:H310"/>
    <mergeCell ref="C311:H311"/>
    <mergeCell ref="C312:H312"/>
    <mergeCell ref="C313:H313"/>
  </mergeCells>
  <drawing r:id="rId1"/>
</worksheet>
</file>